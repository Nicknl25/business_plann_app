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7" autoFilterDateGrouping="1"/>
  </bookViews>
  <sheets>
    <sheet name="Revenue Drivers" sheetId="1" state="visible" r:id="rId1"/>
    <sheet name="Payroll Schedule" sheetId="2" state="visible" r:id="rId2"/>
    <sheet name="Debt Schedule" sheetId="3" state="visible" r:id="rId3"/>
    <sheet name="CapEx Depreciation" sheetId="4" state="visible" r:id="rId4"/>
    <sheet name="Working Capital" sheetId="5" state="visible" r:id="rId5"/>
    <sheet name="Cash Equity Schedule" sheetId="6" state="visible" r:id="rId6"/>
    <sheet name="Model Inputs" sheetId="7" state="visible" r:id="rId7"/>
    <sheet name="FINMO" sheetId="8" state="visible" r:id="rId8"/>
    <sheet name="Audit Source" sheetId="9" state="hidden" r:id="rId9"/>
    <sheet name="Checks" sheetId="10" state="visible" r:id="rId10"/>
    <sheet name="Diagnostics" sheetId="11" state="visible" r:id="rId11"/>
  </sheets>
  <definedNames>
    <definedName name="_xlnm._FilterDatabase" localSheetId="1" hidden="1">'Payroll Schedule'!$A$26:$N$86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;[Red](#,##0.0);-"/>
    <numFmt numFmtId="166" formatCode="$#,##0;[Red]($#,##0);-"/>
    <numFmt numFmtId="167" formatCode="0.0%;[Red](0.0%);-"/>
  </numFmts>
  <fonts count="14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</font>
    <font>
      <color rgb="00666666"/>
      <sz val="9"/>
    </font>
    <font>
      <color rgb="000000FF"/>
    </font>
    <font>
      <color rgb="00000000"/>
    </font>
    <font>
      <b val="1"/>
      <color rgb="00000000"/>
    </font>
    <font>
      <color rgb="00008000"/>
    </font>
    <font>
      <b val="1"/>
    </font>
    <font>
      <name val="Calibri"/>
      <b val="1"/>
      <color rgb="00000000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color rgb="000061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top style="thin">
        <color rgb="00D9E2F3"/>
      </top>
      <bottom style="thin">
        <color rgb="00D9E2F3"/>
      </bottom>
    </border>
    <border>
      <top style="medium">
        <color rgb="001F4E79"/>
      </top>
      <bottom style="thin">
        <color rgb="00D9E2F3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3" fillId="2" borderId="0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5" fontId="6" fillId="4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4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7" fillId="5" borderId="2" applyAlignment="1" pivotButton="0" quotePrefix="0" xfId="0">
      <alignment horizontal="left"/>
    </xf>
    <xf numFmtId="166" fontId="7" fillId="5" borderId="2" applyAlignment="1" pivotButton="0" quotePrefix="0" xfId="0">
      <alignment horizontal="right"/>
    </xf>
    <xf numFmtId="0" fontId="7" fillId="6" borderId="2" applyAlignment="1" pivotButton="0" quotePrefix="0" xfId="0">
      <alignment horizontal="left"/>
    </xf>
    <xf numFmtId="165" fontId="7" fillId="6" borderId="2" applyAlignment="1" pivotButton="0" quotePrefix="0" xfId="0">
      <alignment horizontal="right"/>
    </xf>
    <xf numFmtId="0" fontId="7" fillId="7" borderId="2" applyAlignment="1" pivotButton="0" quotePrefix="0" xfId="0">
      <alignment horizontal="left"/>
    </xf>
    <xf numFmtId="166" fontId="7" fillId="7" borderId="2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7" fontId="6" fillId="6" borderId="1" applyAlignment="1" pivotButton="0" quotePrefix="0" xfId="0">
      <alignment horizontal="right"/>
    </xf>
    <xf numFmtId="165" fontId="6" fillId="6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166" fontId="7" fillId="5" borderId="1" applyAlignment="1" pivotButton="0" quotePrefix="0" xfId="0">
      <alignment horizontal="right"/>
    </xf>
    <xf numFmtId="166" fontId="6" fillId="6" borderId="1" applyAlignment="1" pivotButton="0" quotePrefix="0" xfId="0">
      <alignment horizontal="right"/>
    </xf>
    <xf numFmtId="165" fontId="7" fillId="5" borderId="1" applyAlignment="1" pivotButton="0" quotePrefix="0" xfId="0">
      <alignment horizontal="right"/>
    </xf>
    <xf numFmtId="0" fontId="3" fillId="3" borderId="0" pivotButton="0" quotePrefix="0" xfId="0"/>
    <xf numFmtId="165" fontId="5" fillId="4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6" fontId="6" fillId="5" borderId="1" applyAlignment="1" pivotButton="0" quotePrefix="0" xfId="0">
      <alignment horizontal="right"/>
    </xf>
    <xf numFmtId="167" fontId="6" fillId="5" borderId="1" applyAlignment="1" pivotButton="0" quotePrefix="0" xfId="0">
      <alignment horizontal="right"/>
    </xf>
    <xf numFmtId="0" fontId="3" fillId="5" borderId="0" pivotButton="0" quotePrefix="0" xfId="0"/>
    <xf numFmtId="0" fontId="3" fillId="2" borderId="0" pivotButton="0" quotePrefix="0" xfId="0"/>
    <xf numFmtId="166" fontId="6" fillId="0" borderId="0" applyAlignment="1" pivotButton="0" quotePrefix="0" xfId="0">
      <alignment horizontal="right"/>
    </xf>
    <xf numFmtId="0" fontId="9" fillId="0" borderId="0" pivotButton="0" quotePrefix="0" xfId="0"/>
    <xf numFmtId="165" fontId="6" fillId="0" borderId="0" applyAlignment="1" pivotButton="0" quotePrefix="0" xfId="0">
      <alignment horizontal="right"/>
    </xf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AB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Revenue Drivers</t>
        </is>
      </c>
    </row>
    <row r="2">
      <c r="A2" s="2" t="inlineStr">
        <is>
          <t>Source operating drivers.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Revenue Driver Source Rows</t>
        </is>
      </c>
    </row>
    <row r="7">
      <c r="A7" s="7" t="inlineStr">
        <is>
          <t>Primary line of business / Scheduled passenger seat</t>
        </is>
      </c>
    </row>
    <row r="8">
      <c r="A8" s="8" t="inlineStr">
        <is>
          <t>Primary line of business / Scheduled passenger seat - Capacity</t>
        </is>
      </c>
      <c r="B8" s="8" t="inlineStr">
        <is>
          <t>Source driver</t>
        </is>
      </c>
      <c r="C8" s="9" t="n">
        <v>218400</v>
      </c>
      <c r="D8" s="9" t="n">
        <v>28155.5</v>
      </c>
      <c r="E8" s="9" t="n">
        <v>28155.5</v>
      </c>
      <c r="F8" s="9" t="n">
        <v>28155.5</v>
      </c>
      <c r="G8" s="9" t="n">
        <v>28155.5</v>
      </c>
      <c r="H8" s="9" t="n">
        <v>28155.5</v>
      </c>
      <c r="I8" s="9" t="n">
        <v>28155.5</v>
      </c>
      <c r="J8" s="9" t="n">
        <v>28155.5</v>
      </c>
      <c r="K8" s="9" t="n">
        <v>28155.5</v>
      </c>
      <c r="L8" s="9" t="n">
        <v>28155.5</v>
      </c>
      <c r="M8" s="9" t="n">
        <v>28155.5</v>
      </c>
      <c r="N8" s="9" t="n">
        <v>28155.5</v>
      </c>
      <c r="O8" s="9" t="n">
        <v>28155.5</v>
      </c>
      <c r="P8" s="9" t="n">
        <v>28155.5</v>
      </c>
      <c r="Q8" s="9" t="n">
        <v>28155.5</v>
      </c>
      <c r="R8" s="9" t="n">
        <v>28155.5</v>
      </c>
      <c r="S8" s="9" t="n">
        <v>28155.5</v>
      </c>
      <c r="T8" s="9" t="n">
        <v>28155.5</v>
      </c>
      <c r="U8" s="9" t="n">
        <v>28155.5</v>
      </c>
      <c r="V8" s="9" t="n">
        <v>28155.5</v>
      </c>
      <c r="W8" s="9" t="n">
        <v>28155.5</v>
      </c>
      <c r="X8" s="10" t="n"/>
      <c r="Y8" s="10" t="n"/>
      <c r="Z8" s="10" t="n"/>
      <c r="AA8" s="10" t="n"/>
      <c r="AB8" s="10" t="n"/>
    </row>
    <row r="9">
      <c r="A9" s="8" t="inlineStr">
        <is>
          <t>Primary line of business / Scheduled passenger seat - Unit Price</t>
        </is>
      </c>
      <c r="B9" s="8" t="inlineStr">
        <is>
          <t>Source driver</t>
        </is>
      </c>
      <c r="C9" s="11" t="n">
        <v>135</v>
      </c>
      <c r="D9" s="11" t="n">
        <v>135</v>
      </c>
      <c r="E9" s="11" t="n">
        <v>136</v>
      </c>
      <c r="F9" s="11" t="n">
        <v>137</v>
      </c>
      <c r="G9" s="11" t="n">
        <v>138</v>
      </c>
      <c r="H9" s="11" t="n">
        <v>139</v>
      </c>
      <c r="I9" s="11" t="n">
        <v>140</v>
      </c>
      <c r="J9" s="11" t="n">
        <v>141</v>
      </c>
      <c r="K9" s="11" t="n">
        <v>142</v>
      </c>
      <c r="L9" s="11" t="n">
        <v>143</v>
      </c>
      <c r="M9" s="11" t="n">
        <v>144</v>
      </c>
      <c r="N9" s="11" t="n">
        <v>145</v>
      </c>
      <c r="O9" s="11" t="n">
        <v>145.555556</v>
      </c>
      <c r="P9" s="11" t="n">
        <v>146.111111</v>
      </c>
      <c r="Q9" s="11" t="n">
        <v>146.666667</v>
      </c>
      <c r="R9" s="11" t="n">
        <v>147.222222</v>
      </c>
      <c r="S9" s="11" t="n">
        <v>147.777778</v>
      </c>
      <c r="T9" s="11" t="n">
        <v>148.333333</v>
      </c>
      <c r="U9" s="11" t="n">
        <v>148.888889</v>
      </c>
      <c r="V9" s="11" t="n">
        <v>149.444444</v>
      </c>
      <c r="W9" s="11" t="n">
        <v>150</v>
      </c>
      <c r="X9" s="12" t="n"/>
      <c r="Y9" s="12" t="n"/>
      <c r="Z9" s="12" t="n"/>
      <c r="AA9" s="12" t="n"/>
      <c r="AB9" s="12" t="n"/>
    </row>
    <row r="10">
      <c r="A10" s="8" t="inlineStr">
        <is>
          <t>Primary line of business / Scheduled passenger seat - Utilization</t>
        </is>
      </c>
      <c r="B10" s="8" t="inlineStr">
        <is>
          <t>Source driver</t>
        </is>
      </c>
      <c r="C10" s="13" t="n">
        <v>0.75</v>
      </c>
      <c r="D10" s="13" t="n">
        <v>0.75</v>
      </c>
      <c r="E10" s="13" t="n">
        <v>0.755</v>
      </c>
      <c r="F10" s="13" t="n">
        <v>0.76</v>
      </c>
      <c r="G10" s="13" t="n">
        <v>0.765</v>
      </c>
      <c r="H10" s="13" t="n">
        <v>0.77</v>
      </c>
      <c r="I10" s="13" t="n">
        <v>0.775</v>
      </c>
      <c r="J10" s="13" t="n">
        <v>0.78</v>
      </c>
      <c r="K10" s="13" t="n">
        <v>0.785</v>
      </c>
      <c r="L10" s="13" t="n">
        <v>0.79</v>
      </c>
      <c r="M10" s="13" t="n">
        <v>0.795</v>
      </c>
      <c r="N10" s="13" t="n">
        <v>0.8</v>
      </c>
      <c r="O10" s="13" t="n">
        <v>0.804444</v>
      </c>
      <c r="P10" s="13" t="n">
        <v>0.808889</v>
      </c>
      <c r="Q10" s="13" t="n">
        <v>0.813333</v>
      </c>
      <c r="R10" s="13" t="n">
        <v>0.817778</v>
      </c>
      <c r="S10" s="13" t="n">
        <v>0.822222</v>
      </c>
      <c r="T10" s="13" t="n">
        <v>0.826667</v>
      </c>
      <c r="U10" s="13" t="n">
        <v>0.831111</v>
      </c>
      <c r="V10" s="13" t="n">
        <v>0.835556</v>
      </c>
      <c r="W10" s="13" t="n">
        <v>0.84</v>
      </c>
      <c r="X10" s="14" t="n"/>
      <c r="Y10" s="14" t="n"/>
      <c r="Z10" s="14" t="n"/>
      <c r="AA10" s="14" t="n"/>
      <c r="AB10" s="14" t="n"/>
    </row>
    <row r="11">
      <c r="A11" s="15" t="inlineStr">
        <is>
          <t>Primary line of business / Scheduled passenger seat - Revenue</t>
        </is>
      </c>
      <c r="B11" s="15" t="inlineStr">
        <is>
          <t>Capacity x Unit Price x Utilization</t>
        </is>
      </c>
      <c r="C11" s="16">
        <f>C8*C9*C10</f>
        <v/>
      </c>
      <c r="D11" s="16">
        <f>D8*D9*D10</f>
        <v/>
      </c>
      <c r="E11" s="16">
        <f>E8*E9*E10</f>
        <v/>
      </c>
      <c r="F11" s="16">
        <f>F8*F9*F10</f>
        <v/>
      </c>
      <c r="G11" s="16">
        <f>G8*G9*G10</f>
        <v/>
      </c>
      <c r="H11" s="16">
        <f>H8*H9*H10</f>
        <v/>
      </c>
      <c r="I11" s="16">
        <f>I8*I9*I10</f>
        <v/>
      </c>
      <c r="J11" s="16">
        <f>J8*J9*J10</f>
        <v/>
      </c>
      <c r="K11" s="16">
        <f>K8*K9*K10</f>
        <v/>
      </c>
      <c r="L11" s="16">
        <f>L8*L9*L10</f>
        <v/>
      </c>
      <c r="M11" s="16">
        <f>M8*M9*M10</f>
        <v/>
      </c>
      <c r="N11" s="16">
        <f>N8*N9*N10</f>
        <v/>
      </c>
      <c r="O11" s="16">
        <f>O8*O9*O10</f>
        <v/>
      </c>
      <c r="P11" s="16">
        <f>P8*P9*P10</f>
        <v/>
      </c>
      <c r="Q11" s="16">
        <f>Q8*Q9*Q10</f>
        <v/>
      </c>
      <c r="R11" s="16">
        <f>R8*R9*R10</f>
        <v/>
      </c>
      <c r="S11" s="16">
        <f>S8*S9*S10</f>
        <v/>
      </c>
      <c r="T11" s="16">
        <f>T8*T9*T10</f>
        <v/>
      </c>
      <c r="U11" s="16">
        <f>U8*U9*U10</f>
        <v/>
      </c>
      <c r="V11" s="16">
        <f>V8*V9*V10</f>
        <v/>
      </c>
      <c r="W11" s="16">
        <f>W8*W9*W10</f>
        <v/>
      </c>
      <c r="X11" s="16">
        <f>SUM(D11:G11)</f>
        <v/>
      </c>
      <c r="Y11" s="16">
        <f>SUM(H11:K11)</f>
        <v/>
      </c>
      <c r="Z11" s="16">
        <f>SUM(L11:O11)</f>
        <v/>
      </c>
      <c r="AA11" s="16">
        <f>SUM(P11:S11)</f>
        <v/>
      </c>
      <c r="AB11" s="16">
        <f>SUM(T11:W11)</f>
        <v/>
      </c>
    </row>
    <row r="13">
      <c r="A13" s="17" t="inlineStr">
        <is>
          <t>Total Capacity Units</t>
        </is>
      </c>
      <c r="B13" s="17" t="inlineStr">
        <is>
          <t>All revenue driver capacity units</t>
        </is>
      </c>
      <c r="C13" s="18">
        <f>SUM(C8)</f>
        <v/>
      </c>
      <c r="D13" s="18">
        <f>SUM(D8)</f>
        <v/>
      </c>
      <c r="E13" s="18">
        <f>SUM(E8)</f>
        <v/>
      </c>
      <c r="F13" s="18">
        <f>SUM(F8)</f>
        <v/>
      </c>
      <c r="G13" s="18">
        <f>SUM(G8)</f>
        <v/>
      </c>
      <c r="H13" s="18">
        <f>SUM(H8)</f>
        <v/>
      </c>
      <c r="I13" s="18">
        <f>SUM(I8)</f>
        <v/>
      </c>
      <c r="J13" s="18">
        <f>SUM(J8)</f>
        <v/>
      </c>
      <c r="K13" s="18">
        <f>SUM(K8)</f>
        <v/>
      </c>
      <c r="L13" s="18">
        <f>SUM(L8)</f>
        <v/>
      </c>
      <c r="M13" s="18">
        <f>SUM(M8)</f>
        <v/>
      </c>
      <c r="N13" s="18">
        <f>SUM(N8)</f>
        <v/>
      </c>
      <c r="O13" s="18">
        <f>SUM(O8)</f>
        <v/>
      </c>
      <c r="P13" s="18">
        <f>SUM(P8)</f>
        <v/>
      </c>
      <c r="Q13" s="18">
        <f>SUM(Q8)</f>
        <v/>
      </c>
      <c r="R13" s="18">
        <f>SUM(R8)</f>
        <v/>
      </c>
      <c r="S13" s="18">
        <f>SUM(S8)</f>
        <v/>
      </c>
      <c r="T13" s="18">
        <f>SUM(T8)</f>
        <v/>
      </c>
      <c r="U13" s="18">
        <f>SUM(U8)</f>
        <v/>
      </c>
      <c r="V13" s="18">
        <f>SUM(V8)</f>
        <v/>
      </c>
      <c r="W13" s="18">
        <f>SUM(W8)</f>
        <v/>
      </c>
      <c r="X13" s="18">
        <f>SUM(D13:G13)</f>
        <v/>
      </c>
      <c r="Y13" s="18">
        <f>SUM(H13:K13)</f>
        <v/>
      </c>
      <c r="Z13" s="18">
        <f>SUM(L13:O13)</f>
        <v/>
      </c>
      <c r="AA13" s="18">
        <f>SUM(P13:S13)</f>
        <v/>
      </c>
      <c r="AB13" s="18">
        <f>SUM(T13:W13)</f>
        <v/>
      </c>
    </row>
    <row r="14">
      <c r="A14" s="19" t="inlineStr">
        <is>
          <t>Total Revenue</t>
        </is>
      </c>
      <c r="B14" s="19" t="inlineStr">
        <is>
          <t>All revenue products</t>
        </is>
      </c>
      <c r="C14" s="20">
        <f>SUM(C11)</f>
        <v/>
      </c>
      <c r="D14" s="20">
        <f>SUM(D11)</f>
        <v/>
      </c>
      <c r="E14" s="20">
        <f>SUM(E11)</f>
        <v/>
      </c>
      <c r="F14" s="20">
        <f>SUM(F11)</f>
        <v/>
      </c>
      <c r="G14" s="20">
        <f>SUM(G11)</f>
        <v/>
      </c>
      <c r="H14" s="20">
        <f>SUM(H11)</f>
        <v/>
      </c>
      <c r="I14" s="20">
        <f>SUM(I11)</f>
        <v/>
      </c>
      <c r="J14" s="20">
        <f>SUM(J11)</f>
        <v/>
      </c>
      <c r="K14" s="20">
        <f>SUM(K11)</f>
        <v/>
      </c>
      <c r="L14" s="20">
        <f>SUM(L11)</f>
        <v/>
      </c>
      <c r="M14" s="20">
        <f>SUM(M11)</f>
        <v/>
      </c>
      <c r="N14" s="20">
        <f>SUM(N11)</f>
        <v/>
      </c>
      <c r="O14" s="20">
        <f>SUM(O11)</f>
        <v/>
      </c>
      <c r="P14" s="20">
        <f>SUM(P11)</f>
        <v/>
      </c>
      <c r="Q14" s="20">
        <f>SUM(Q11)</f>
        <v/>
      </c>
      <c r="R14" s="20">
        <f>SUM(R11)</f>
        <v/>
      </c>
      <c r="S14" s="20">
        <f>SUM(S11)</f>
        <v/>
      </c>
      <c r="T14" s="20">
        <f>SUM(T11)</f>
        <v/>
      </c>
      <c r="U14" s="20">
        <f>SUM(U11)</f>
        <v/>
      </c>
      <c r="V14" s="20">
        <f>SUM(V11)</f>
        <v/>
      </c>
      <c r="W14" s="20">
        <f>SUM(W11)</f>
        <v/>
      </c>
      <c r="X14" s="20">
        <f>SUM(D14:G14)</f>
        <v/>
      </c>
      <c r="Y14" s="20">
        <f>SUM(H14:K14)</f>
        <v/>
      </c>
      <c r="Z14" s="20">
        <f>SUM(L14:O14)</f>
        <v/>
      </c>
      <c r="AA14" s="20">
        <f>SUM(P14:S14)</f>
        <v/>
      </c>
      <c r="AB14" s="20">
        <f>SUM(T14:W14)</f>
        <v/>
      </c>
    </row>
    <row r="16">
      <c r="A16" s="7" t="inlineStr">
        <is>
          <t>Stage Ramp Contract</t>
        </is>
      </c>
    </row>
    <row r="17">
      <c r="A17" s="21" t="inlineStr">
        <is>
          <t>Actual Revenue QoQ Growth</t>
        </is>
      </c>
      <c r="B17" s="21" t="inlineStr">
        <is>
          <t>Total revenue growth from modeled revenue drivers</t>
        </is>
      </c>
      <c r="C17" s="22">
        <f>0</f>
        <v/>
      </c>
      <c r="D17" s="22">
        <f>IFERROR(D14/C14-1,0)</f>
        <v/>
      </c>
      <c r="E17" s="22">
        <f>IFERROR(E14/D14-1,0)</f>
        <v/>
      </c>
      <c r="F17" s="22">
        <f>IFERROR(F14/E14-1,0)</f>
        <v/>
      </c>
      <c r="G17" s="22">
        <f>IFERROR(G14/F14-1,0)</f>
        <v/>
      </c>
      <c r="H17" s="22">
        <f>IFERROR(H14/G14-1,0)</f>
        <v/>
      </c>
      <c r="I17" s="22">
        <f>IFERROR(I14/H14-1,0)</f>
        <v/>
      </c>
      <c r="J17" s="22">
        <f>IFERROR(J14/I14-1,0)</f>
        <v/>
      </c>
      <c r="K17" s="22">
        <f>IFERROR(K14/J14-1,0)</f>
        <v/>
      </c>
      <c r="L17" s="22">
        <f>IFERROR(L14/K14-1,0)</f>
        <v/>
      </c>
      <c r="M17" s="22">
        <f>IFERROR(M14/L14-1,0)</f>
        <v/>
      </c>
      <c r="N17" s="22">
        <f>IFERROR(N14/M14-1,0)</f>
        <v/>
      </c>
      <c r="O17" s="22">
        <f>IFERROR(O14/N14-1,0)</f>
        <v/>
      </c>
      <c r="P17" s="22">
        <f>IFERROR(P14/O14-1,0)</f>
        <v/>
      </c>
      <c r="Q17" s="22">
        <f>IFERROR(Q14/P14-1,0)</f>
        <v/>
      </c>
      <c r="R17" s="22">
        <f>IFERROR(R14/Q14-1,0)</f>
        <v/>
      </c>
      <c r="S17" s="22">
        <f>IFERROR(S14/R14-1,0)</f>
        <v/>
      </c>
      <c r="T17" s="22">
        <f>IFERROR(T14/S14-1,0)</f>
        <v/>
      </c>
      <c r="U17" s="22">
        <f>IFERROR(U14/T14-1,0)</f>
        <v/>
      </c>
      <c r="V17" s="22">
        <f>IFERROR(V14/U14-1,0)</f>
        <v/>
      </c>
      <c r="W17" s="22">
        <f>IFERROR(W14/V14-1,0)</f>
        <v/>
      </c>
      <c r="X17" s="22">
        <f>AVERAGE(D17:G17)</f>
        <v/>
      </c>
      <c r="Y17" s="22">
        <f>AVERAGE(H17:K17)</f>
        <v/>
      </c>
      <c r="Z17" s="22">
        <f>AVERAGE(L17:O17)</f>
        <v/>
      </c>
      <c r="AA17" s="22">
        <f>AVERAGE(P17:S17)</f>
        <v/>
      </c>
      <c r="AB17" s="22">
        <f>AVERAGE(T17:W17)</f>
        <v/>
      </c>
    </row>
    <row r="18">
      <c r="A18" s="8" t="inlineStr">
        <is>
          <t>Stage Ramp Revenue QoQ Target</t>
        </is>
      </c>
      <c r="B18" s="8" t="inlineStr">
        <is>
          <t>GPT-selected stage ramp contract</t>
        </is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4">
        <f>AVERAGE(D18:G18)</f>
        <v/>
      </c>
      <c r="Y18" s="14">
        <f>AVERAGE(H18:K18)</f>
        <v/>
      </c>
      <c r="Z18" s="14">
        <f>AVERAGE(L18:O18)</f>
        <v/>
      </c>
      <c r="AA18" s="14">
        <f>AVERAGE(P18:S18)</f>
        <v/>
      </c>
      <c r="AB18" s="14">
        <f>AVERAGE(T18:W18)</f>
        <v/>
      </c>
    </row>
    <row r="19">
      <c r="A19" s="8" t="inlineStr">
        <is>
          <t>Stage Ramp Revenue QoQ Max</t>
        </is>
      </c>
      <c r="B19" s="8" t="inlineStr">
        <is>
          <t>GPT-selected stage ramp contract</t>
        </is>
      </c>
      <c r="C19" s="13" t="n">
        <v>0</v>
      </c>
      <c r="D19" s="13" t="n">
        <v>0.14</v>
      </c>
      <c r="E19" s="13" t="n">
        <v>0.14</v>
      </c>
      <c r="F19" s="13" t="n">
        <v>0.14</v>
      </c>
      <c r="G19" s="13" t="n">
        <v>0.14</v>
      </c>
      <c r="H19" s="13" t="n">
        <v>0.14</v>
      </c>
      <c r="I19" s="13" t="n">
        <v>0.14</v>
      </c>
      <c r="J19" s="13" t="n">
        <v>0.14</v>
      </c>
      <c r="K19" s="13" t="n">
        <v>0.14</v>
      </c>
      <c r="L19" s="13" t="n">
        <v>0.14</v>
      </c>
      <c r="M19" s="13" t="n">
        <v>0.14</v>
      </c>
      <c r="N19" s="13" t="n">
        <v>0.14</v>
      </c>
      <c r="O19" s="13" t="n">
        <v>0.14</v>
      </c>
      <c r="P19" s="13" t="n">
        <v>0.14</v>
      </c>
      <c r="Q19" s="13" t="n">
        <v>0.14</v>
      </c>
      <c r="R19" s="13" t="n">
        <v>0.14</v>
      </c>
      <c r="S19" s="13" t="n">
        <v>0.14</v>
      </c>
      <c r="T19" s="13" t="n">
        <v>0.14</v>
      </c>
      <c r="U19" s="13" t="n">
        <v>0.14</v>
      </c>
      <c r="V19" s="13" t="n">
        <v>0.14</v>
      </c>
      <c r="W19" s="13" t="n">
        <v>0.14</v>
      </c>
      <c r="X19" s="14">
        <f>AVERAGE(D19:G19)</f>
        <v/>
      </c>
      <c r="Y19" s="14">
        <f>AVERAGE(H19:K19)</f>
        <v/>
      </c>
      <c r="Z19" s="14">
        <f>AVERAGE(L19:O19)</f>
        <v/>
      </c>
      <c r="AA19" s="14">
        <f>AVERAGE(P19:S19)</f>
        <v/>
      </c>
      <c r="AB19" s="14">
        <f>AVERAGE(T19:W19)</f>
        <v/>
      </c>
    </row>
    <row r="20">
      <c r="A20" s="8" t="inlineStr">
        <is>
          <t>Stage Ramp Revenue QoQ Spike Max</t>
        </is>
      </c>
      <c r="B20" s="8" t="inlineStr">
        <is>
          <t>GPT-selected stage ramp contract</t>
        </is>
      </c>
      <c r="C20" s="13" t="n">
        <v>0</v>
      </c>
      <c r="D20" s="13" t="n">
        <v>0.14</v>
      </c>
      <c r="E20" s="13" t="n">
        <v>0.14</v>
      </c>
      <c r="F20" s="13" t="n">
        <v>0.14</v>
      </c>
      <c r="G20" s="13" t="n">
        <v>0.14</v>
      </c>
      <c r="H20" s="13" t="n">
        <v>0.14</v>
      </c>
      <c r="I20" s="13" t="n">
        <v>0.14</v>
      </c>
      <c r="J20" s="13" t="n">
        <v>0.14</v>
      </c>
      <c r="K20" s="13" t="n">
        <v>0.14</v>
      </c>
      <c r="L20" s="13" t="n">
        <v>0.14</v>
      </c>
      <c r="M20" s="13" t="n">
        <v>0.14</v>
      </c>
      <c r="N20" s="13" t="n">
        <v>0.14</v>
      </c>
      <c r="O20" s="13" t="n">
        <v>0.14</v>
      </c>
      <c r="P20" s="13" t="n">
        <v>0.14</v>
      </c>
      <c r="Q20" s="13" t="n">
        <v>0.14</v>
      </c>
      <c r="R20" s="13" t="n">
        <v>0.14</v>
      </c>
      <c r="S20" s="13" t="n">
        <v>0.14</v>
      </c>
      <c r="T20" s="13" t="n">
        <v>0.14</v>
      </c>
      <c r="U20" s="13" t="n">
        <v>0.14</v>
      </c>
      <c r="V20" s="13" t="n">
        <v>0.14</v>
      </c>
      <c r="W20" s="13" t="n">
        <v>0.14</v>
      </c>
      <c r="X20" s="14">
        <f>AVERAGE(D20:G20)</f>
        <v/>
      </c>
      <c r="Y20" s="14">
        <f>AVERAGE(H20:K20)</f>
        <v/>
      </c>
      <c r="Z20" s="14">
        <f>AVERAGE(L20:O20)</f>
        <v/>
      </c>
      <c r="AA20" s="14">
        <f>AVERAGE(P20:S20)</f>
        <v/>
      </c>
      <c r="AB20" s="14">
        <f>AVERAGE(T20:W20)</f>
        <v/>
      </c>
    </row>
    <row r="21">
      <c r="A21" s="8" t="inlineStr">
        <is>
          <t>Stage Ramp Utilization Cap</t>
        </is>
      </c>
      <c r="B21" s="8" t="inlineStr">
        <is>
          <t>GPT-selected stage ramp contract</t>
        </is>
      </c>
      <c r="C21" s="13" t="n">
        <v>0</v>
      </c>
      <c r="D21" s="13" t="n">
        <v>0.65</v>
      </c>
      <c r="E21" s="13" t="n">
        <v>0.67</v>
      </c>
      <c r="F21" s="13" t="n">
        <v>0.6899999999999999</v>
      </c>
      <c r="G21" s="13" t="n">
        <v>0.71</v>
      </c>
      <c r="H21" s="13" t="n">
        <v>0.73</v>
      </c>
      <c r="I21" s="13" t="n">
        <v>0.75</v>
      </c>
      <c r="J21" s="13" t="n">
        <v>0.77</v>
      </c>
      <c r="K21" s="13" t="n">
        <v>0.79</v>
      </c>
      <c r="L21" s="13" t="n">
        <v>0.8100000000000001</v>
      </c>
      <c r="M21" s="13" t="n">
        <v>0.83</v>
      </c>
      <c r="N21" s="13" t="n">
        <v>0.85</v>
      </c>
      <c r="O21" s="13" t="n">
        <v>0.85</v>
      </c>
      <c r="P21" s="13" t="n">
        <v>0.85</v>
      </c>
      <c r="Q21" s="13" t="n">
        <v>0.85</v>
      </c>
      <c r="R21" s="13" t="n">
        <v>0.85</v>
      </c>
      <c r="S21" s="13" t="n">
        <v>0.85</v>
      </c>
      <c r="T21" s="13" t="n">
        <v>0.85</v>
      </c>
      <c r="U21" s="13" t="n">
        <v>0.85</v>
      </c>
      <c r="V21" s="13" t="n">
        <v>0.85</v>
      </c>
      <c r="W21" s="13" t="n">
        <v>0.85</v>
      </c>
      <c r="X21" s="14">
        <f>AVERAGE(D21:G21)</f>
        <v/>
      </c>
      <c r="Y21" s="14">
        <f>AVERAGE(H21:K21)</f>
        <v/>
      </c>
      <c r="Z21" s="14">
        <f>AVERAGE(L21:O21)</f>
        <v/>
      </c>
      <c r="AA21" s="14">
        <f>AVERAGE(P21:S21)</f>
        <v/>
      </c>
      <c r="AB21" s="14">
        <f>AVERAGE(T21:W21)</f>
        <v/>
      </c>
    </row>
    <row r="22">
      <c r="A22" s="8" t="inlineStr">
        <is>
          <t>Stage Ramp COGS % Revenue Target</t>
        </is>
      </c>
      <c r="B22" s="8" t="inlineStr">
        <is>
          <t>GPT-selected stage ramp contract</t>
        </is>
      </c>
      <c r="C22" s="13" t="n">
        <v>0</v>
      </c>
      <c r="D22" s="13" t="n">
        <v>0.78</v>
      </c>
      <c r="E22" s="13" t="n">
        <v>0.78</v>
      </c>
      <c r="F22" s="13" t="n">
        <v>0.78</v>
      </c>
      <c r="G22" s="13" t="n">
        <v>0.78</v>
      </c>
      <c r="H22" s="13" t="n">
        <v>0.78</v>
      </c>
      <c r="I22" s="13" t="n">
        <v>0.78</v>
      </c>
      <c r="J22" s="13" t="n">
        <v>0.78</v>
      </c>
      <c r="K22" s="13" t="n">
        <v>0.78</v>
      </c>
      <c r="L22" s="13" t="n">
        <v>0.78</v>
      </c>
      <c r="M22" s="13" t="n">
        <v>0.78</v>
      </c>
      <c r="N22" s="13" t="n">
        <v>0.78</v>
      </c>
      <c r="O22" s="13" t="n">
        <v>0.78</v>
      </c>
      <c r="P22" s="13" t="n">
        <v>0.78</v>
      </c>
      <c r="Q22" s="13" t="n">
        <v>0.78</v>
      </c>
      <c r="R22" s="13" t="n">
        <v>0.78</v>
      </c>
      <c r="S22" s="13" t="n">
        <v>0.78</v>
      </c>
      <c r="T22" s="13" t="n">
        <v>0.78</v>
      </c>
      <c r="U22" s="13" t="n">
        <v>0.78</v>
      </c>
      <c r="V22" s="13" t="n">
        <v>0.78</v>
      </c>
      <c r="W22" s="13" t="n">
        <v>0.78</v>
      </c>
      <c r="X22" s="14">
        <f>AVERAGE(D22:G22)</f>
        <v/>
      </c>
      <c r="Y22" s="14">
        <f>AVERAGE(H22:K22)</f>
        <v/>
      </c>
      <c r="Z22" s="14">
        <f>AVERAGE(L22:O22)</f>
        <v/>
      </c>
      <c r="AA22" s="14">
        <f>AVERAGE(P22:S22)</f>
        <v/>
      </c>
      <c r="AB22" s="14">
        <f>AVERAGE(T22:W22)</f>
        <v/>
      </c>
    </row>
    <row r="23">
      <c r="A23" s="8" t="inlineStr">
        <is>
          <t>Stage Ramp COGS % Revenue Max</t>
        </is>
      </c>
      <c r="B23" s="8" t="inlineStr">
        <is>
          <t>GPT-selected stage ramp contract</t>
        </is>
      </c>
      <c r="C23" s="13" t="n">
        <v>0</v>
      </c>
      <c r="D23" s="13" t="n">
        <v>0.88</v>
      </c>
      <c r="E23" s="13" t="n">
        <v>0.88</v>
      </c>
      <c r="F23" s="13" t="n">
        <v>0.88</v>
      </c>
      <c r="G23" s="13" t="n">
        <v>0.88</v>
      </c>
      <c r="H23" s="13" t="n">
        <v>0.88</v>
      </c>
      <c r="I23" s="13" t="n">
        <v>0.88</v>
      </c>
      <c r="J23" s="13" t="n">
        <v>0.88</v>
      </c>
      <c r="K23" s="13" t="n">
        <v>0.88</v>
      </c>
      <c r="L23" s="13" t="n">
        <v>0.88</v>
      </c>
      <c r="M23" s="13" t="n">
        <v>0.88</v>
      </c>
      <c r="N23" s="13" t="n">
        <v>0.88</v>
      </c>
      <c r="O23" s="13" t="n">
        <v>0.88</v>
      </c>
      <c r="P23" s="13" t="n">
        <v>0.88</v>
      </c>
      <c r="Q23" s="13" t="n">
        <v>0.88</v>
      </c>
      <c r="R23" s="13" t="n">
        <v>0.88</v>
      </c>
      <c r="S23" s="13" t="n">
        <v>0.88</v>
      </c>
      <c r="T23" s="13" t="n">
        <v>0.88</v>
      </c>
      <c r="U23" s="13" t="n">
        <v>0.88</v>
      </c>
      <c r="V23" s="13" t="n">
        <v>0.88</v>
      </c>
      <c r="W23" s="13" t="n">
        <v>0.88</v>
      </c>
      <c r="X23" s="14">
        <f>AVERAGE(D23:G23)</f>
        <v/>
      </c>
      <c r="Y23" s="14">
        <f>AVERAGE(H23:K23)</f>
        <v/>
      </c>
      <c r="Z23" s="14">
        <f>AVERAGE(L23:O23)</f>
        <v/>
      </c>
      <c r="AA23" s="14">
        <f>AVERAGE(P23:S23)</f>
        <v/>
      </c>
      <c r="AB23" s="14">
        <f>AVERAGE(T23:W23)</f>
        <v/>
      </c>
    </row>
    <row r="24">
      <c r="A24" s="8" t="inlineStr">
        <is>
          <t>Stage Ramp Marketing % Revenue Max</t>
        </is>
      </c>
      <c r="B24" s="8" t="inlineStr">
        <is>
          <t>GPT-selected stage ramp contract</t>
        </is>
      </c>
      <c r="C24" s="13" t="n">
        <v>0</v>
      </c>
      <c r="D24" s="13" t="n">
        <v>0.17</v>
      </c>
      <c r="E24" s="13" t="n">
        <v>0.17</v>
      </c>
      <c r="F24" s="13" t="n">
        <v>0.17</v>
      </c>
      <c r="G24" s="13" t="n">
        <v>0.17</v>
      </c>
      <c r="H24" s="13" t="n">
        <v>0.17</v>
      </c>
      <c r="I24" s="13" t="n">
        <v>0.17</v>
      </c>
      <c r="J24" s="13" t="n">
        <v>0.17</v>
      </c>
      <c r="K24" s="13" t="n">
        <v>0.17</v>
      </c>
      <c r="L24" s="13" t="n">
        <v>0.17</v>
      </c>
      <c r="M24" s="13" t="n">
        <v>0.17</v>
      </c>
      <c r="N24" s="13" t="n">
        <v>0.17</v>
      </c>
      <c r="O24" s="13" t="n">
        <v>0.17</v>
      </c>
      <c r="P24" s="13" t="n">
        <v>0.17</v>
      </c>
      <c r="Q24" s="13" t="n">
        <v>0.17</v>
      </c>
      <c r="R24" s="13" t="n">
        <v>0.17</v>
      </c>
      <c r="S24" s="13" t="n">
        <v>0.17</v>
      </c>
      <c r="T24" s="13" t="n">
        <v>0.17</v>
      </c>
      <c r="U24" s="13" t="n">
        <v>0.17</v>
      </c>
      <c r="V24" s="13" t="n">
        <v>0.17</v>
      </c>
      <c r="W24" s="13" t="n">
        <v>0.17</v>
      </c>
      <c r="X24" s="14">
        <f>AVERAGE(D24:G24)</f>
        <v/>
      </c>
      <c r="Y24" s="14">
        <f>AVERAGE(H24:K24)</f>
        <v/>
      </c>
      <c r="Z24" s="14">
        <f>AVERAGE(L24:O24)</f>
        <v/>
      </c>
      <c r="AA24" s="14">
        <f>AVERAGE(P24:S24)</f>
        <v/>
      </c>
      <c r="AB24" s="14">
        <f>AVERAGE(T24:W24)</f>
        <v/>
      </c>
    </row>
    <row r="25">
      <c r="A25" s="8" t="inlineStr">
        <is>
          <t>Stage Ramp R&amp;D % Revenue Max</t>
        </is>
      </c>
      <c r="B25" s="8" t="inlineStr">
        <is>
          <t>GPT-selected stage ramp contract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4">
        <f>AVERAGE(D25:G25)</f>
        <v/>
      </c>
      <c r="Y25" s="14">
        <f>AVERAGE(H25:K25)</f>
        <v/>
      </c>
      <c r="Z25" s="14">
        <f>AVERAGE(L25:O25)</f>
        <v/>
      </c>
      <c r="AA25" s="14">
        <f>AVERAGE(P25:S25)</f>
        <v/>
      </c>
      <c r="AB25" s="14">
        <f>AVERAGE(T25:W25)</f>
        <v/>
      </c>
    </row>
    <row r="26">
      <c r="A26" s="8" t="inlineStr">
        <is>
          <t>Stage Ramp G&amp;A % Revenue Max</t>
        </is>
      </c>
      <c r="B26" s="8" t="inlineStr">
        <is>
          <t>GPT-selected stage ramp contract</t>
        </is>
      </c>
      <c r="C26" s="13" t="n">
        <v>0</v>
      </c>
      <c r="D26" s="13" t="n">
        <v>0.17</v>
      </c>
      <c r="E26" s="13" t="n">
        <v>0.17</v>
      </c>
      <c r="F26" s="13" t="n">
        <v>0.17</v>
      </c>
      <c r="G26" s="13" t="n">
        <v>0.17</v>
      </c>
      <c r="H26" s="13" t="n">
        <v>0.17</v>
      </c>
      <c r="I26" s="13" t="n">
        <v>0.17</v>
      </c>
      <c r="J26" s="13" t="n">
        <v>0.17</v>
      </c>
      <c r="K26" s="13" t="n">
        <v>0.17</v>
      </c>
      <c r="L26" s="13" t="n">
        <v>0.17</v>
      </c>
      <c r="M26" s="13" t="n">
        <v>0.17</v>
      </c>
      <c r="N26" s="13" t="n">
        <v>0.17</v>
      </c>
      <c r="O26" s="13" t="n">
        <v>0.17</v>
      </c>
      <c r="P26" s="13" t="n">
        <v>0.17</v>
      </c>
      <c r="Q26" s="13" t="n">
        <v>0.17</v>
      </c>
      <c r="R26" s="13" t="n">
        <v>0.17</v>
      </c>
      <c r="S26" s="13" t="n">
        <v>0.17</v>
      </c>
      <c r="T26" s="13" t="n">
        <v>0.17</v>
      </c>
      <c r="U26" s="13" t="n">
        <v>0.17</v>
      </c>
      <c r="V26" s="13" t="n">
        <v>0.17</v>
      </c>
      <c r="W26" s="13" t="n">
        <v>0.17</v>
      </c>
      <c r="X26" s="14">
        <f>AVERAGE(D26:G26)</f>
        <v/>
      </c>
      <c r="Y26" s="14">
        <f>AVERAGE(H26:K26)</f>
        <v/>
      </c>
      <c r="Z26" s="14">
        <f>AVERAGE(L26:O26)</f>
        <v/>
      </c>
      <c r="AA26" s="14">
        <f>AVERAGE(P26:S26)</f>
        <v/>
      </c>
      <c r="AB26" s="14">
        <f>AVERAGE(T26:W26)</f>
        <v/>
      </c>
    </row>
    <row r="27">
      <c r="A27" s="8" t="inlineStr">
        <is>
          <t>Stage Ramp Lease % Revenue Max</t>
        </is>
      </c>
      <c r="B27" s="8" t="inlineStr">
        <is>
          <t>GPT-selected stage ramp contract</t>
        </is>
      </c>
      <c r="C27" s="13" t="n">
        <v>0</v>
      </c>
      <c r="D27" s="13" t="n">
        <v>0.11</v>
      </c>
      <c r="E27" s="13" t="n">
        <v>0.11</v>
      </c>
      <c r="F27" s="13" t="n">
        <v>0.11</v>
      </c>
      <c r="G27" s="13" t="n">
        <v>0.11</v>
      </c>
      <c r="H27" s="13" t="n">
        <v>0.11</v>
      </c>
      <c r="I27" s="13" t="n">
        <v>0.11</v>
      </c>
      <c r="J27" s="13" t="n">
        <v>0.11</v>
      </c>
      <c r="K27" s="13" t="n">
        <v>0.11</v>
      </c>
      <c r="L27" s="13" t="n">
        <v>0.11</v>
      </c>
      <c r="M27" s="13" t="n">
        <v>0.11</v>
      </c>
      <c r="N27" s="13" t="n">
        <v>0.11</v>
      </c>
      <c r="O27" s="13" t="n">
        <v>0.11</v>
      </c>
      <c r="P27" s="13" t="n">
        <v>0.11</v>
      </c>
      <c r="Q27" s="13" t="n">
        <v>0.11</v>
      </c>
      <c r="R27" s="13" t="n">
        <v>0.11</v>
      </c>
      <c r="S27" s="13" t="n">
        <v>0.11</v>
      </c>
      <c r="T27" s="13" t="n">
        <v>0.11</v>
      </c>
      <c r="U27" s="13" t="n">
        <v>0.11</v>
      </c>
      <c r="V27" s="13" t="n">
        <v>0.11</v>
      </c>
      <c r="W27" s="13" t="n">
        <v>0.11</v>
      </c>
      <c r="X27" s="14">
        <f>AVERAGE(D27:G27)</f>
        <v/>
      </c>
      <c r="Y27" s="14">
        <f>AVERAGE(H27:K27)</f>
        <v/>
      </c>
      <c r="Z27" s="14">
        <f>AVERAGE(L27:O27)</f>
        <v/>
      </c>
      <c r="AA27" s="14">
        <f>AVERAGE(P27:S27)</f>
        <v/>
      </c>
      <c r="AB27" s="14">
        <f>AVERAGE(T27:W27)</f>
        <v/>
      </c>
    </row>
    <row r="28">
      <c r="A28" s="8" t="inlineStr">
        <is>
          <t>Stage Ramp Net Income Margin Floor</t>
        </is>
      </c>
      <c r="B28" s="8" t="inlineStr">
        <is>
          <t>GPT-selected stage ramp contract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0.05</v>
      </c>
      <c r="I28" s="13" t="n">
        <v>0.05</v>
      </c>
      <c r="J28" s="13" t="n">
        <v>0.05</v>
      </c>
      <c r="K28" s="13" t="n">
        <v>0.05</v>
      </c>
      <c r="L28" s="13" t="n">
        <v>0.05</v>
      </c>
      <c r="M28" s="13" t="n">
        <v>0.05</v>
      </c>
      <c r="N28" s="13" t="n">
        <v>0.07000000000000001</v>
      </c>
      <c r="O28" s="13" t="n">
        <v>0.07000000000000001</v>
      </c>
      <c r="P28" s="13" t="n">
        <v>0.07000000000000001</v>
      </c>
      <c r="Q28" s="13" t="n">
        <v>0.07000000000000001</v>
      </c>
      <c r="R28" s="13" t="n">
        <v>0.07000000000000001</v>
      </c>
      <c r="S28" s="13" t="n">
        <v>0.07000000000000001</v>
      </c>
      <c r="T28" s="13" t="n">
        <v>0.07000000000000001</v>
      </c>
      <c r="U28" s="13" t="n">
        <v>0.07000000000000001</v>
      </c>
      <c r="V28" s="13" t="n">
        <v>0.07000000000000001</v>
      </c>
      <c r="W28" s="13" t="n">
        <v>0.07000000000000001</v>
      </c>
      <c r="X28" s="14">
        <f>AVERAGE(D28:G28)</f>
        <v/>
      </c>
      <c r="Y28" s="14">
        <f>AVERAGE(H28:K28)</f>
        <v/>
      </c>
      <c r="Z28" s="14">
        <f>AVERAGE(L28:O28)</f>
        <v/>
      </c>
      <c r="AA28" s="14">
        <f>AVERAGE(P28:S28)</f>
        <v/>
      </c>
      <c r="AB28" s="14">
        <f>AVERAGE(T28:W28)</f>
        <v/>
      </c>
    </row>
  </sheetData>
  <mergeCells count="3">
    <mergeCell ref="A6:AB6"/>
    <mergeCell ref="A7:AB7"/>
    <mergeCell ref="A16:A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AB8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Payroll Schedule</t>
        </is>
      </c>
    </row>
    <row r="2">
      <c r="A2" s="2" t="inlineStr">
        <is>
          <t>OEWS-title, capacity/utilization-driven payroll source. Model Inputs links to Total Payroll.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Payroll Assumptions</t>
        </is>
      </c>
    </row>
    <row r="7">
      <c r="A7" t="inlineStr">
        <is>
          <t>Capacity Labor Model</t>
        </is>
      </c>
      <c r="B7" t="inlineStr">
        <is>
          <t>labor_driven</t>
        </is>
      </c>
    </row>
    <row r="8">
      <c r="A8" t="inlineStr">
        <is>
          <t>Labor Intensity Class</t>
        </is>
      </c>
      <c r="B8" t="inlineStr">
        <is>
          <t>medium</t>
        </is>
      </c>
    </row>
    <row r="9">
      <c r="A9" t="inlineStr">
        <is>
          <t>Wage Positioning Tier</t>
        </is>
      </c>
      <c r="B9" t="inlineStr">
        <is>
          <t>market</t>
        </is>
      </c>
    </row>
    <row r="10">
      <c r="A10" t="inlineStr">
        <is>
          <t>Wage Positioning Multiplier</t>
        </is>
      </c>
      <c r="B10" t="n">
        <v>1.25</v>
      </c>
    </row>
    <row r="11">
      <c r="A11" t="inlineStr">
        <is>
          <t>Capacity Units per Supporting FTE</t>
        </is>
      </c>
      <c r="B11" t="n">
        <v>2815.55</v>
      </c>
    </row>
    <row r="12">
      <c r="A12" t="inlineStr">
        <is>
          <t>Target Payroll % of Revenue</t>
        </is>
      </c>
      <c r="B12" t="n">
        <v>0.11</v>
      </c>
    </row>
    <row r="14">
      <c r="A14" s="7" t="inlineStr">
        <is>
          <t>Quarter Summary</t>
        </is>
      </c>
    </row>
    <row r="15">
      <c r="A15" s="21" t="inlineStr">
        <is>
          <t>Total Ending FTE</t>
        </is>
      </c>
      <c r="B15" s="21" t="inlineStr">
        <is>
          <t>Formula output from payroll detail</t>
        </is>
      </c>
      <c r="C15" s="23">
        <f>SUMIFS($G$27:$G$86,$A$27:$A$86,0)</f>
        <v/>
      </c>
      <c r="D15" s="23">
        <f>SUMIFS($G$27:$G$86,$A$27:$A$86,1)</f>
        <v/>
      </c>
      <c r="E15" s="23">
        <f>SUMIFS($G$27:$G$86,$A$27:$A$86,2)</f>
        <v/>
      </c>
      <c r="F15" s="23">
        <f>SUMIFS($G$27:$G$86,$A$27:$A$86,3)</f>
        <v/>
      </c>
      <c r="G15" s="23">
        <f>SUMIFS($G$27:$G$86,$A$27:$A$86,4)</f>
        <v/>
      </c>
      <c r="H15" s="23">
        <f>SUMIFS($G$27:$G$86,$A$27:$A$86,5)</f>
        <v/>
      </c>
      <c r="I15" s="23">
        <f>SUMIFS($G$27:$G$86,$A$27:$A$86,6)</f>
        <v/>
      </c>
      <c r="J15" s="23">
        <f>SUMIFS($G$27:$G$86,$A$27:$A$86,7)</f>
        <v/>
      </c>
      <c r="K15" s="23">
        <f>SUMIFS($G$27:$G$86,$A$27:$A$86,8)</f>
        <v/>
      </c>
      <c r="L15" s="23">
        <f>SUMIFS($G$27:$G$86,$A$27:$A$86,9)</f>
        <v/>
      </c>
      <c r="M15" s="23">
        <f>SUMIFS($G$27:$G$86,$A$27:$A$86,10)</f>
        <v/>
      </c>
      <c r="N15" s="23">
        <f>SUMIFS($G$27:$G$86,$A$27:$A$86,11)</f>
        <v/>
      </c>
      <c r="O15" s="23">
        <f>SUMIFS($G$27:$G$86,$A$27:$A$86,12)</f>
        <v/>
      </c>
      <c r="P15" s="23">
        <f>SUMIFS($G$27:$G$86,$A$27:$A$86,13)</f>
        <v/>
      </c>
      <c r="Q15" s="23">
        <f>SUMIFS($G$27:$G$86,$A$27:$A$86,14)</f>
        <v/>
      </c>
      <c r="R15" s="23">
        <f>SUMIFS($G$27:$G$86,$A$27:$A$86,15)</f>
        <v/>
      </c>
      <c r="S15" s="23">
        <f>SUMIFS($G$27:$G$86,$A$27:$A$86,16)</f>
        <v/>
      </c>
      <c r="T15" s="23">
        <f>SUMIFS($G$27:$G$86,$A$27:$A$86,17)</f>
        <v/>
      </c>
      <c r="U15" s="23">
        <f>SUMIFS($G$27:$G$86,$A$27:$A$86,18)</f>
        <v/>
      </c>
      <c r="V15" s="23">
        <f>SUMIFS($G$27:$G$86,$A$27:$A$86,19)</f>
        <v/>
      </c>
      <c r="W15" s="23">
        <f>SUMIFS($G$27:$G$86,$A$27:$A$86,20)</f>
        <v/>
      </c>
      <c r="X15" s="23">
        <f>G15</f>
        <v/>
      </c>
      <c r="Y15" s="23">
        <f>K15</f>
        <v/>
      </c>
      <c r="Z15" s="23">
        <f>O15</f>
        <v/>
      </c>
      <c r="AA15" s="23">
        <f>S15</f>
        <v/>
      </c>
      <c r="AB15" s="23">
        <f>W15</f>
        <v/>
      </c>
    </row>
    <row r="16">
      <c r="A16" s="21" t="inlineStr">
        <is>
          <t>Total Average FTE</t>
        </is>
      </c>
      <c r="B16" s="21" t="inlineStr">
        <is>
          <t>Formula output from payroll detail</t>
        </is>
      </c>
      <c r="C16" s="23">
        <f>SUMIFS($H$27:$H$86,$A$27:$A$86,0)</f>
        <v/>
      </c>
      <c r="D16" s="23">
        <f>SUMIFS($H$27:$H$86,$A$27:$A$86,1)</f>
        <v/>
      </c>
      <c r="E16" s="23">
        <f>SUMIFS($H$27:$H$86,$A$27:$A$86,2)</f>
        <v/>
      </c>
      <c r="F16" s="23">
        <f>SUMIFS($H$27:$H$86,$A$27:$A$86,3)</f>
        <v/>
      </c>
      <c r="G16" s="23">
        <f>SUMIFS($H$27:$H$86,$A$27:$A$86,4)</f>
        <v/>
      </c>
      <c r="H16" s="23">
        <f>SUMIFS($H$27:$H$86,$A$27:$A$86,5)</f>
        <v/>
      </c>
      <c r="I16" s="23">
        <f>SUMIFS($H$27:$H$86,$A$27:$A$86,6)</f>
        <v/>
      </c>
      <c r="J16" s="23">
        <f>SUMIFS($H$27:$H$86,$A$27:$A$86,7)</f>
        <v/>
      </c>
      <c r="K16" s="23">
        <f>SUMIFS($H$27:$H$86,$A$27:$A$86,8)</f>
        <v/>
      </c>
      <c r="L16" s="23">
        <f>SUMIFS($H$27:$H$86,$A$27:$A$86,9)</f>
        <v/>
      </c>
      <c r="M16" s="23">
        <f>SUMIFS($H$27:$H$86,$A$27:$A$86,10)</f>
        <v/>
      </c>
      <c r="N16" s="23">
        <f>SUMIFS($H$27:$H$86,$A$27:$A$86,11)</f>
        <v/>
      </c>
      <c r="O16" s="23">
        <f>SUMIFS($H$27:$H$86,$A$27:$A$86,12)</f>
        <v/>
      </c>
      <c r="P16" s="23">
        <f>SUMIFS($H$27:$H$86,$A$27:$A$86,13)</f>
        <v/>
      </c>
      <c r="Q16" s="23">
        <f>SUMIFS($H$27:$H$86,$A$27:$A$86,14)</f>
        <v/>
      </c>
      <c r="R16" s="23">
        <f>SUMIFS($H$27:$H$86,$A$27:$A$86,15)</f>
        <v/>
      </c>
      <c r="S16" s="23">
        <f>SUMIFS($H$27:$H$86,$A$27:$A$86,16)</f>
        <v/>
      </c>
      <c r="T16" s="23">
        <f>SUMIFS($H$27:$H$86,$A$27:$A$86,17)</f>
        <v/>
      </c>
      <c r="U16" s="23">
        <f>SUMIFS($H$27:$H$86,$A$27:$A$86,18)</f>
        <v/>
      </c>
      <c r="V16" s="23">
        <f>SUMIFS($H$27:$H$86,$A$27:$A$86,19)</f>
        <v/>
      </c>
      <c r="W16" s="23">
        <f>SUMIFS($H$27:$H$86,$A$27:$A$86,20)</f>
        <v/>
      </c>
      <c r="X16" s="23">
        <f>AVERAGE(D16:G16)</f>
        <v/>
      </c>
      <c r="Y16" s="23">
        <f>AVERAGE(H16:K16)</f>
        <v/>
      </c>
      <c r="Z16" s="23">
        <f>AVERAGE(L16:O16)</f>
        <v/>
      </c>
      <c r="AA16" s="23">
        <f>AVERAGE(P16:S16)</f>
        <v/>
      </c>
      <c r="AB16" s="23">
        <f>AVERAGE(T16:W16)</f>
        <v/>
      </c>
    </row>
    <row r="17">
      <c r="A17" s="24" t="inlineStr">
        <is>
          <t>Total Payroll</t>
        </is>
      </c>
      <c r="B17" s="24" t="inlineStr">
        <is>
          <t>Formula output from payroll detail</t>
        </is>
      </c>
      <c r="C17" s="25">
        <f>SUMIFS($M$27:$M$86,$A$27:$A$86,0)</f>
        <v/>
      </c>
      <c r="D17" s="25">
        <f>SUMIFS($M$27:$M$86,$A$27:$A$86,1)</f>
        <v/>
      </c>
      <c r="E17" s="25">
        <f>SUMIFS($M$27:$M$86,$A$27:$A$86,2)</f>
        <v/>
      </c>
      <c r="F17" s="25">
        <f>SUMIFS($M$27:$M$86,$A$27:$A$86,3)</f>
        <v/>
      </c>
      <c r="G17" s="25">
        <f>SUMIFS($M$27:$M$86,$A$27:$A$86,4)</f>
        <v/>
      </c>
      <c r="H17" s="25">
        <f>SUMIFS($M$27:$M$86,$A$27:$A$86,5)</f>
        <v/>
      </c>
      <c r="I17" s="25">
        <f>SUMIFS($M$27:$M$86,$A$27:$A$86,6)</f>
        <v/>
      </c>
      <c r="J17" s="25">
        <f>SUMIFS($M$27:$M$86,$A$27:$A$86,7)</f>
        <v/>
      </c>
      <c r="K17" s="25">
        <f>SUMIFS($M$27:$M$86,$A$27:$A$86,8)</f>
        <v/>
      </c>
      <c r="L17" s="25">
        <f>SUMIFS($M$27:$M$86,$A$27:$A$86,9)</f>
        <v/>
      </c>
      <c r="M17" s="25">
        <f>SUMIFS($M$27:$M$86,$A$27:$A$86,10)</f>
        <v/>
      </c>
      <c r="N17" s="25">
        <f>SUMIFS($M$27:$M$86,$A$27:$A$86,11)</f>
        <v/>
      </c>
      <c r="O17" s="25">
        <f>SUMIFS($M$27:$M$86,$A$27:$A$86,12)</f>
        <v/>
      </c>
      <c r="P17" s="25">
        <f>SUMIFS($M$27:$M$86,$A$27:$A$86,13)</f>
        <v/>
      </c>
      <c r="Q17" s="25">
        <f>SUMIFS($M$27:$M$86,$A$27:$A$86,14)</f>
        <v/>
      </c>
      <c r="R17" s="25">
        <f>SUMIFS($M$27:$M$86,$A$27:$A$86,15)</f>
        <v/>
      </c>
      <c r="S17" s="25">
        <f>SUMIFS($M$27:$M$86,$A$27:$A$86,16)</f>
        <v/>
      </c>
      <c r="T17" s="25">
        <f>SUMIFS($M$27:$M$86,$A$27:$A$86,17)</f>
        <v/>
      </c>
      <c r="U17" s="25">
        <f>SUMIFS($M$27:$M$86,$A$27:$A$86,18)</f>
        <v/>
      </c>
      <c r="V17" s="25">
        <f>SUMIFS($M$27:$M$86,$A$27:$A$86,19)</f>
        <v/>
      </c>
      <c r="W17" s="25">
        <f>SUMIFS($M$27:$M$86,$A$27:$A$86,20)</f>
        <v/>
      </c>
      <c r="X17" s="25">
        <f>SUM(D17:G17)</f>
        <v/>
      </c>
      <c r="Y17" s="25">
        <f>SUM(H17:K17)</f>
        <v/>
      </c>
      <c r="Z17" s="25">
        <f>SUM(L17:O17)</f>
        <v/>
      </c>
      <c r="AA17" s="25">
        <f>SUM(P17:S17)</f>
        <v/>
      </c>
      <c r="AB17" s="25">
        <f>SUM(T17:W17)</f>
        <v/>
      </c>
    </row>
    <row r="18">
      <c r="A18" s="21" t="inlineStr">
        <is>
          <t>Total Revenue</t>
        </is>
      </c>
      <c r="B18" s="21" t="inlineStr">
        <is>
          <t>Linked from Revenue Drivers</t>
        </is>
      </c>
      <c r="C18" s="26">
        <f>'Revenue Drivers'!C14</f>
        <v/>
      </c>
      <c r="D18" s="26">
        <f>'Revenue Drivers'!D14</f>
        <v/>
      </c>
      <c r="E18" s="26">
        <f>'Revenue Drivers'!E14</f>
        <v/>
      </c>
      <c r="F18" s="26">
        <f>'Revenue Drivers'!F14</f>
        <v/>
      </c>
      <c r="G18" s="26">
        <f>'Revenue Drivers'!G14</f>
        <v/>
      </c>
      <c r="H18" s="26">
        <f>'Revenue Drivers'!H14</f>
        <v/>
      </c>
      <c r="I18" s="26">
        <f>'Revenue Drivers'!I14</f>
        <v/>
      </c>
      <c r="J18" s="26">
        <f>'Revenue Drivers'!J14</f>
        <v/>
      </c>
      <c r="K18" s="26">
        <f>'Revenue Drivers'!K14</f>
        <v/>
      </c>
      <c r="L18" s="26">
        <f>'Revenue Drivers'!L14</f>
        <v/>
      </c>
      <c r="M18" s="26">
        <f>'Revenue Drivers'!M14</f>
        <v/>
      </c>
      <c r="N18" s="26">
        <f>'Revenue Drivers'!N14</f>
        <v/>
      </c>
      <c r="O18" s="26">
        <f>'Revenue Drivers'!O14</f>
        <v/>
      </c>
      <c r="P18" s="26">
        <f>'Revenue Drivers'!P14</f>
        <v/>
      </c>
      <c r="Q18" s="26">
        <f>'Revenue Drivers'!Q14</f>
        <v/>
      </c>
      <c r="R18" s="26">
        <f>'Revenue Drivers'!R14</f>
        <v/>
      </c>
      <c r="S18" s="26">
        <f>'Revenue Drivers'!S14</f>
        <v/>
      </c>
      <c r="T18" s="26">
        <f>'Revenue Drivers'!T14</f>
        <v/>
      </c>
      <c r="U18" s="26">
        <f>'Revenue Drivers'!U14</f>
        <v/>
      </c>
      <c r="V18" s="26">
        <f>'Revenue Drivers'!V14</f>
        <v/>
      </c>
      <c r="W18" s="26">
        <f>'Revenue Drivers'!W14</f>
        <v/>
      </c>
      <c r="X18" s="26">
        <f>SUM(D18:G18)</f>
        <v/>
      </c>
      <c r="Y18" s="26">
        <f>SUM(H18:K18)</f>
        <v/>
      </c>
      <c r="Z18" s="26">
        <f>SUM(L18:O18)</f>
        <v/>
      </c>
      <c r="AA18" s="26">
        <f>SUM(P18:S18)</f>
        <v/>
      </c>
      <c r="AB18" s="26">
        <f>SUM(T18:W18)</f>
        <v/>
      </c>
    </row>
    <row r="19">
      <c r="A19" s="21" t="inlineStr">
        <is>
          <t>Total Capacity Units</t>
        </is>
      </c>
      <c r="B19" s="21" t="inlineStr">
        <is>
          <t>Linked from Revenue Drivers</t>
        </is>
      </c>
      <c r="C19" s="23">
        <f>'Revenue Drivers'!C13</f>
        <v/>
      </c>
      <c r="D19" s="23">
        <f>'Revenue Drivers'!D13</f>
        <v/>
      </c>
      <c r="E19" s="23">
        <f>'Revenue Drivers'!E13</f>
        <v/>
      </c>
      <c r="F19" s="23">
        <f>'Revenue Drivers'!F13</f>
        <v/>
      </c>
      <c r="G19" s="23">
        <f>'Revenue Drivers'!G13</f>
        <v/>
      </c>
      <c r="H19" s="23">
        <f>'Revenue Drivers'!H13</f>
        <v/>
      </c>
      <c r="I19" s="23">
        <f>'Revenue Drivers'!I13</f>
        <v/>
      </c>
      <c r="J19" s="23">
        <f>'Revenue Drivers'!J13</f>
        <v/>
      </c>
      <c r="K19" s="23">
        <f>'Revenue Drivers'!K13</f>
        <v/>
      </c>
      <c r="L19" s="23">
        <f>'Revenue Drivers'!L13</f>
        <v/>
      </c>
      <c r="M19" s="23">
        <f>'Revenue Drivers'!M13</f>
        <v/>
      </c>
      <c r="N19" s="23">
        <f>'Revenue Drivers'!N13</f>
        <v/>
      </c>
      <c r="O19" s="23">
        <f>'Revenue Drivers'!O13</f>
        <v/>
      </c>
      <c r="P19" s="23">
        <f>'Revenue Drivers'!P13</f>
        <v/>
      </c>
      <c r="Q19" s="23">
        <f>'Revenue Drivers'!Q13</f>
        <v/>
      </c>
      <c r="R19" s="23">
        <f>'Revenue Drivers'!R13</f>
        <v/>
      </c>
      <c r="S19" s="23">
        <f>'Revenue Drivers'!S13</f>
        <v/>
      </c>
      <c r="T19" s="23">
        <f>'Revenue Drivers'!T13</f>
        <v/>
      </c>
      <c r="U19" s="23">
        <f>'Revenue Drivers'!U13</f>
        <v/>
      </c>
      <c r="V19" s="23">
        <f>'Revenue Drivers'!V13</f>
        <v/>
      </c>
      <c r="W19" s="23">
        <f>'Revenue Drivers'!W13</f>
        <v/>
      </c>
      <c r="X19" s="23">
        <f>SUM(D19:G19)</f>
        <v/>
      </c>
      <c r="Y19" s="23">
        <f>SUM(H19:K19)</f>
        <v/>
      </c>
      <c r="Z19" s="23">
        <f>SUM(L19:O19)</f>
        <v/>
      </c>
      <c r="AA19" s="23">
        <f>SUM(P19:S19)</f>
        <v/>
      </c>
      <c r="AB19" s="23">
        <f>SUM(T19:W19)</f>
        <v/>
      </c>
    </row>
    <row r="20">
      <c r="A20" s="24" t="inlineStr">
        <is>
          <t>Revenue per Employee</t>
        </is>
      </c>
      <c r="B20" s="24" t="inlineStr">
        <is>
          <t>Python-built productivity formula</t>
        </is>
      </c>
      <c r="C20" s="25">
        <f>IFERROR(C18/C16,0)</f>
        <v/>
      </c>
      <c r="D20" s="25">
        <f>IFERROR(D18/D16,0)</f>
        <v/>
      </c>
      <c r="E20" s="25">
        <f>IFERROR(E18/E16,0)</f>
        <v/>
      </c>
      <c r="F20" s="25">
        <f>IFERROR(F18/F16,0)</f>
        <v/>
      </c>
      <c r="G20" s="25">
        <f>IFERROR(G18/G16,0)</f>
        <v/>
      </c>
      <c r="H20" s="25">
        <f>IFERROR(H18/H16,0)</f>
        <v/>
      </c>
      <c r="I20" s="25">
        <f>IFERROR(I18/I16,0)</f>
        <v/>
      </c>
      <c r="J20" s="25">
        <f>IFERROR(J18/J16,0)</f>
        <v/>
      </c>
      <c r="K20" s="25">
        <f>IFERROR(K18/K16,0)</f>
        <v/>
      </c>
      <c r="L20" s="25">
        <f>IFERROR(L18/L16,0)</f>
        <v/>
      </c>
      <c r="M20" s="25">
        <f>IFERROR(M18/M16,0)</f>
        <v/>
      </c>
      <c r="N20" s="25">
        <f>IFERROR(N18/N16,0)</f>
        <v/>
      </c>
      <c r="O20" s="25">
        <f>IFERROR(O18/O16,0)</f>
        <v/>
      </c>
      <c r="P20" s="25">
        <f>IFERROR(P18/P16,0)</f>
        <v/>
      </c>
      <c r="Q20" s="25">
        <f>IFERROR(Q18/Q16,0)</f>
        <v/>
      </c>
      <c r="R20" s="25">
        <f>IFERROR(R18/R16,0)</f>
        <v/>
      </c>
      <c r="S20" s="25">
        <f>IFERROR(S18/S16,0)</f>
        <v/>
      </c>
      <c r="T20" s="25">
        <f>IFERROR(T18/T16,0)</f>
        <v/>
      </c>
      <c r="U20" s="25">
        <f>IFERROR(U18/U16,0)</f>
        <v/>
      </c>
      <c r="V20" s="25">
        <f>IFERROR(V18/V16,0)</f>
        <v/>
      </c>
      <c r="W20" s="25">
        <f>IFERROR(W18/W16,0)</f>
        <v/>
      </c>
      <c r="X20" s="25">
        <f>IFERROR(X18/X16,0)</f>
        <v/>
      </c>
      <c r="Y20" s="25">
        <f>IFERROR(Y18/Y16,0)</f>
        <v/>
      </c>
      <c r="Z20" s="25">
        <f>IFERROR(Z18/Z16,0)</f>
        <v/>
      </c>
      <c r="AA20" s="25">
        <f>IFERROR(AA18/AA16,0)</f>
        <v/>
      </c>
      <c r="AB20" s="25">
        <f>IFERROR(AB18/AB16,0)</f>
        <v/>
      </c>
    </row>
    <row r="21">
      <c r="A21" s="24" t="inlineStr">
        <is>
          <t>Units per Employee</t>
        </is>
      </c>
      <c r="B21" s="24" t="inlineStr">
        <is>
          <t>Python-built productivity formula</t>
        </is>
      </c>
      <c r="C21" s="27">
        <f>IFERROR(C19/C16,0)</f>
        <v/>
      </c>
      <c r="D21" s="27">
        <f>IFERROR(D19/D16,0)</f>
        <v/>
      </c>
      <c r="E21" s="27">
        <f>IFERROR(E19/E16,0)</f>
        <v/>
      </c>
      <c r="F21" s="27">
        <f>IFERROR(F19/F16,0)</f>
        <v/>
      </c>
      <c r="G21" s="27">
        <f>IFERROR(G19/G16,0)</f>
        <v/>
      </c>
      <c r="H21" s="27">
        <f>IFERROR(H19/H16,0)</f>
        <v/>
      </c>
      <c r="I21" s="27">
        <f>IFERROR(I19/I16,0)</f>
        <v/>
      </c>
      <c r="J21" s="27">
        <f>IFERROR(J19/J16,0)</f>
        <v/>
      </c>
      <c r="K21" s="27">
        <f>IFERROR(K19/K16,0)</f>
        <v/>
      </c>
      <c r="L21" s="27">
        <f>IFERROR(L19/L16,0)</f>
        <v/>
      </c>
      <c r="M21" s="27">
        <f>IFERROR(M19/M16,0)</f>
        <v/>
      </c>
      <c r="N21" s="27">
        <f>IFERROR(N19/N16,0)</f>
        <v/>
      </c>
      <c r="O21" s="27">
        <f>IFERROR(O19/O16,0)</f>
        <v/>
      </c>
      <c r="P21" s="27">
        <f>IFERROR(P19/P16,0)</f>
        <v/>
      </c>
      <c r="Q21" s="27">
        <f>IFERROR(Q19/Q16,0)</f>
        <v/>
      </c>
      <c r="R21" s="27">
        <f>IFERROR(R19/R16,0)</f>
        <v/>
      </c>
      <c r="S21" s="27">
        <f>IFERROR(S19/S16,0)</f>
        <v/>
      </c>
      <c r="T21" s="27">
        <f>IFERROR(T19/T16,0)</f>
        <v/>
      </c>
      <c r="U21" s="27">
        <f>IFERROR(U19/U16,0)</f>
        <v/>
      </c>
      <c r="V21" s="27">
        <f>IFERROR(V19/V16,0)</f>
        <v/>
      </c>
      <c r="W21" s="27">
        <f>IFERROR(W19/W16,0)</f>
        <v/>
      </c>
      <c r="X21" s="27">
        <f>IFERROR(X19/X16,0)</f>
        <v/>
      </c>
      <c r="Y21" s="27">
        <f>IFERROR(Y19/Y16,0)</f>
        <v/>
      </c>
      <c r="Z21" s="27">
        <f>IFERROR(Z19/Z16,0)</f>
        <v/>
      </c>
      <c r="AA21" s="27">
        <f>IFERROR(AA19/AA16,0)</f>
        <v/>
      </c>
      <c r="AB21" s="27">
        <f>IFERROR(AB19/AB16,0)</f>
        <v/>
      </c>
    </row>
    <row r="22">
      <c r="A22" s="21" t="inlineStr">
        <is>
          <t>Payroll % of Revenue</t>
        </is>
      </c>
      <c r="B22" s="21" t="inlineStr">
        <is>
          <t>Python-built productivity formula</t>
        </is>
      </c>
      <c r="C22" s="22">
        <f>IFERROR(C17/C18,0)</f>
        <v/>
      </c>
      <c r="D22" s="22">
        <f>IFERROR(D17/D18,0)</f>
        <v/>
      </c>
      <c r="E22" s="22">
        <f>IFERROR(E17/E18,0)</f>
        <v/>
      </c>
      <c r="F22" s="22">
        <f>IFERROR(F17/F18,0)</f>
        <v/>
      </c>
      <c r="G22" s="22">
        <f>IFERROR(G17/G18,0)</f>
        <v/>
      </c>
      <c r="H22" s="22">
        <f>IFERROR(H17/H18,0)</f>
        <v/>
      </c>
      <c r="I22" s="22">
        <f>IFERROR(I17/I18,0)</f>
        <v/>
      </c>
      <c r="J22" s="22">
        <f>IFERROR(J17/J18,0)</f>
        <v/>
      </c>
      <c r="K22" s="22">
        <f>IFERROR(K17/K18,0)</f>
        <v/>
      </c>
      <c r="L22" s="22">
        <f>IFERROR(L17/L18,0)</f>
        <v/>
      </c>
      <c r="M22" s="22">
        <f>IFERROR(M17/M18,0)</f>
        <v/>
      </c>
      <c r="N22" s="22">
        <f>IFERROR(N17/N18,0)</f>
        <v/>
      </c>
      <c r="O22" s="22">
        <f>IFERROR(O17/O18,0)</f>
        <v/>
      </c>
      <c r="P22" s="22">
        <f>IFERROR(P17/P18,0)</f>
        <v/>
      </c>
      <c r="Q22" s="22">
        <f>IFERROR(Q17/Q18,0)</f>
        <v/>
      </c>
      <c r="R22" s="22">
        <f>IFERROR(R17/R18,0)</f>
        <v/>
      </c>
      <c r="S22" s="22">
        <f>IFERROR(S17/S18,0)</f>
        <v/>
      </c>
      <c r="T22" s="22">
        <f>IFERROR(T17/T18,0)</f>
        <v/>
      </c>
      <c r="U22" s="22">
        <f>IFERROR(U17/U18,0)</f>
        <v/>
      </c>
      <c r="V22" s="22">
        <f>IFERROR(V17/V18,0)</f>
        <v/>
      </c>
      <c r="W22" s="22">
        <f>IFERROR(W17/W18,0)</f>
        <v/>
      </c>
      <c r="X22" s="22">
        <f>IFERROR(X17/X18,0)</f>
        <v/>
      </c>
      <c r="Y22" s="22">
        <f>IFERROR(Y17/Y18,0)</f>
        <v/>
      </c>
      <c r="Z22" s="22">
        <f>IFERROR(Z17/Z18,0)</f>
        <v/>
      </c>
      <c r="AA22" s="22">
        <f>IFERROR(AA17/AA18,0)</f>
        <v/>
      </c>
      <c r="AB22" s="22">
        <f>IFERROR(AB17/AB18,0)</f>
        <v/>
      </c>
    </row>
    <row r="25">
      <c r="A25" s="7" t="inlineStr">
        <is>
          <t>Payroll Detail</t>
        </is>
      </c>
    </row>
    <row r="26">
      <c r="A26" s="28" t="inlineStr">
        <is>
          <t>Quarter</t>
        </is>
      </c>
      <c r="B26" s="28" t="inlineStr">
        <is>
          <t>Staffing Class</t>
        </is>
      </c>
      <c r="C26" s="28" t="inlineStr">
        <is>
          <t>Title / Person</t>
        </is>
      </c>
      <c r="D26" s="28" t="inlineStr">
        <is>
          <t>OEWS Title</t>
        </is>
      </c>
      <c r="E26" s="28" t="inlineStr">
        <is>
          <t>Starting FTE</t>
        </is>
      </c>
      <c r="F26" s="28" t="inlineStr">
        <is>
          <t>Hires</t>
        </is>
      </c>
      <c r="G26" s="28" t="inlineStr">
        <is>
          <t>Ending FTE</t>
        </is>
      </c>
      <c r="H26" s="28" t="inlineStr">
        <is>
          <t>Average FTE</t>
        </is>
      </c>
      <c r="I26" s="28" t="inlineStr">
        <is>
          <t>Annual Wage</t>
        </is>
      </c>
      <c r="J26" s="28" t="inlineStr">
        <is>
          <t>Benefits %</t>
        </is>
      </c>
      <c r="K26" s="28" t="inlineStr">
        <is>
          <t>Wage Cost</t>
        </is>
      </c>
      <c r="L26" s="28" t="inlineStr">
        <is>
          <t>Taxes &amp; Benefits</t>
        </is>
      </c>
      <c r="M26" s="28" t="inlineStr">
        <is>
          <t>Total Payroll</t>
        </is>
      </c>
      <c r="N26" s="28" t="inlineStr">
        <is>
          <t>Wage Source</t>
        </is>
      </c>
    </row>
    <row r="27">
      <c r="A27" t="n">
        <v>1</v>
      </c>
      <c r="B27" t="inlineStr">
        <is>
          <t>key_person</t>
        </is>
      </c>
      <c r="C27" t="inlineStr">
        <is>
          <t>Chief Executive Officer (CEO)</t>
        </is>
      </c>
      <c r="D27" t="inlineStr"/>
      <c r="E27" s="29" t="n">
        <v>1</v>
      </c>
      <c r="F27" s="29" t="n">
        <v>0</v>
      </c>
      <c r="G27" s="30">
        <f>E27+F27</f>
        <v/>
      </c>
      <c r="H27" s="30">
        <f>(E27+G27)/2</f>
        <v/>
      </c>
      <c r="I27" s="31" t="n">
        <v>158130</v>
      </c>
      <c r="J27" s="32" t="n">
        <v>0.22</v>
      </c>
      <c r="K27" s="33">
        <f>H27*I27/4</f>
        <v/>
      </c>
      <c r="L27" s="33">
        <f>K27*J27</f>
        <v/>
      </c>
      <c r="M27" s="33">
        <f>K27+L27</f>
        <v/>
      </c>
      <c r="N27" t="inlineStr">
        <is>
          <t>oews_pct10</t>
        </is>
      </c>
    </row>
    <row r="28">
      <c r="A28" t="n">
        <v>2</v>
      </c>
      <c r="B28" t="inlineStr">
        <is>
          <t>key_person</t>
        </is>
      </c>
      <c r="C28" t="inlineStr">
        <is>
          <t>Chief Executive Officer (CEO)</t>
        </is>
      </c>
      <c r="D28" t="inlineStr"/>
      <c r="E28" s="29" t="n">
        <v>1</v>
      </c>
      <c r="F28" s="29" t="n">
        <v>0</v>
      </c>
      <c r="G28" s="30">
        <f>E28+F28</f>
        <v/>
      </c>
      <c r="H28" s="30">
        <f>(E28+G28)/2</f>
        <v/>
      </c>
      <c r="I28" s="31" t="n">
        <v>158130</v>
      </c>
      <c r="J28" s="32" t="n">
        <v>0.22</v>
      </c>
      <c r="K28" s="33">
        <f>H28*I28/4</f>
        <v/>
      </c>
      <c r="L28" s="33">
        <f>K28*J28</f>
        <v/>
      </c>
      <c r="M28" s="33">
        <f>K28+L28</f>
        <v/>
      </c>
      <c r="N28" t="inlineStr">
        <is>
          <t>oews_pct10</t>
        </is>
      </c>
    </row>
    <row r="29">
      <c r="A29" t="n">
        <v>3</v>
      </c>
      <c r="B29" t="inlineStr">
        <is>
          <t>key_person</t>
        </is>
      </c>
      <c r="C29" t="inlineStr">
        <is>
          <t>Chief Executive Officer (CEO)</t>
        </is>
      </c>
      <c r="D29" t="inlineStr"/>
      <c r="E29" s="29" t="n">
        <v>1</v>
      </c>
      <c r="F29" s="29" t="n">
        <v>0</v>
      </c>
      <c r="G29" s="30">
        <f>E29+F29</f>
        <v/>
      </c>
      <c r="H29" s="30">
        <f>(E29+G29)/2</f>
        <v/>
      </c>
      <c r="I29" s="31" t="n">
        <v>158130</v>
      </c>
      <c r="J29" s="32" t="n">
        <v>0.22</v>
      </c>
      <c r="K29" s="33">
        <f>H29*I29/4</f>
        <v/>
      </c>
      <c r="L29" s="33">
        <f>K29*J29</f>
        <v/>
      </c>
      <c r="M29" s="33">
        <f>K29+L29</f>
        <v/>
      </c>
      <c r="N29" t="inlineStr">
        <is>
          <t>oews_pct10</t>
        </is>
      </c>
    </row>
    <row r="30">
      <c r="A30" t="n">
        <v>4</v>
      </c>
      <c r="B30" t="inlineStr">
        <is>
          <t>key_person</t>
        </is>
      </c>
      <c r="C30" t="inlineStr">
        <is>
          <t>Chief Executive Officer (CEO)</t>
        </is>
      </c>
      <c r="D30" t="inlineStr"/>
      <c r="E30" s="29" t="n">
        <v>1</v>
      </c>
      <c r="F30" s="29" t="n">
        <v>0</v>
      </c>
      <c r="G30" s="30">
        <f>E30+F30</f>
        <v/>
      </c>
      <c r="H30" s="30">
        <f>(E30+G30)/2</f>
        <v/>
      </c>
      <c r="I30" s="31" t="n">
        <v>158130</v>
      </c>
      <c r="J30" s="32" t="n">
        <v>0.22</v>
      </c>
      <c r="K30" s="33">
        <f>H30*I30/4</f>
        <v/>
      </c>
      <c r="L30" s="33">
        <f>K30*J30</f>
        <v/>
      </c>
      <c r="M30" s="33">
        <f>K30+L30</f>
        <v/>
      </c>
      <c r="N30" t="inlineStr">
        <is>
          <t>oews_pct10</t>
        </is>
      </c>
    </row>
    <row r="31">
      <c r="A31" t="n">
        <v>5</v>
      </c>
      <c r="B31" t="inlineStr">
        <is>
          <t>key_person</t>
        </is>
      </c>
      <c r="C31" t="inlineStr">
        <is>
          <t>Chief Executive Officer (CEO)</t>
        </is>
      </c>
      <c r="D31" t="inlineStr"/>
      <c r="E31" s="29" t="n">
        <v>1</v>
      </c>
      <c r="F31" s="29" t="n">
        <v>0</v>
      </c>
      <c r="G31" s="30">
        <f>E31+F31</f>
        <v/>
      </c>
      <c r="H31" s="30">
        <f>(E31+G31)/2</f>
        <v/>
      </c>
      <c r="I31" s="31" t="n">
        <v>162874</v>
      </c>
      <c r="J31" s="32" t="n">
        <v>0.22</v>
      </c>
      <c r="K31" s="33">
        <f>H31*I31/4</f>
        <v/>
      </c>
      <c r="L31" s="33">
        <f>K31*J31</f>
        <v/>
      </c>
      <c r="M31" s="33">
        <f>K31+L31</f>
        <v/>
      </c>
      <c r="N31" t="inlineStr">
        <is>
          <t>oews_pct10</t>
        </is>
      </c>
    </row>
    <row r="32">
      <c r="A32" t="n">
        <v>6</v>
      </c>
      <c r="B32" t="inlineStr">
        <is>
          <t>key_person</t>
        </is>
      </c>
      <c r="C32" t="inlineStr">
        <is>
          <t>Chief Executive Officer (CEO)</t>
        </is>
      </c>
      <c r="D32" t="inlineStr"/>
      <c r="E32" s="29" t="n">
        <v>1</v>
      </c>
      <c r="F32" s="29" t="n">
        <v>0</v>
      </c>
      <c r="G32" s="30">
        <f>E32+F32</f>
        <v/>
      </c>
      <c r="H32" s="30">
        <f>(E32+G32)/2</f>
        <v/>
      </c>
      <c r="I32" s="31" t="n">
        <v>162874</v>
      </c>
      <c r="J32" s="32" t="n">
        <v>0.22</v>
      </c>
      <c r="K32" s="33">
        <f>H32*I32/4</f>
        <v/>
      </c>
      <c r="L32" s="33">
        <f>K32*J32</f>
        <v/>
      </c>
      <c r="M32" s="33">
        <f>K32+L32</f>
        <v/>
      </c>
      <c r="N32" t="inlineStr">
        <is>
          <t>oews_pct10</t>
        </is>
      </c>
    </row>
    <row r="33">
      <c r="A33" t="n">
        <v>7</v>
      </c>
      <c r="B33" t="inlineStr">
        <is>
          <t>key_person</t>
        </is>
      </c>
      <c r="C33" t="inlineStr">
        <is>
          <t>Chief Executive Officer (CEO)</t>
        </is>
      </c>
      <c r="D33" t="inlineStr"/>
      <c r="E33" s="29" t="n">
        <v>1</v>
      </c>
      <c r="F33" s="29" t="n">
        <v>0</v>
      </c>
      <c r="G33" s="30">
        <f>E33+F33</f>
        <v/>
      </c>
      <c r="H33" s="30">
        <f>(E33+G33)/2</f>
        <v/>
      </c>
      <c r="I33" s="31" t="n">
        <v>162874</v>
      </c>
      <c r="J33" s="32" t="n">
        <v>0.22</v>
      </c>
      <c r="K33" s="33">
        <f>H33*I33/4</f>
        <v/>
      </c>
      <c r="L33" s="33">
        <f>K33*J33</f>
        <v/>
      </c>
      <c r="M33" s="33">
        <f>K33+L33</f>
        <v/>
      </c>
      <c r="N33" t="inlineStr">
        <is>
          <t>oews_pct10</t>
        </is>
      </c>
    </row>
    <row r="34">
      <c r="A34" t="n">
        <v>8</v>
      </c>
      <c r="B34" t="inlineStr">
        <is>
          <t>key_person</t>
        </is>
      </c>
      <c r="C34" t="inlineStr">
        <is>
          <t>Chief Executive Officer (CEO)</t>
        </is>
      </c>
      <c r="D34" t="inlineStr"/>
      <c r="E34" s="29" t="n">
        <v>1</v>
      </c>
      <c r="F34" s="29" t="n">
        <v>0</v>
      </c>
      <c r="G34" s="30">
        <f>E34+F34</f>
        <v/>
      </c>
      <c r="H34" s="30">
        <f>(E34+G34)/2</f>
        <v/>
      </c>
      <c r="I34" s="31" t="n">
        <v>162874</v>
      </c>
      <c r="J34" s="32" t="n">
        <v>0.22</v>
      </c>
      <c r="K34" s="33">
        <f>H34*I34/4</f>
        <v/>
      </c>
      <c r="L34" s="33">
        <f>K34*J34</f>
        <v/>
      </c>
      <c r="M34" s="33">
        <f>K34+L34</f>
        <v/>
      </c>
      <c r="N34" t="inlineStr">
        <is>
          <t>oews_pct10</t>
        </is>
      </c>
    </row>
    <row r="35">
      <c r="A35" t="n">
        <v>9</v>
      </c>
      <c r="B35" t="inlineStr">
        <is>
          <t>key_person</t>
        </is>
      </c>
      <c r="C35" t="inlineStr">
        <is>
          <t>Chief Executive Officer (CEO)</t>
        </is>
      </c>
      <c r="D35" t="inlineStr"/>
      <c r="E35" s="29" t="n">
        <v>1</v>
      </c>
      <c r="F35" s="29" t="n">
        <v>0</v>
      </c>
      <c r="G35" s="30">
        <f>E35+F35</f>
        <v/>
      </c>
      <c r="H35" s="30">
        <f>(E35+G35)/2</f>
        <v/>
      </c>
      <c r="I35" s="31" t="n">
        <v>167760</v>
      </c>
      <c r="J35" s="32" t="n">
        <v>0.22</v>
      </c>
      <c r="K35" s="33">
        <f>H35*I35/4</f>
        <v/>
      </c>
      <c r="L35" s="33">
        <f>K35*J35</f>
        <v/>
      </c>
      <c r="M35" s="33">
        <f>K35+L35</f>
        <v/>
      </c>
      <c r="N35" t="inlineStr">
        <is>
          <t>oews_pct10</t>
        </is>
      </c>
    </row>
    <row r="36">
      <c r="A36" t="n">
        <v>10</v>
      </c>
      <c r="B36" t="inlineStr">
        <is>
          <t>key_person</t>
        </is>
      </c>
      <c r="C36" t="inlineStr">
        <is>
          <t>Chief Executive Officer (CEO)</t>
        </is>
      </c>
      <c r="D36" t="inlineStr"/>
      <c r="E36" s="29" t="n">
        <v>1</v>
      </c>
      <c r="F36" s="29" t="n">
        <v>0</v>
      </c>
      <c r="G36" s="30">
        <f>E36+F36</f>
        <v/>
      </c>
      <c r="H36" s="30">
        <f>(E36+G36)/2</f>
        <v/>
      </c>
      <c r="I36" s="31" t="n">
        <v>167760</v>
      </c>
      <c r="J36" s="32" t="n">
        <v>0.22</v>
      </c>
      <c r="K36" s="33">
        <f>H36*I36/4</f>
        <v/>
      </c>
      <c r="L36" s="33">
        <f>K36*J36</f>
        <v/>
      </c>
      <c r="M36" s="33">
        <f>K36+L36</f>
        <v/>
      </c>
      <c r="N36" t="inlineStr">
        <is>
          <t>oews_pct10</t>
        </is>
      </c>
    </row>
    <row r="37">
      <c r="A37" t="n">
        <v>11</v>
      </c>
      <c r="B37" t="inlineStr">
        <is>
          <t>key_person</t>
        </is>
      </c>
      <c r="C37" t="inlineStr">
        <is>
          <t>Chief Executive Officer (CEO)</t>
        </is>
      </c>
      <c r="D37" t="inlineStr"/>
      <c r="E37" s="29" t="n">
        <v>1</v>
      </c>
      <c r="F37" s="29" t="n">
        <v>0</v>
      </c>
      <c r="G37" s="30">
        <f>E37+F37</f>
        <v/>
      </c>
      <c r="H37" s="30">
        <f>(E37+G37)/2</f>
        <v/>
      </c>
      <c r="I37" s="31" t="n">
        <v>167760</v>
      </c>
      <c r="J37" s="32" t="n">
        <v>0.22</v>
      </c>
      <c r="K37" s="33">
        <f>H37*I37/4</f>
        <v/>
      </c>
      <c r="L37" s="33">
        <f>K37*J37</f>
        <v/>
      </c>
      <c r="M37" s="33">
        <f>K37+L37</f>
        <v/>
      </c>
      <c r="N37" t="inlineStr">
        <is>
          <t>oews_pct10</t>
        </is>
      </c>
    </row>
    <row r="38">
      <c r="A38" t="n">
        <v>12</v>
      </c>
      <c r="B38" t="inlineStr">
        <is>
          <t>key_person</t>
        </is>
      </c>
      <c r="C38" t="inlineStr">
        <is>
          <t>Chief Executive Officer (CEO)</t>
        </is>
      </c>
      <c r="D38" t="inlineStr"/>
      <c r="E38" s="29" t="n">
        <v>1</v>
      </c>
      <c r="F38" s="29" t="n">
        <v>0</v>
      </c>
      <c r="G38" s="30">
        <f>E38+F38</f>
        <v/>
      </c>
      <c r="H38" s="30">
        <f>(E38+G38)/2</f>
        <v/>
      </c>
      <c r="I38" s="31" t="n">
        <v>167760</v>
      </c>
      <c r="J38" s="32" t="n">
        <v>0.22</v>
      </c>
      <c r="K38" s="33">
        <f>H38*I38/4</f>
        <v/>
      </c>
      <c r="L38" s="33">
        <f>K38*J38</f>
        <v/>
      </c>
      <c r="M38" s="33">
        <f>K38+L38</f>
        <v/>
      </c>
      <c r="N38" t="inlineStr">
        <is>
          <t>oews_pct10</t>
        </is>
      </c>
    </row>
    <row r="39">
      <c r="A39" t="n">
        <v>13</v>
      </c>
      <c r="B39" t="inlineStr">
        <is>
          <t>key_person</t>
        </is>
      </c>
      <c r="C39" t="inlineStr">
        <is>
          <t>Chief Executive Officer (CEO)</t>
        </is>
      </c>
      <c r="D39" t="inlineStr"/>
      <c r="E39" s="29" t="n">
        <v>1</v>
      </c>
      <c r="F39" s="29" t="n">
        <v>0</v>
      </c>
      <c r="G39" s="30">
        <f>E39+F39</f>
        <v/>
      </c>
      <c r="H39" s="30">
        <f>(E39+G39)/2</f>
        <v/>
      </c>
      <c r="I39" s="31" t="n">
        <v>172793</v>
      </c>
      <c r="J39" s="32" t="n">
        <v>0.22</v>
      </c>
      <c r="K39" s="33">
        <f>H39*I39/4</f>
        <v/>
      </c>
      <c r="L39" s="33">
        <f>K39*J39</f>
        <v/>
      </c>
      <c r="M39" s="33">
        <f>K39+L39</f>
        <v/>
      </c>
      <c r="N39" t="inlineStr">
        <is>
          <t>oews_pct10</t>
        </is>
      </c>
    </row>
    <row r="40">
      <c r="A40" t="n">
        <v>14</v>
      </c>
      <c r="B40" t="inlineStr">
        <is>
          <t>key_person</t>
        </is>
      </c>
      <c r="C40" t="inlineStr">
        <is>
          <t>Chief Executive Officer (CEO)</t>
        </is>
      </c>
      <c r="D40" t="inlineStr"/>
      <c r="E40" s="29" t="n">
        <v>1</v>
      </c>
      <c r="F40" s="29" t="n">
        <v>0</v>
      </c>
      <c r="G40" s="30">
        <f>E40+F40</f>
        <v/>
      </c>
      <c r="H40" s="30">
        <f>(E40+G40)/2</f>
        <v/>
      </c>
      <c r="I40" s="31" t="n">
        <v>172793</v>
      </c>
      <c r="J40" s="32" t="n">
        <v>0.22</v>
      </c>
      <c r="K40" s="33">
        <f>H40*I40/4</f>
        <v/>
      </c>
      <c r="L40" s="33">
        <f>K40*J40</f>
        <v/>
      </c>
      <c r="M40" s="33">
        <f>K40+L40</f>
        <v/>
      </c>
      <c r="N40" t="inlineStr">
        <is>
          <t>oews_pct10</t>
        </is>
      </c>
    </row>
    <row r="41">
      <c r="A41" t="n">
        <v>15</v>
      </c>
      <c r="B41" t="inlineStr">
        <is>
          <t>key_person</t>
        </is>
      </c>
      <c r="C41" t="inlineStr">
        <is>
          <t>Chief Executive Officer (CEO)</t>
        </is>
      </c>
      <c r="D41" t="inlineStr"/>
      <c r="E41" s="29" t="n">
        <v>1</v>
      </c>
      <c r="F41" s="29" t="n">
        <v>0</v>
      </c>
      <c r="G41" s="30">
        <f>E41+F41</f>
        <v/>
      </c>
      <c r="H41" s="30">
        <f>(E41+G41)/2</f>
        <v/>
      </c>
      <c r="I41" s="31" t="n">
        <v>172793</v>
      </c>
      <c r="J41" s="32" t="n">
        <v>0.22</v>
      </c>
      <c r="K41" s="33">
        <f>H41*I41/4</f>
        <v/>
      </c>
      <c r="L41" s="33">
        <f>K41*J41</f>
        <v/>
      </c>
      <c r="M41" s="33">
        <f>K41+L41</f>
        <v/>
      </c>
      <c r="N41" t="inlineStr">
        <is>
          <t>oews_pct10</t>
        </is>
      </c>
    </row>
    <row r="42">
      <c r="A42" t="n">
        <v>16</v>
      </c>
      <c r="B42" t="inlineStr">
        <is>
          <t>key_person</t>
        </is>
      </c>
      <c r="C42" t="inlineStr">
        <is>
          <t>Chief Executive Officer (CEO)</t>
        </is>
      </c>
      <c r="D42" t="inlineStr"/>
      <c r="E42" s="29" t="n">
        <v>1</v>
      </c>
      <c r="F42" s="29" t="n">
        <v>0</v>
      </c>
      <c r="G42" s="30">
        <f>E42+F42</f>
        <v/>
      </c>
      <c r="H42" s="30">
        <f>(E42+G42)/2</f>
        <v/>
      </c>
      <c r="I42" s="31" t="n">
        <v>172793</v>
      </c>
      <c r="J42" s="32" t="n">
        <v>0.22</v>
      </c>
      <c r="K42" s="33">
        <f>H42*I42/4</f>
        <v/>
      </c>
      <c r="L42" s="33">
        <f>K42*J42</f>
        <v/>
      </c>
      <c r="M42" s="33">
        <f>K42+L42</f>
        <v/>
      </c>
      <c r="N42" t="inlineStr">
        <is>
          <t>oews_pct10</t>
        </is>
      </c>
    </row>
    <row r="43">
      <c r="A43" t="n">
        <v>17</v>
      </c>
      <c r="B43" t="inlineStr">
        <is>
          <t>key_person</t>
        </is>
      </c>
      <c r="C43" t="inlineStr">
        <is>
          <t>Chief Executive Officer (CEO)</t>
        </is>
      </c>
      <c r="D43" t="inlineStr"/>
      <c r="E43" s="29" t="n">
        <v>1</v>
      </c>
      <c r="F43" s="29" t="n">
        <v>0</v>
      </c>
      <c r="G43" s="30">
        <f>E43+F43</f>
        <v/>
      </c>
      <c r="H43" s="30">
        <f>(E43+G43)/2</f>
        <v/>
      </c>
      <c r="I43" s="31" t="n">
        <v>177977</v>
      </c>
      <c r="J43" s="32" t="n">
        <v>0.22</v>
      </c>
      <c r="K43" s="33">
        <f>H43*I43/4</f>
        <v/>
      </c>
      <c r="L43" s="33">
        <f>K43*J43</f>
        <v/>
      </c>
      <c r="M43" s="33">
        <f>K43+L43</f>
        <v/>
      </c>
      <c r="N43" t="inlineStr">
        <is>
          <t>oews_pct10</t>
        </is>
      </c>
    </row>
    <row r="44">
      <c r="A44" t="n">
        <v>18</v>
      </c>
      <c r="B44" t="inlineStr">
        <is>
          <t>key_person</t>
        </is>
      </c>
      <c r="C44" t="inlineStr">
        <is>
          <t>Chief Executive Officer (CEO)</t>
        </is>
      </c>
      <c r="D44" t="inlineStr"/>
      <c r="E44" s="29" t="n">
        <v>1</v>
      </c>
      <c r="F44" s="29" t="n">
        <v>0</v>
      </c>
      <c r="G44" s="30">
        <f>E44+F44</f>
        <v/>
      </c>
      <c r="H44" s="30">
        <f>(E44+G44)/2</f>
        <v/>
      </c>
      <c r="I44" s="31" t="n">
        <v>177977</v>
      </c>
      <c r="J44" s="32" t="n">
        <v>0.22</v>
      </c>
      <c r="K44" s="33">
        <f>H44*I44/4</f>
        <v/>
      </c>
      <c r="L44" s="33">
        <f>K44*J44</f>
        <v/>
      </c>
      <c r="M44" s="33">
        <f>K44+L44</f>
        <v/>
      </c>
      <c r="N44" t="inlineStr">
        <is>
          <t>oews_pct10</t>
        </is>
      </c>
    </row>
    <row r="45">
      <c r="A45" t="n">
        <v>19</v>
      </c>
      <c r="B45" t="inlineStr">
        <is>
          <t>key_person</t>
        </is>
      </c>
      <c r="C45" t="inlineStr">
        <is>
          <t>Chief Executive Officer (CEO)</t>
        </is>
      </c>
      <c r="D45" t="inlineStr"/>
      <c r="E45" s="29" t="n">
        <v>1</v>
      </c>
      <c r="F45" s="29" t="n">
        <v>0</v>
      </c>
      <c r="G45" s="30">
        <f>E45+F45</f>
        <v/>
      </c>
      <c r="H45" s="30">
        <f>(E45+G45)/2</f>
        <v/>
      </c>
      <c r="I45" s="31" t="n">
        <v>177977</v>
      </c>
      <c r="J45" s="32" t="n">
        <v>0.22</v>
      </c>
      <c r="K45" s="33">
        <f>H45*I45/4</f>
        <v/>
      </c>
      <c r="L45" s="33">
        <f>K45*J45</f>
        <v/>
      </c>
      <c r="M45" s="33">
        <f>K45+L45</f>
        <v/>
      </c>
      <c r="N45" t="inlineStr">
        <is>
          <t>oews_pct10</t>
        </is>
      </c>
    </row>
    <row r="46">
      <c r="A46" t="n">
        <v>20</v>
      </c>
      <c r="B46" t="inlineStr">
        <is>
          <t>key_person</t>
        </is>
      </c>
      <c r="C46" t="inlineStr">
        <is>
          <t>Chief Executive Officer (CEO)</t>
        </is>
      </c>
      <c r="D46" t="inlineStr"/>
      <c r="E46" s="29" t="n">
        <v>1</v>
      </c>
      <c r="F46" s="29" t="n">
        <v>0</v>
      </c>
      <c r="G46" s="30">
        <f>E46+F46</f>
        <v/>
      </c>
      <c r="H46" s="30">
        <f>(E46+G46)/2</f>
        <v/>
      </c>
      <c r="I46" s="31" t="n">
        <v>177977</v>
      </c>
      <c r="J46" s="32" t="n">
        <v>0.22</v>
      </c>
      <c r="K46" s="33">
        <f>H46*I46/4</f>
        <v/>
      </c>
      <c r="L46" s="33">
        <f>K46*J46</f>
        <v/>
      </c>
      <c r="M46" s="33">
        <f>K46+L46</f>
        <v/>
      </c>
      <c r="N46" t="inlineStr">
        <is>
          <t>oews_pct10</t>
        </is>
      </c>
    </row>
    <row r="47">
      <c r="A47" t="n">
        <v>1</v>
      </c>
      <c r="B47" t="inlineStr">
        <is>
          <t>key_person</t>
        </is>
      </c>
      <c r="C47" t="inlineStr">
        <is>
          <t>Chief Operating Officer (COO)</t>
        </is>
      </c>
      <c r="D47" t="inlineStr"/>
      <c r="E47" s="29" t="n">
        <v>1</v>
      </c>
      <c r="F47" s="29" t="n">
        <v>0</v>
      </c>
      <c r="G47" s="30">
        <f>E47+F47</f>
        <v/>
      </c>
      <c r="H47" s="30">
        <f>(E47+G47)/2</f>
        <v/>
      </c>
      <c r="I47" s="31" t="n">
        <v>122570</v>
      </c>
      <c r="J47" s="32" t="n">
        <v>0.22</v>
      </c>
      <c r="K47" s="33">
        <f>H47*I47/4</f>
        <v/>
      </c>
      <c r="L47" s="33">
        <f>K47*J47</f>
        <v/>
      </c>
      <c r="M47" s="33">
        <f>K47+L47</f>
        <v/>
      </c>
      <c r="N47" t="inlineStr">
        <is>
          <t>oews_median</t>
        </is>
      </c>
    </row>
    <row r="48">
      <c r="A48" t="n">
        <v>2</v>
      </c>
      <c r="B48" t="inlineStr">
        <is>
          <t>key_person</t>
        </is>
      </c>
      <c r="C48" t="inlineStr">
        <is>
          <t>Chief Operating Officer (COO)</t>
        </is>
      </c>
      <c r="D48" t="inlineStr"/>
      <c r="E48" s="29" t="n">
        <v>1</v>
      </c>
      <c r="F48" s="29" t="n">
        <v>0</v>
      </c>
      <c r="G48" s="30">
        <f>E48+F48</f>
        <v/>
      </c>
      <c r="H48" s="30">
        <f>(E48+G48)/2</f>
        <v/>
      </c>
      <c r="I48" s="31" t="n">
        <v>122570</v>
      </c>
      <c r="J48" s="32" t="n">
        <v>0.22</v>
      </c>
      <c r="K48" s="33">
        <f>H48*I48/4</f>
        <v/>
      </c>
      <c r="L48" s="33">
        <f>K48*J48</f>
        <v/>
      </c>
      <c r="M48" s="33">
        <f>K48+L48</f>
        <v/>
      </c>
      <c r="N48" t="inlineStr">
        <is>
          <t>oews_median</t>
        </is>
      </c>
    </row>
    <row r="49">
      <c r="A49" t="n">
        <v>3</v>
      </c>
      <c r="B49" t="inlineStr">
        <is>
          <t>key_person</t>
        </is>
      </c>
      <c r="C49" t="inlineStr">
        <is>
          <t>Chief Operating Officer (COO)</t>
        </is>
      </c>
      <c r="D49" t="inlineStr"/>
      <c r="E49" s="29" t="n">
        <v>1</v>
      </c>
      <c r="F49" s="29" t="n">
        <v>0</v>
      </c>
      <c r="G49" s="30">
        <f>E49+F49</f>
        <v/>
      </c>
      <c r="H49" s="30">
        <f>(E49+G49)/2</f>
        <v/>
      </c>
      <c r="I49" s="31" t="n">
        <v>122570</v>
      </c>
      <c r="J49" s="32" t="n">
        <v>0.22</v>
      </c>
      <c r="K49" s="33">
        <f>H49*I49/4</f>
        <v/>
      </c>
      <c r="L49" s="33">
        <f>K49*J49</f>
        <v/>
      </c>
      <c r="M49" s="33">
        <f>K49+L49</f>
        <v/>
      </c>
      <c r="N49" t="inlineStr">
        <is>
          <t>oews_median</t>
        </is>
      </c>
    </row>
    <row r="50">
      <c r="A50" t="n">
        <v>4</v>
      </c>
      <c r="B50" t="inlineStr">
        <is>
          <t>key_person</t>
        </is>
      </c>
      <c r="C50" t="inlineStr">
        <is>
          <t>Chief Operating Officer (COO)</t>
        </is>
      </c>
      <c r="D50" t="inlineStr"/>
      <c r="E50" s="29" t="n">
        <v>1</v>
      </c>
      <c r="F50" s="29" t="n">
        <v>0</v>
      </c>
      <c r="G50" s="30">
        <f>E50+F50</f>
        <v/>
      </c>
      <c r="H50" s="30">
        <f>(E50+G50)/2</f>
        <v/>
      </c>
      <c r="I50" s="31" t="n">
        <v>122570</v>
      </c>
      <c r="J50" s="32" t="n">
        <v>0.22</v>
      </c>
      <c r="K50" s="33">
        <f>H50*I50/4</f>
        <v/>
      </c>
      <c r="L50" s="33">
        <f>K50*J50</f>
        <v/>
      </c>
      <c r="M50" s="33">
        <f>K50+L50</f>
        <v/>
      </c>
      <c r="N50" t="inlineStr">
        <is>
          <t>oews_median</t>
        </is>
      </c>
    </row>
    <row r="51">
      <c r="A51" t="n">
        <v>5</v>
      </c>
      <c r="B51" t="inlineStr">
        <is>
          <t>key_person</t>
        </is>
      </c>
      <c r="C51" t="inlineStr">
        <is>
          <t>Chief Operating Officer (COO)</t>
        </is>
      </c>
      <c r="D51" t="inlineStr"/>
      <c r="E51" s="29" t="n">
        <v>1</v>
      </c>
      <c r="F51" s="29" t="n">
        <v>0</v>
      </c>
      <c r="G51" s="30">
        <f>E51+F51</f>
        <v/>
      </c>
      <c r="H51" s="30">
        <f>(E51+G51)/2</f>
        <v/>
      </c>
      <c r="I51" s="31" t="n">
        <v>126247</v>
      </c>
      <c r="J51" s="32" t="n">
        <v>0.22</v>
      </c>
      <c r="K51" s="33">
        <f>H51*I51/4</f>
        <v/>
      </c>
      <c r="L51" s="33">
        <f>K51*J51</f>
        <v/>
      </c>
      <c r="M51" s="33">
        <f>K51+L51</f>
        <v/>
      </c>
      <c r="N51" t="inlineStr">
        <is>
          <t>oews_median</t>
        </is>
      </c>
    </row>
    <row r="52">
      <c r="A52" t="n">
        <v>6</v>
      </c>
      <c r="B52" t="inlineStr">
        <is>
          <t>key_person</t>
        </is>
      </c>
      <c r="C52" t="inlineStr">
        <is>
          <t>Chief Operating Officer (COO)</t>
        </is>
      </c>
      <c r="D52" t="inlineStr"/>
      <c r="E52" s="29" t="n">
        <v>1</v>
      </c>
      <c r="F52" s="29" t="n">
        <v>0</v>
      </c>
      <c r="G52" s="30">
        <f>E52+F52</f>
        <v/>
      </c>
      <c r="H52" s="30">
        <f>(E52+G52)/2</f>
        <v/>
      </c>
      <c r="I52" s="31" t="n">
        <v>126247</v>
      </c>
      <c r="J52" s="32" t="n">
        <v>0.22</v>
      </c>
      <c r="K52" s="33">
        <f>H52*I52/4</f>
        <v/>
      </c>
      <c r="L52" s="33">
        <f>K52*J52</f>
        <v/>
      </c>
      <c r="M52" s="33">
        <f>K52+L52</f>
        <v/>
      </c>
      <c r="N52" t="inlineStr">
        <is>
          <t>oews_median</t>
        </is>
      </c>
    </row>
    <row r="53">
      <c r="A53" t="n">
        <v>7</v>
      </c>
      <c r="B53" t="inlineStr">
        <is>
          <t>key_person</t>
        </is>
      </c>
      <c r="C53" t="inlineStr">
        <is>
          <t>Chief Operating Officer (COO)</t>
        </is>
      </c>
      <c r="D53" t="inlineStr"/>
      <c r="E53" s="29" t="n">
        <v>1</v>
      </c>
      <c r="F53" s="29" t="n">
        <v>0</v>
      </c>
      <c r="G53" s="30">
        <f>E53+F53</f>
        <v/>
      </c>
      <c r="H53" s="30">
        <f>(E53+G53)/2</f>
        <v/>
      </c>
      <c r="I53" s="31" t="n">
        <v>126247</v>
      </c>
      <c r="J53" s="32" t="n">
        <v>0.22</v>
      </c>
      <c r="K53" s="33">
        <f>H53*I53/4</f>
        <v/>
      </c>
      <c r="L53" s="33">
        <f>K53*J53</f>
        <v/>
      </c>
      <c r="M53" s="33">
        <f>K53+L53</f>
        <v/>
      </c>
      <c r="N53" t="inlineStr">
        <is>
          <t>oews_median</t>
        </is>
      </c>
    </row>
    <row r="54">
      <c r="A54" t="n">
        <v>8</v>
      </c>
      <c r="B54" t="inlineStr">
        <is>
          <t>key_person</t>
        </is>
      </c>
      <c r="C54" t="inlineStr">
        <is>
          <t>Chief Operating Officer (COO)</t>
        </is>
      </c>
      <c r="D54" t="inlineStr"/>
      <c r="E54" s="29" t="n">
        <v>1</v>
      </c>
      <c r="F54" s="29" t="n">
        <v>0</v>
      </c>
      <c r="G54" s="30">
        <f>E54+F54</f>
        <v/>
      </c>
      <c r="H54" s="30">
        <f>(E54+G54)/2</f>
        <v/>
      </c>
      <c r="I54" s="31" t="n">
        <v>126247</v>
      </c>
      <c r="J54" s="32" t="n">
        <v>0.22</v>
      </c>
      <c r="K54" s="33">
        <f>H54*I54/4</f>
        <v/>
      </c>
      <c r="L54" s="33">
        <f>K54*J54</f>
        <v/>
      </c>
      <c r="M54" s="33">
        <f>K54+L54</f>
        <v/>
      </c>
      <c r="N54" t="inlineStr">
        <is>
          <t>oews_median</t>
        </is>
      </c>
    </row>
    <row r="55">
      <c r="A55" t="n">
        <v>9</v>
      </c>
      <c r="B55" t="inlineStr">
        <is>
          <t>key_person</t>
        </is>
      </c>
      <c r="C55" t="inlineStr">
        <is>
          <t>Chief Operating Officer (COO)</t>
        </is>
      </c>
      <c r="D55" t="inlineStr"/>
      <c r="E55" s="29" t="n">
        <v>1</v>
      </c>
      <c r="F55" s="29" t="n">
        <v>0</v>
      </c>
      <c r="G55" s="30">
        <f>E55+F55</f>
        <v/>
      </c>
      <c r="H55" s="30">
        <f>(E55+G55)/2</f>
        <v/>
      </c>
      <c r="I55" s="31" t="n">
        <v>130035</v>
      </c>
      <c r="J55" s="32" t="n">
        <v>0.22</v>
      </c>
      <c r="K55" s="33">
        <f>H55*I55/4</f>
        <v/>
      </c>
      <c r="L55" s="33">
        <f>K55*J55</f>
        <v/>
      </c>
      <c r="M55" s="33">
        <f>K55+L55</f>
        <v/>
      </c>
      <c r="N55" t="inlineStr">
        <is>
          <t>oews_median</t>
        </is>
      </c>
    </row>
    <row r="56">
      <c r="A56" t="n">
        <v>10</v>
      </c>
      <c r="B56" t="inlineStr">
        <is>
          <t>key_person</t>
        </is>
      </c>
      <c r="C56" t="inlineStr">
        <is>
          <t>Chief Operating Officer (COO)</t>
        </is>
      </c>
      <c r="D56" t="inlineStr"/>
      <c r="E56" s="29" t="n">
        <v>1</v>
      </c>
      <c r="F56" s="29" t="n">
        <v>0</v>
      </c>
      <c r="G56" s="30">
        <f>E56+F56</f>
        <v/>
      </c>
      <c r="H56" s="30">
        <f>(E56+G56)/2</f>
        <v/>
      </c>
      <c r="I56" s="31" t="n">
        <v>130035</v>
      </c>
      <c r="J56" s="32" t="n">
        <v>0.22</v>
      </c>
      <c r="K56" s="33">
        <f>H56*I56/4</f>
        <v/>
      </c>
      <c r="L56" s="33">
        <f>K56*J56</f>
        <v/>
      </c>
      <c r="M56" s="33">
        <f>K56+L56</f>
        <v/>
      </c>
      <c r="N56" t="inlineStr">
        <is>
          <t>oews_median</t>
        </is>
      </c>
    </row>
    <row r="57">
      <c r="A57" t="n">
        <v>11</v>
      </c>
      <c r="B57" t="inlineStr">
        <is>
          <t>key_person</t>
        </is>
      </c>
      <c r="C57" t="inlineStr">
        <is>
          <t>Chief Operating Officer (COO)</t>
        </is>
      </c>
      <c r="D57" t="inlineStr"/>
      <c r="E57" s="29" t="n">
        <v>1</v>
      </c>
      <c r="F57" s="29" t="n">
        <v>0</v>
      </c>
      <c r="G57" s="30">
        <f>E57+F57</f>
        <v/>
      </c>
      <c r="H57" s="30">
        <f>(E57+G57)/2</f>
        <v/>
      </c>
      <c r="I57" s="31" t="n">
        <v>130035</v>
      </c>
      <c r="J57" s="32" t="n">
        <v>0.22</v>
      </c>
      <c r="K57" s="33">
        <f>H57*I57/4</f>
        <v/>
      </c>
      <c r="L57" s="33">
        <f>K57*J57</f>
        <v/>
      </c>
      <c r="M57" s="33">
        <f>K57+L57</f>
        <v/>
      </c>
      <c r="N57" t="inlineStr">
        <is>
          <t>oews_median</t>
        </is>
      </c>
    </row>
    <row r="58">
      <c r="A58" t="n">
        <v>12</v>
      </c>
      <c r="B58" t="inlineStr">
        <is>
          <t>key_person</t>
        </is>
      </c>
      <c r="C58" t="inlineStr">
        <is>
          <t>Chief Operating Officer (COO)</t>
        </is>
      </c>
      <c r="D58" t="inlineStr"/>
      <c r="E58" s="29" t="n">
        <v>1</v>
      </c>
      <c r="F58" s="29" t="n">
        <v>0</v>
      </c>
      <c r="G58" s="30">
        <f>E58+F58</f>
        <v/>
      </c>
      <c r="H58" s="30">
        <f>(E58+G58)/2</f>
        <v/>
      </c>
      <c r="I58" s="31" t="n">
        <v>130035</v>
      </c>
      <c r="J58" s="32" t="n">
        <v>0.22</v>
      </c>
      <c r="K58" s="33">
        <f>H58*I58/4</f>
        <v/>
      </c>
      <c r="L58" s="33">
        <f>K58*J58</f>
        <v/>
      </c>
      <c r="M58" s="33">
        <f>K58+L58</f>
        <v/>
      </c>
      <c r="N58" t="inlineStr">
        <is>
          <t>oews_median</t>
        </is>
      </c>
    </row>
    <row r="59">
      <c r="A59" t="n">
        <v>13</v>
      </c>
      <c r="B59" t="inlineStr">
        <is>
          <t>key_person</t>
        </is>
      </c>
      <c r="C59" t="inlineStr">
        <is>
          <t>Chief Operating Officer (COO)</t>
        </is>
      </c>
      <c r="D59" t="inlineStr"/>
      <c r="E59" s="29" t="n">
        <v>1</v>
      </c>
      <c r="F59" s="29" t="n">
        <v>0</v>
      </c>
      <c r="G59" s="30">
        <f>E59+F59</f>
        <v/>
      </c>
      <c r="H59" s="30">
        <f>(E59+G59)/2</f>
        <v/>
      </c>
      <c r="I59" s="31" t="n">
        <v>133936</v>
      </c>
      <c r="J59" s="32" t="n">
        <v>0.22</v>
      </c>
      <c r="K59" s="33">
        <f>H59*I59/4</f>
        <v/>
      </c>
      <c r="L59" s="33">
        <f>K59*J59</f>
        <v/>
      </c>
      <c r="M59" s="33">
        <f>K59+L59</f>
        <v/>
      </c>
      <c r="N59" t="inlineStr">
        <is>
          <t>oews_median</t>
        </is>
      </c>
    </row>
    <row r="60">
      <c r="A60" t="n">
        <v>14</v>
      </c>
      <c r="B60" t="inlineStr">
        <is>
          <t>key_person</t>
        </is>
      </c>
      <c r="C60" t="inlineStr">
        <is>
          <t>Chief Operating Officer (COO)</t>
        </is>
      </c>
      <c r="D60" t="inlineStr"/>
      <c r="E60" s="29" t="n">
        <v>1</v>
      </c>
      <c r="F60" s="29" t="n">
        <v>0</v>
      </c>
      <c r="G60" s="30">
        <f>E60+F60</f>
        <v/>
      </c>
      <c r="H60" s="30">
        <f>(E60+G60)/2</f>
        <v/>
      </c>
      <c r="I60" s="31" t="n">
        <v>133936</v>
      </c>
      <c r="J60" s="32" t="n">
        <v>0.22</v>
      </c>
      <c r="K60" s="33">
        <f>H60*I60/4</f>
        <v/>
      </c>
      <c r="L60" s="33">
        <f>K60*J60</f>
        <v/>
      </c>
      <c r="M60" s="33">
        <f>K60+L60</f>
        <v/>
      </c>
      <c r="N60" t="inlineStr">
        <is>
          <t>oews_median</t>
        </is>
      </c>
    </row>
    <row r="61">
      <c r="A61" t="n">
        <v>15</v>
      </c>
      <c r="B61" t="inlineStr">
        <is>
          <t>key_person</t>
        </is>
      </c>
      <c r="C61" t="inlineStr">
        <is>
          <t>Chief Operating Officer (COO)</t>
        </is>
      </c>
      <c r="D61" t="inlineStr"/>
      <c r="E61" s="29" t="n">
        <v>1</v>
      </c>
      <c r="F61" s="29" t="n">
        <v>0</v>
      </c>
      <c r="G61" s="30">
        <f>E61+F61</f>
        <v/>
      </c>
      <c r="H61" s="30">
        <f>(E61+G61)/2</f>
        <v/>
      </c>
      <c r="I61" s="31" t="n">
        <v>133936</v>
      </c>
      <c r="J61" s="32" t="n">
        <v>0.22</v>
      </c>
      <c r="K61" s="33">
        <f>H61*I61/4</f>
        <v/>
      </c>
      <c r="L61" s="33">
        <f>K61*J61</f>
        <v/>
      </c>
      <c r="M61" s="33">
        <f>K61+L61</f>
        <v/>
      </c>
      <c r="N61" t="inlineStr">
        <is>
          <t>oews_median</t>
        </is>
      </c>
    </row>
    <row r="62">
      <c r="A62" t="n">
        <v>16</v>
      </c>
      <c r="B62" t="inlineStr">
        <is>
          <t>key_person</t>
        </is>
      </c>
      <c r="C62" t="inlineStr">
        <is>
          <t>Chief Operating Officer (COO)</t>
        </is>
      </c>
      <c r="D62" t="inlineStr"/>
      <c r="E62" s="29" t="n">
        <v>1</v>
      </c>
      <c r="F62" s="29" t="n">
        <v>0</v>
      </c>
      <c r="G62" s="30">
        <f>E62+F62</f>
        <v/>
      </c>
      <c r="H62" s="30">
        <f>(E62+G62)/2</f>
        <v/>
      </c>
      <c r="I62" s="31" t="n">
        <v>133936</v>
      </c>
      <c r="J62" s="32" t="n">
        <v>0.22</v>
      </c>
      <c r="K62" s="33">
        <f>H62*I62/4</f>
        <v/>
      </c>
      <c r="L62" s="33">
        <f>K62*J62</f>
        <v/>
      </c>
      <c r="M62" s="33">
        <f>K62+L62</f>
        <v/>
      </c>
      <c r="N62" t="inlineStr">
        <is>
          <t>oews_median</t>
        </is>
      </c>
    </row>
    <row r="63">
      <c r="A63" t="n">
        <v>17</v>
      </c>
      <c r="B63" t="inlineStr">
        <is>
          <t>key_person</t>
        </is>
      </c>
      <c r="C63" t="inlineStr">
        <is>
          <t>Chief Operating Officer (COO)</t>
        </is>
      </c>
      <c r="D63" t="inlineStr"/>
      <c r="E63" s="29" t="n">
        <v>1</v>
      </c>
      <c r="F63" s="29" t="n">
        <v>0</v>
      </c>
      <c r="G63" s="30">
        <f>E63+F63</f>
        <v/>
      </c>
      <c r="H63" s="30">
        <f>(E63+G63)/2</f>
        <v/>
      </c>
      <c r="I63" s="31" t="n">
        <v>137954</v>
      </c>
      <c r="J63" s="32" t="n">
        <v>0.22</v>
      </c>
      <c r="K63" s="33">
        <f>H63*I63/4</f>
        <v/>
      </c>
      <c r="L63" s="33">
        <f>K63*J63</f>
        <v/>
      </c>
      <c r="M63" s="33">
        <f>K63+L63</f>
        <v/>
      </c>
      <c r="N63" t="inlineStr">
        <is>
          <t>oews_median</t>
        </is>
      </c>
    </row>
    <row r="64">
      <c r="A64" t="n">
        <v>18</v>
      </c>
      <c r="B64" t="inlineStr">
        <is>
          <t>key_person</t>
        </is>
      </c>
      <c r="C64" t="inlineStr">
        <is>
          <t>Chief Operating Officer (COO)</t>
        </is>
      </c>
      <c r="D64" t="inlineStr"/>
      <c r="E64" s="29" t="n">
        <v>1</v>
      </c>
      <c r="F64" s="29" t="n">
        <v>0</v>
      </c>
      <c r="G64" s="30">
        <f>E64+F64</f>
        <v/>
      </c>
      <c r="H64" s="30">
        <f>(E64+G64)/2</f>
        <v/>
      </c>
      <c r="I64" s="31" t="n">
        <v>137954</v>
      </c>
      <c r="J64" s="32" t="n">
        <v>0.22</v>
      </c>
      <c r="K64" s="33">
        <f>H64*I64/4</f>
        <v/>
      </c>
      <c r="L64" s="33">
        <f>K64*J64</f>
        <v/>
      </c>
      <c r="M64" s="33">
        <f>K64+L64</f>
        <v/>
      </c>
      <c r="N64" t="inlineStr">
        <is>
          <t>oews_median</t>
        </is>
      </c>
    </row>
    <row r="65">
      <c r="A65" t="n">
        <v>19</v>
      </c>
      <c r="B65" t="inlineStr">
        <is>
          <t>key_person</t>
        </is>
      </c>
      <c r="C65" t="inlineStr">
        <is>
          <t>Chief Operating Officer (COO)</t>
        </is>
      </c>
      <c r="D65" t="inlineStr"/>
      <c r="E65" s="29" t="n">
        <v>1</v>
      </c>
      <c r="F65" s="29" t="n">
        <v>0</v>
      </c>
      <c r="G65" s="30">
        <f>E65+F65</f>
        <v/>
      </c>
      <c r="H65" s="30">
        <f>(E65+G65)/2</f>
        <v/>
      </c>
      <c r="I65" s="31" t="n">
        <v>137954</v>
      </c>
      <c r="J65" s="32" t="n">
        <v>0.22</v>
      </c>
      <c r="K65" s="33">
        <f>H65*I65/4</f>
        <v/>
      </c>
      <c r="L65" s="33">
        <f>K65*J65</f>
        <v/>
      </c>
      <c r="M65" s="33">
        <f>K65+L65</f>
        <v/>
      </c>
      <c r="N65" t="inlineStr">
        <is>
          <t>oews_median</t>
        </is>
      </c>
    </row>
    <row r="66">
      <c r="A66" t="n">
        <v>20</v>
      </c>
      <c r="B66" t="inlineStr">
        <is>
          <t>key_person</t>
        </is>
      </c>
      <c r="C66" t="inlineStr">
        <is>
          <t>Chief Operating Officer (COO)</t>
        </is>
      </c>
      <c r="D66" t="inlineStr"/>
      <c r="E66" s="29" t="n">
        <v>1</v>
      </c>
      <c r="F66" s="29" t="n">
        <v>0</v>
      </c>
      <c r="G66" s="30">
        <f>E66+F66</f>
        <v/>
      </c>
      <c r="H66" s="30">
        <f>(E66+G66)/2</f>
        <v/>
      </c>
      <c r="I66" s="31" t="n">
        <v>137954</v>
      </c>
      <c r="J66" s="32" t="n">
        <v>0.22</v>
      </c>
      <c r="K66" s="33">
        <f>H66*I66/4</f>
        <v/>
      </c>
      <c r="L66" s="33">
        <f>K66*J66</f>
        <v/>
      </c>
      <c r="M66" s="33">
        <f>K66+L66</f>
        <v/>
      </c>
      <c r="N66" t="inlineStr">
        <is>
          <t>oews_median</t>
        </is>
      </c>
    </row>
    <row r="67">
      <c r="A67" t="n">
        <v>1</v>
      </c>
      <c r="B67" t="inlineStr">
        <is>
          <t>supporting_staff</t>
        </is>
      </c>
      <c r="C67" t="inlineStr">
        <is>
          <t>Reservation and Transportation Ticket Agents and Travel Clerks</t>
        </is>
      </c>
      <c r="D67" t="inlineStr">
        <is>
          <t>Reservation and Transportation Ticket Agents and Travel Clerks</t>
        </is>
      </c>
      <c r="E67" s="29" t="n">
        <v>8</v>
      </c>
      <c r="F67" s="29" t="n">
        <v>0</v>
      </c>
      <c r="G67" s="30">
        <f>E67+F67</f>
        <v/>
      </c>
      <c r="H67" s="30">
        <f>(E67+G67)/2</f>
        <v/>
      </c>
      <c r="I67" s="31" t="n">
        <v>57638</v>
      </c>
      <c r="J67" s="32" t="n">
        <v>0.22</v>
      </c>
      <c r="K67" s="33">
        <f>H67*I67/4</f>
        <v/>
      </c>
      <c r="L67" s="33">
        <f>K67*J67</f>
        <v/>
      </c>
      <c r="M67" s="33">
        <f>K67+L67</f>
        <v/>
      </c>
      <c r="N67" t="inlineStr">
        <is>
          <t>oews_title_catalog:oews_median</t>
        </is>
      </c>
    </row>
    <row r="68">
      <c r="A68" t="n">
        <v>2</v>
      </c>
      <c r="B68" t="inlineStr">
        <is>
          <t>supporting_staff</t>
        </is>
      </c>
      <c r="C68" t="inlineStr">
        <is>
          <t>Reservation and Transportation Ticket Agents and Travel Clerks</t>
        </is>
      </c>
      <c r="D68" t="inlineStr">
        <is>
          <t>Reservation and Transportation Ticket Agents and Travel Clerks</t>
        </is>
      </c>
      <c r="E68" s="29" t="n">
        <v>8</v>
      </c>
      <c r="F68" s="29" t="n">
        <v>0</v>
      </c>
      <c r="G68" s="30">
        <f>E68+F68</f>
        <v/>
      </c>
      <c r="H68" s="30">
        <f>(E68+G68)/2</f>
        <v/>
      </c>
      <c r="I68" s="31" t="n">
        <v>57638</v>
      </c>
      <c r="J68" s="32" t="n">
        <v>0.22</v>
      </c>
      <c r="K68" s="33">
        <f>H68*I68/4</f>
        <v/>
      </c>
      <c r="L68" s="33">
        <f>K68*J68</f>
        <v/>
      </c>
      <c r="M68" s="33">
        <f>K68+L68</f>
        <v/>
      </c>
      <c r="N68" t="inlineStr">
        <is>
          <t>oews_title_catalog:oews_median</t>
        </is>
      </c>
    </row>
    <row r="69">
      <c r="A69" t="n">
        <v>3</v>
      </c>
      <c r="B69" t="inlineStr">
        <is>
          <t>supporting_staff</t>
        </is>
      </c>
      <c r="C69" t="inlineStr">
        <is>
          <t>Reservation and Transportation Ticket Agents and Travel Clerks</t>
        </is>
      </c>
      <c r="D69" t="inlineStr">
        <is>
          <t>Reservation and Transportation Ticket Agents and Travel Clerks</t>
        </is>
      </c>
      <c r="E69" s="29" t="n">
        <v>8</v>
      </c>
      <c r="F69" s="29" t="n">
        <v>0</v>
      </c>
      <c r="G69" s="30">
        <f>E69+F69</f>
        <v/>
      </c>
      <c r="H69" s="30">
        <f>(E69+G69)/2</f>
        <v/>
      </c>
      <c r="I69" s="31" t="n">
        <v>57638</v>
      </c>
      <c r="J69" s="32" t="n">
        <v>0.22</v>
      </c>
      <c r="K69" s="33">
        <f>H69*I69/4</f>
        <v/>
      </c>
      <c r="L69" s="33">
        <f>K69*J69</f>
        <v/>
      </c>
      <c r="M69" s="33">
        <f>K69+L69</f>
        <v/>
      </c>
      <c r="N69" t="inlineStr">
        <is>
          <t>oews_title_catalog:oews_median</t>
        </is>
      </c>
    </row>
    <row r="70">
      <c r="A70" t="n">
        <v>4</v>
      </c>
      <c r="B70" t="inlineStr">
        <is>
          <t>supporting_staff</t>
        </is>
      </c>
      <c r="C70" t="inlineStr">
        <is>
          <t>Reservation and Transportation Ticket Agents and Travel Clerks</t>
        </is>
      </c>
      <c r="D70" t="inlineStr">
        <is>
          <t>Reservation and Transportation Ticket Agents and Travel Clerks</t>
        </is>
      </c>
      <c r="E70" s="29" t="n">
        <v>8</v>
      </c>
      <c r="F70" s="29" t="n">
        <v>0</v>
      </c>
      <c r="G70" s="30">
        <f>E70+F70</f>
        <v/>
      </c>
      <c r="H70" s="30">
        <f>(E70+G70)/2</f>
        <v/>
      </c>
      <c r="I70" s="31" t="n">
        <v>57638</v>
      </c>
      <c r="J70" s="32" t="n">
        <v>0.22</v>
      </c>
      <c r="K70" s="33">
        <f>H70*I70/4</f>
        <v/>
      </c>
      <c r="L70" s="33">
        <f>K70*J70</f>
        <v/>
      </c>
      <c r="M70" s="33">
        <f>K70+L70</f>
        <v/>
      </c>
      <c r="N70" t="inlineStr">
        <is>
          <t>oews_title_catalog:oews_median</t>
        </is>
      </c>
    </row>
    <row r="71">
      <c r="A71" t="n">
        <v>5</v>
      </c>
      <c r="B71" t="inlineStr">
        <is>
          <t>supporting_staff</t>
        </is>
      </c>
      <c r="C71" t="inlineStr">
        <is>
          <t>Reservation and Transportation Ticket Agents and Travel Clerks</t>
        </is>
      </c>
      <c r="D71" t="inlineStr">
        <is>
          <t>Reservation and Transportation Ticket Agents and Travel Clerks</t>
        </is>
      </c>
      <c r="E71" s="29" t="n">
        <v>8</v>
      </c>
      <c r="F71" s="29" t="n">
        <v>0</v>
      </c>
      <c r="G71" s="30">
        <f>E71+F71</f>
        <v/>
      </c>
      <c r="H71" s="30">
        <f>(E71+G71)/2</f>
        <v/>
      </c>
      <c r="I71" s="31" t="n">
        <v>59367</v>
      </c>
      <c r="J71" s="32" t="n">
        <v>0.22</v>
      </c>
      <c r="K71" s="33">
        <f>H71*I71/4</f>
        <v/>
      </c>
      <c r="L71" s="33">
        <f>K71*J71</f>
        <v/>
      </c>
      <c r="M71" s="33">
        <f>K71+L71</f>
        <v/>
      </c>
      <c r="N71" t="inlineStr">
        <is>
          <t>oews_title_catalog:oews_median</t>
        </is>
      </c>
    </row>
    <row r="72">
      <c r="A72" t="n">
        <v>6</v>
      </c>
      <c r="B72" t="inlineStr">
        <is>
          <t>supporting_staff</t>
        </is>
      </c>
      <c r="C72" t="inlineStr">
        <is>
          <t>Reservation and Transportation Ticket Agents and Travel Clerks</t>
        </is>
      </c>
      <c r="D72" t="inlineStr">
        <is>
          <t>Reservation and Transportation Ticket Agents and Travel Clerks</t>
        </is>
      </c>
      <c r="E72" s="29" t="n">
        <v>8</v>
      </c>
      <c r="F72" s="29" t="n">
        <v>0</v>
      </c>
      <c r="G72" s="30">
        <f>E72+F72</f>
        <v/>
      </c>
      <c r="H72" s="30">
        <f>(E72+G72)/2</f>
        <v/>
      </c>
      <c r="I72" s="31" t="n">
        <v>59367</v>
      </c>
      <c r="J72" s="32" t="n">
        <v>0.22</v>
      </c>
      <c r="K72" s="33">
        <f>H72*I72/4</f>
        <v/>
      </c>
      <c r="L72" s="33">
        <f>K72*J72</f>
        <v/>
      </c>
      <c r="M72" s="33">
        <f>K72+L72</f>
        <v/>
      </c>
      <c r="N72" t="inlineStr">
        <is>
          <t>oews_title_catalog:oews_median</t>
        </is>
      </c>
    </row>
    <row r="73">
      <c r="A73" t="n">
        <v>7</v>
      </c>
      <c r="B73" t="inlineStr">
        <is>
          <t>supporting_staff</t>
        </is>
      </c>
      <c r="C73" t="inlineStr">
        <is>
          <t>Reservation and Transportation Ticket Agents and Travel Clerks</t>
        </is>
      </c>
      <c r="D73" t="inlineStr">
        <is>
          <t>Reservation and Transportation Ticket Agents and Travel Clerks</t>
        </is>
      </c>
      <c r="E73" s="29" t="n">
        <v>8</v>
      </c>
      <c r="F73" s="29" t="n">
        <v>0</v>
      </c>
      <c r="G73" s="30">
        <f>E73+F73</f>
        <v/>
      </c>
      <c r="H73" s="30">
        <f>(E73+G73)/2</f>
        <v/>
      </c>
      <c r="I73" s="31" t="n">
        <v>59367</v>
      </c>
      <c r="J73" s="32" t="n">
        <v>0.22</v>
      </c>
      <c r="K73" s="33">
        <f>H73*I73/4</f>
        <v/>
      </c>
      <c r="L73" s="33">
        <f>K73*J73</f>
        <v/>
      </c>
      <c r="M73" s="33">
        <f>K73+L73</f>
        <v/>
      </c>
      <c r="N73" t="inlineStr">
        <is>
          <t>oews_title_catalog:oews_median</t>
        </is>
      </c>
    </row>
    <row r="74">
      <c r="A74" t="n">
        <v>8</v>
      </c>
      <c r="B74" t="inlineStr">
        <is>
          <t>supporting_staff</t>
        </is>
      </c>
      <c r="C74" t="inlineStr">
        <is>
          <t>Reservation and Transportation Ticket Agents and Travel Clerks</t>
        </is>
      </c>
      <c r="D74" t="inlineStr">
        <is>
          <t>Reservation and Transportation Ticket Agents and Travel Clerks</t>
        </is>
      </c>
      <c r="E74" s="29" t="n">
        <v>8</v>
      </c>
      <c r="F74" s="29" t="n">
        <v>0</v>
      </c>
      <c r="G74" s="30">
        <f>E74+F74</f>
        <v/>
      </c>
      <c r="H74" s="30">
        <f>(E74+G74)/2</f>
        <v/>
      </c>
      <c r="I74" s="31" t="n">
        <v>59367</v>
      </c>
      <c r="J74" s="32" t="n">
        <v>0.22</v>
      </c>
      <c r="K74" s="33">
        <f>H74*I74/4</f>
        <v/>
      </c>
      <c r="L74" s="33">
        <f>K74*J74</f>
        <v/>
      </c>
      <c r="M74" s="33">
        <f>K74+L74</f>
        <v/>
      </c>
      <c r="N74" t="inlineStr">
        <is>
          <t>oews_title_catalog:oews_median</t>
        </is>
      </c>
    </row>
    <row r="75">
      <c r="A75" t="n">
        <v>9</v>
      </c>
      <c r="B75" t="inlineStr">
        <is>
          <t>supporting_staff</t>
        </is>
      </c>
      <c r="C75" t="inlineStr">
        <is>
          <t>Reservation and Transportation Ticket Agents and Travel Clerks</t>
        </is>
      </c>
      <c r="D75" t="inlineStr">
        <is>
          <t>Reservation and Transportation Ticket Agents and Travel Clerks</t>
        </is>
      </c>
      <c r="E75" s="29" t="n">
        <v>8</v>
      </c>
      <c r="F75" s="29" t="n">
        <v>0</v>
      </c>
      <c r="G75" s="30">
        <f>E75+F75</f>
        <v/>
      </c>
      <c r="H75" s="30">
        <f>(E75+G75)/2</f>
        <v/>
      </c>
      <c r="I75" s="31" t="n">
        <v>61148</v>
      </c>
      <c r="J75" s="32" t="n">
        <v>0.22</v>
      </c>
      <c r="K75" s="33">
        <f>H75*I75/4</f>
        <v/>
      </c>
      <c r="L75" s="33">
        <f>K75*J75</f>
        <v/>
      </c>
      <c r="M75" s="33">
        <f>K75+L75</f>
        <v/>
      </c>
      <c r="N75" t="inlineStr">
        <is>
          <t>oews_title_catalog:oews_median</t>
        </is>
      </c>
    </row>
    <row r="76">
      <c r="A76" t="n">
        <v>10</v>
      </c>
      <c r="B76" t="inlineStr">
        <is>
          <t>supporting_staff</t>
        </is>
      </c>
      <c r="C76" t="inlineStr">
        <is>
          <t>Reservation and Transportation Ticket Agents and Travel Clerks</t>
        </is>
      </c>
      <c r="D76" t="inlineStr">
        <is>
          <t>Reservation and Transportation Ticket Agents and Travel Clerks</t>
        </is>
      </c>
      <c r="E76" s="29" t="n">
        <v>8</v>
      </c>
      <c r="F76" s="29" t="n">
        <v>0</v>
      </c>
      <c r="G76" s="30">
        <f>E76+F76</f>
        <v/>
      </c>
      <c r="H76" s="30">
        <f>(E76+G76)/2</f>
        <v/>
      </c>
      <c r="I76" s="31" t="n">
        <v>61148</v>
      </c>
      <c r="J76" s="32" t="n">
        <v>0.22</v>
      </c>
      <c r="K76" s="33">
        <f>H76*I76/4</f>
        <v/>
      </c>
      <c r="L76" s="33">
        <f>K76*J76</f>
        <v/>
      </c>
      <c r="M76" s="33">
        <f>K76+L76</f>
        <v/>
      </c>
      <c r="N76" t="inlineStr">
        <is>
          <t>oews_title_catalog:oews_median</t>
        </is>
      </c>
    </row>
    <row r="77">
      <c r="A77" t="n">
        <v>11</v>
      </c>
      <c r="B77" t="inlineStr">
        <is>
          <t>supporting_staff</t>
        </is>
      </c>
      <c r="C77" t="inlineStr">
        <is>
          <t>Reservation and Transportation Ticket Agents and Travel Clerks</t>
        </is>
      </c>
      <c r="D77" t="inlineStr">
        <is>
          <t>Reservation and Transportation Ticket Agents and Travel Clerks</t>
        </is>
      </c>
      <c r="E77" s="29" t="n">
        <v>8</v>
      </c>
      <c r="F77" s="29" t="n">
        <v>0</v>
      </c>
      <c r="G77" s="30">
        <f>E77+F77</f>
        <v/>
      </c>
      <c r="H77" s="30">
        <f>(E77+G77)/2</f>
        <v/>
      </c>
      <c r="I77" s="31" t="n">
        <v>61148</v>
      </c>
      <c r="J77" s="32" t="n">
        <v>0.22</v>
      </c>
      <c r="K77" s="33">
        <f>H77*I77/4</f>
        <v/>
      </c>
      <c r="L77" s="33">
        <f>K77*J77</f>
        <v/>
      </c>
      <c r="M77" s="33">
        <f>K77+L77</f>
        <v/>
      </c>
      <c r="N77" t="inlineStr">
        <is>
          <t>oews_title_catalog:oews_median</t>
        </is>
      </c>
    </row>
    <row r="78">
      <c r="A78" t="n">
        <v>12</v>
      </c>
      <c r="B78" t="inlineStr">
        <is>
          <t>supporting_staff</t>
        </is>
      </c>
      <c r="C78" t="inlineStr">
        <is>
          <t>Reservation and Transportation Ticket Agents and Travel Clerks</t>
        </is>
      </c>
      <c r="D78" t="inlineStr">
        <is>
          <t>Reservation and Transportation Ticket Agents and Travel Clerks</t>
        </is>
      </c>
      <c r="E78" s="29" t="n">
        <v>8</v>
      </c>
      <c r="F78" s="29" t="n">
        <v>0</v>
      </c>
      <c r="G78" s="30">
        <f>E78+F78</f>
        <v/>
      </c>
      <c r="H78" s="30">
        <f>(E78+G78)/2</f>
        <v/>
      </c>
      <c r="I78" s="31" t="n">
        <v>61148</v>
      </c>
      <c r="J78" s="32" t="n">
        <v>0.22</v>
      </c>
      <c r="K78" s="33">
        <f>H78*I78/4</f>
        <v/>
      </c>
      <c r="L78" s="33">
        <f>K78*J78</f>
        <v/>
      </c>
      <c r="M78" s="33">
        <f>K78+L78</f>
        <v/>
      </c>
      <c r="N78" t="inlineStr">
        <is>
          <t>oews_title_catalog:oews_median</t>
        </is>
      </c>
    </row>
    <row r="79">
      <c r="A79" t="n">
        <v>13</v>
      </c>
      <c r="B79" t="inlineStr">
        <is>
          <t>supporting_staff</t>
        </is>
      </c>
      <c r="C79" t="inlineStr">
        <is>
          <t>Reservation and Transportation Ticket Agents and Travel Clerks</t>
        </is>
      </c>
      <c r="D79" t="inlineStr">
        <is>
          <t>Reservation and Transportation Ticket Agents and Travel Clerks</t>
        </is>
      </c>
      <c r="E79" s="29" t="n">
        <v>8</v>
      </c>
      <c r="F79" s="29" t="n">
        <v>0</v>
      </c>
      <c r="G79" s="30">
        <f>E79+F79</f>
        <v/>
      </c>
      <c r="H79" s="30">
        <f>(E79+G79)/2</f>
        <v/>
      </c>
      <c r="I79" s="31" t="n">
        <v>62982</v>
      </c>
      <c r="J79" s="32" t="n">
        <v>0.22</v>
      </c>
      <c r="K79" s="33">
        <f>H79*I79/4</f>
        <v/>
      </c>
      <c r="L79" s="33">
        <f>K79*J79</f>
        <v/>
      </c>
      <c r="M79" s="33">
        <f>K79+L79</f>
        <v/>
      </c>
      <c r="N79" t="inlineStr">
        <is>
          <t>oews_title_catalog:oews_median</t>
        </is>
      </c>
    </row>
    <row r="80">
      <c r="A80" t="n">
        <v>14</v>
      </c>
      <c r="B80" t="inlineStr">
        <is>
          <t>supporting_staff</t>
        </is>
      </c>
      <c r="C80" t="inlineStr">
        <is>
          <t>Reservation and Transportation Ticket Agents and Travel Clerks</t>
        </is>
      </c>
      <c r="D80" t="inlineStr">
        <is>
          <t>Reservation and Transportation Ticket Agents and Travel Clerks</t>
        </is>
      </c>
      <c r="E80" s="29" t="n">
        <v>8</v>
      </c>
      <c r="F80" s="29" t="n">
        <v>0</v>
      </c>
      <c r="G80" s="30">
        <f>E80+F80</f>
        <v/>
      </c>
      <c r="H80" s="30">
        <f>(E80+G80)/2</f>
        <v/>
      </c>
      <c r="I80" s="31" t="n">
        <v>62982</v>
      </c>
      <c r="J80" s="32" t="n">
        <v>0.22</v>
      </c>
      <c r="K80" s="33">
        <f>H80*I80/4</f>
        <v/>
      </c>
      <c r="L80" s="33">
        <f>K80*J80</f>
        <v/>
      </c>
      <c r="M80" s="33">
        <f>K80+L80</f>
        <v/>
      </c>
      <c r="N80" t="inlineStr">
        <is>
          <t>oews_title_catalog:oews_median</t>
        </is>
      </c>
    </row>
    <row r="81">
      <c r="A81" t="n">
        <v>15</v>
      </c>
      <c r="B81" t="inlineStr">
        <is>
          <t>supporting_staff</t>
        </is>
      </c>
      <c r="C81" t="inlineStr">
        <is>
          <t>Reservation and Transportation Ticket Agents and Travel Clerks</t>
        </is>
      </c>
      <c r="D81" t="inlineStr">
        <is>
          <t>Reservation and Transportation Ticket Agents and Travel Clerks</t>
        </is>
      </c>
      <c r="E81" s="29" t="n">
        <v>8</v>
      </c>
      <c r="F81" s="29" t="n">
        <v>0</v>
      </c>
      <c r="G81" s="30">
        <f>E81+F81</f>
        <v/>
      </c>
      <c r="H81" s="30">
        <f>(E81+G81)/2</f>
        <v/>
      </c>
      <c r="I81" s="31" t="n">
        <v>62982</v>
      </c>
      <c r="J81" s="32" t="n">
        <v>0.22</v>
      </c>
      <c r="K81" s="33">
        <f>H81*I81/4</f>
        <v/>
      </c>
      <c r="L81" s="33">
        <f>K81*J81</f>
        <v/>
      </c>
      <c r="M81" s="33">
        <f>K81+L81</f>
        <v/>
      </c>
      <c r="N81" t="inlineStr">
        <is>
          <t>oews_title_catalog:oews_median</t>
        </is>
      </c>
    </row>
    <row r="82">
      <c r="A82" t="n">
        <v>16</v>
      </c>
      <c r="B82" t="inlineStr">
        <is>
          <t>supporting_staff</t>
        </is>
      </c>
      <c r="C82" t="inlineStr">
        <is>
          <t>Reservation and Transportation Ticket Agents and Travel Clerks</t>
        </is>
      </c>
      <c r="D82" t="inlineStr">
        <is>
          <t>Reservation and Transportation Ticket Agents and Travel Clerks</t>
        </is>
      </c>
      <c r="E82" s="29" t="n">
        <v>8</v>
      </c>
      <c r="F82" s="29" t="n">
        <v>0</v>
      </c>
      <c r="G82" s="30">
        <f>E82+F82</f>
        <v/>
      </c>
      <c r="H82" s="30">
        <f>(E82+G82)/2</f>
        <v/>
      </c>
      <c r="I82" s="31" t="n">
        <v>62982</v>
      </c>
      <c r="J82" s="32" t="n">
        <v>0.22</v>
      </c>
      <c r="K82" s="33">
        <f>H82*I82/4</f>
        <v/>
      </c>
      <c r="L82" s="33">
        <f>K82*J82</f>
        <v/>
      </c>
      <c r="M82" s="33">
        <f>K82+L82</f>
        <v/>
      </c>
      <c r="N82" t="inlineStr">
        <is>
          <t>oews_title_catalog:oews_median</t>
        </is>
      </c>
    </row>
    <row r="83">
      <c r="A83" t="n">
        <v>17</v>
      </c>
      <c r="B83" t="inlineStr">
        <is>
          <t>supporting_staff</t>
        </is>
      </c>
      <c r="C83" t="inlineStr">
        <is>
          <t>Reservation and Transportation Ticket Agents and Travel Clerks</t>
        </is>
      </c>
      <c r="D83" t="inlineStr">
        <is>
          <t>Reservation and Transportation Ticket Agents and Travel Clerks</t>
        </is>
      </c>
      <c r="E83" s="29" t="n">
        <v>8</v>
      </c>
      <c r="F83" s="29" t="n">
        <v>0</v>
      </c>
      <c r="G83" s="30">
        <f>E83+F83</f>
        <v/>
      </c>
      <c r="H83" s="30">
        <f>(E83+G83)/2</f>
        <v/>
      </c>
      <c r="I83" s="31" t="n">
        <v>64872</v>
      </c>
      <c r="J83" s="32" t="n">
        <v>0.22</v>
      </c>
      <c r="K83" s="33">
        <f>H83*I83/4</f>
        <v/>
      </c>
      <c r="L83" s="33">
        <f>K83*J83</f>
        <v/>
      </c>
      <c r="M83" s="33">
        <f>K83+L83</f>
        <v/>
      </c>
      <c r="N83" t="inlineStr">
        <is>
          <t>oews_title_catalog:oews_median</t>
        </is>
      </c>
    </row>
    <row r="84">
      <c r="A84" t="n">
        <v>18</v>
      </c>
      <c r="B84" t="inlineStr">
        <is>
          <t>supporting_staff</t>
        </is>
      </c>
      <c r="C84" t="inlineStr">
        <is>
          <t>Reservation and Transportation Ticket Agents and Travel Clerks</t>
        </is>
      </c>
      <c r="D84" t="inlineStr">
        <is>
          <t>Reservation and Transportation Ticket Agents and Travel Clerks</t>
        </is>
      </c>
      <c r="E84" s="29" t="n">
        <v>8</v>
      </c>
      <c r="F84" s="29" t="n">
        <v>0</v>
      </c>
      <c r="G84" s="30">
        <f>E84+F84</f>
        <v/>
      </c>
      <c r="H84" s="30">
        <f>(E84+G84)/2</f>
        <v/>
      </c>
      <c r="I84" s="31" t="n">
        <v>64872</v>
      </c>
      <c r="J84" s="32" t="n">
        <v>0.22</v>
      </c>
      <c r="K84" s="33">
        <f>H84*I84/4</f>
        <v/>
      </c>
      <c r="L84" s="33">
        <f>K84*J84</f>
        <v/>
      </c>
      <c r="M84" s="33">
        <f>K84+L84</f>
        <v/>
      </c>
      <c r="N84" t="inlineStr">
        <is>
          <t>oews_title_catalog:oews_median</t>
        </is>
      </c>
    </row>
    <row r="85">
      <c r="A85" t="n">
        <v>19</v>
      </c>
      <c r="B85" t="inlineStr">
        <is>
          <t>supporting_staff</t>
        </is>
      </c>
      <c r="C85" t="inlineStr">
        <is>
          <t>Reservation and Transportation Ticket Agents and Travel Clerks</t>
        </is>
      </c>
      <c r="D85" t="inlineStr">
        <is>
          <t>Reservation and Transportation Ticket Agents and Travel Clerks</t>
        </is>
      </c>
      <c r="E85" s="29" t="n">
        <v>8</v>
      </c>
      <c r="F85" s="29" t="n">
        <v>0</v>
      </c>
      <c r="G85" s="30">
        <f>E85+F85</f>
        <v/>
      </c>
      <c r="H85" s="30">
        <f>(E85+G85)/2</f>
        <v/>
      </c>
      <c r="I85" s="31" t="n">
        <v>64872</v>
      </c>
      <c r="J85" s="32" t="n">
        <v>0.22</v>
      </c>
      <c r="K85" s="33">
        <f>H85*I85/4</f>
        <v/>
      </c>
      <c r="L85" s="33">
        <f>K85*J85</f>
        <v/>
      </c>
      <c r="M85" s="33">
        <f>K85+L85</f>
        <v/>
      </c>
      <c r="N85" t="inlineStr">
        <is>
          <t>oews_title_catalog:oews_median</t>
        </is>
      </c>
    </row>
    <row r="86">
      <c r="A86" t="n">
        <v>20</v>
      </c>
      <c r="B86" t="inlineStr">
        <is>
          <t>supporting_staff</t>
        </is>
      </c>
      <c r="C86" t="inlineStr">
        <is>
          <t>Reservation and Transportation Ticket Agents and Travel Clerks</t>
        </is>
      </c>
      <c r="D86" t="inlineStr">
        <is>
          <t>Reservation and Transportation Ticket Agents and Travel Clerks</t>
        </is>
      </c>
      <c r="E86" s="29" t="n">
        <v>8</v>
      </c>
      <c r="F86" s="29" t="n">
        <v>0</v>
      </c>
      <c r="G86" s="30">
        <f>E86+F86</f>
        <v/>
      </c>
      <c r="H86" s="30">
        <f>(E86+G86)/2</f>
        <v/>
      </c>
      <c r="I86" s="31" t="n">
        <v>64872</v>
      </c>
      <c r="J86" s="32" t="n">
        <v>0.22</v>
      </c>
      <c r="K86" s="33">
        <f>H86*I86/4</f>
        <v/>
      </c>
      <c r="L86" s="33">
        <f>K86*J86</f>
        <v/>
      </c>
      <c r="M86" s="33">
        <f>K86+L86</f>
        <v/>
      </c>
      <c r="N86" t="inlineStr">
        <is>
          <t>oews_title_catalog:oews_median</t>
        </is>
      </c>
    </row>
  </sheetData>
  <autoFilter ref="A26:N86"/>
  <mergeCells count="3">
    <mergeCell ref="A14:AB14"/>
    <mergeCell ref="A6:AB6"/>
    <mergeCell ref="A25:A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AB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Debt Schedule</t>
        </is>
      </c>
    </row>
    <row r="2">
      <c r="A2" s="2" t="inlineStr">
        <is>
          <t>Debt, interest, and capital lease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Debt Amortization</t>
        </is>
      </c>
    </row>
    <row r="7">
      <c r="A7" s="8" t="inlineStr">
        <is>
          <t>Opening Debt</t>
        </is>
      </c>
      <c r="B7" s="8" t="inlineStr">
        <is>
          <t>Calculated</t>
        </is>
      </c>
      <c r="C7" s="12" t="n">
        <v>0</v>
      </c>
      <c r="D7" s="12">
        <f>C11</f>
        <v/>
      </c>
      <c r="E7" s="12">
        <f>D11</f>
        <v/>
      </c>
      <c r="F7" s="12">
        <f>E11</f>
        <v/>
      </c>
      <c r="G7" s="12">
        <f>F11</f>
        <v/>
      </c>
      <c r="H7" s="12">
        <f>G11</f>
        <v/>
      </c>
      <c r="I7" s="12">
        <f>H11</f>
        <v/>
      </c>
      <c r="J7" s="12">
        <f>I11</f>
        <v/>
      </c>
      <c r="K7" s="12">
        <f>J11</f>
        <v/>
      </c>
      <c r="L7" s="12">
        <f>K11</f>
        <v/>
      </c>
      <c r="M7" s="12">
        <f>L11</f>
        <v/>
      </c>
      <c r="N7" s="12">
        <f>M11</f>
        <v/>
      </c>
      <c r="O7" s="12">
        <f>N11</f>
        <v/>
      </c>
      <c r="P7" s="12">
        <f>O11</f>
        <v/>
      </c>
      <c r="Q7" s="12">
        <f>P11</f>
        <v/>
      </c>
      <c r="R7" s="12">
        <f>Q11</f>
        <v/>
      </c>
      <c r="S7" s="12">
        <f>R11</f>
        <v/>
      </c>
      <c r="T7" s="12">
        <f>S11</f>
        <v/>
      </c>
      <c r="U7" s="12">
        <f>T11</f>
        <v/>
      </c>
      <c r="V7" s="12">
        <f>U11</f>
        <v/>
      </c>
      <c r="W7" s="12">
        <f>V11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8" t="inlineStr">
        <is>
          <t>Debt Issuance</t>
        </is>
      </c>
      <c r="B8" s="8" t="inlineStr">
        <is>
          <t>Source borrowing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Requested Debt Repayment</t>
        </is>
      </c>
      <c r="B9" s="8" t="inlineStr">
        <is>
          <t>Source scheduled repayment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34" t="inlineStr">
        <is>
          <t>Actual Debt Repayment</t>
        </is>
      </c>
      <c r="B10" s="34" t="inlineStr">
        <is>
          <t>MIN(requested repayment, opening debt + issuance)</t>
        </is>
      </c>
      <c r="C10" s="35">
        <f>MIN(C9,C7+C8)</f>
        <v/>
      </c>
      <c r="D10" s="35">
        <f>MIN(D9,D7+D8)</f>
        <v/>
      </c>
      <c r="E10" s="35">
        <f>MIN(E9,E7+E8)</f>
        <v/>
      </c>
      <c r="F10" s="35">
        <f>MIN(F9,F7+F8)</f>
        <v/>
      </c>
      <c r="G10" s="35">
        <f>MIN(G9,G7+G8)</f>
        <v/>
      </c>
      <c r="H10" s="35">
        <f>MIN(H9,H7+H8)</f>
        <v/>
      </c>
      <c r="I10" s="35">
        <f>MIN(I9,I7+I8)</f>
        <v/>
      </c>
      <c r="J10" s="35">
        <f>MIN(J9,J7+J8)</f>
        <v/>
      </c>
      <c r="K10" s="35">
        <f>MIN(K9,K7+K8)</f>
        <v/>
      </c>
      <c r="L10" s="35">
        <f>MIN(L9,L7+L8)</f>
        <v/>
      </c>
      <c r="M10" s="35">
        <f>MIN(M9,M7+M8)</f>
        <v/>
      </c>
      <c r="N10" s="35">
        <f>MIN(N9,N7+N8)</f>
        <v/>
      </c>
      <c r="O10" s="35">
        <f>MIN(O9,O7+O8)</f>
        <v/>
      </c>
      <c r="P10" s="35">
        <f>MIN(P9,P7+P8)</f>
        <v/>
      </c>
      <c r="Q10" s="35">
        <f>MIN(Q9,Q7+Q8)</f>
        <v/>
      </c>
      <c r="R10" s="35">
        <f>MIN(R9,R7+R8)</f>
        <v/>
      </c>
      <c r="S10" s="35">
        <f>MIN(S9,S7+S8)</f>
        <v/>
      </c>
      <c r="T10" s="35">
        <f>MIN(T9,T7+T8)</f>
        <v/>
      </c>
      <c r="U10" s="35">
        <f>MIN(U9,U7+U8)</f>
        <v/>
      </c>
      <c r="V10" s="35">
        <f>MIN(V9,V7+V8)</f>
        <v/>
      </c>
      <c r="W10" s="35">
        <f>MIN(W9,W7+W8)</f>
        <v/>
      </c>
      <c r="X10" s="35">
        <f>SUM(D10:G10)</f>
        <v/>
      </c>
      <c r="Y10" s="35">
        <f>SUM(H10:K10)</f>
        <v/>
      </c>
      <c r="Z10" s="35">
        <f>SUM(L10:O10)</f>
        <v/>
      </c>
      <c r="AA10" s="35">
        <f>SUM(P10:S10)</f>
        <v/>
      </c>
      <c r="AB10" s="35">
        <f>SUM(T10:W10)</f>
        <v/>
      </c>
    </row>
    <row r="11">
      <c r="A11" s="24" t="inlineStr">
        <is>
          <t>Closing Debt</t>
        </is>
      </c>
      <c r="B11" s="24" t="inlineStr">
        <is>
          <t>Calculated</t>
        </is>
      </c>
      <c r="C11" s="25">
        <f>MAX(0,C7+C8-C10)</f>
        <v/>
      </c>
      <c r="D11" s="25">
        <f>MAX(0,D7+D8-D10)</f>
        <v/>
      </c>
      <c r="E11" s="25">
        <f>MAX(0,E7+E8-E10)</f>
        <v/>
      </c>
      <c r="F11" s="25">
        <f>MAX(0,F7+F8-F10)</f>
        <v/>
      </c>
      <c r="G11" s="25">
        <f>MAX(0,G7+G8-G10)</f>
        <v/>
      </c>
      <c r="H11" s="25">
        <f>MAX(0,H7+H8-H10)</f>
        <v/>
      </c>
      <c r="I11" s="25">
        <f>MAX(0,I7+I8-I10)</f>
        <v/>
      </c>
      <c r="J11" s="25">
        <f>MAX(0,J7+J8-J10)</f>
        <v/>
      </c>
      <c r="K11" s="25">
        <f>MAX(0,K7+K8-K10)</f>
        <v/>
      </c>
      <c r="L11" s="25">
        <f>MAX(0,L7+L8-L10)</f>
        <v/>
      </c>
      <c r="M11" s="25">
        <f>MAX(0,M7+M8-M10)</f>
        <v/>
      </c>
      <c r="N11" s="25">
        <f>MAX(0,N7+N8-N10)</f>
        <v/>
      </c>
      <c r="O11" s="25">
        <f>MAX(0,O7+O8-O10)</f>
        <v/>
      </c>
      <c r="P11" s="25">
        <f>MAX(0,P7+P8-P10)</f>
        <v/>
      </c>
      <c r="Q11" s="25">
        <f>MAX(0,Q7+Q8-Q10)</f>
        <v/>
      </c>
      <c r="R11" s="25">
        <f>MAX(0,R7+R8-R10)</f>
        <v/>
      </c>
      <c r="S11" s="25">
        <f>MAX(0,S7+S8-S10)</f>
        <v/>
      </c>
      <c r="T11" s="25">
        <f>MAX(0,T7+T8-T10)</f>
        <v/>
      </c>
      <c r="U11" s="25">
        <f>MAX(0,U7+U8-U10)</f>
        <v/>
      </c>
      <c r="V11" s="25">
        <f>MAX(0,V7+V8-V10)</f>
        <v/>
      </c>
      <c r="W11" s="25">
        <f>MAX(0,W7+W8-W10)</f>
        <v/>
      </c>
      <c r="X11" s="25">
        <f>G11</f>
        <v/>
      </c>
      <c r="Y11" s="25">
        <f>K11</f>
        <v/>
      </c>
      <c r="Z11" s="25">
        <f>O11</f>
        <v/>
      </c>
      <c r="AA11" s="25">
        <f>S11</f>
        <v/>
      </c>
      <c r="AB11" s="25">
        <f>W11</f>
        <v/>
      </c>
    </row>
    <row r="12">
      <c r="A12" s="8" t="inlineStr">
        <is>
          <t>Interest Rate</t>
        </is>
      </c>
      <c r="B12" s="8" t="inlineStr">
        <is>
          <t>Source rate</t>
        </is>
      </c>
      <c r="C12" s="13" t="n">
        <v>0</v>
      </c>
      <c r="D12" s="13" t="n">
        <v>0.025313</v>
      </c>
      <c r="E12" s="13" t="n">
        <v>0.025313</v>
      </c>
      <c r="F12" s="13" t="n">
        <v>0.025313</v>
      </c>
      <c r="G12" s="13" t="n">
        <v>0.025313</v>
      </c>
      <c r="H12" s="13" t="n">
        <v>0.025313</v>
      </c>
      <c r="I12" s="13" t="n">
        <v>0.025313</v>
      </c>
      <c r="J12" s="13" t="n">
        <v>0.025313</v>
      </c>
      <c r="K12" s="13" t="n">
        <v>0.025313</v>
      </c>
      <c r="L12" s="13" t="n">
        <v>0.025313</v>
      </c>
      <c r="M12" s="13" t="n">
        <v>0.025313</v>
      </c>
      <c r="N12" s="13" t="n">
        <v>0.025313</v>
      </c>
      <c r="O12" s="13" t="n">
        <v>0.025313</v>
      </c>
      <c r="P12" s="13" t="n">
        <v>0.025313</v>
      </c>
      <c r="Q12" s="13" t="n">
        <v>0.025313</v>
      </c>
      <c r="R12" s="13" t="n">
        <v>0.025313</v>
      </c>
      <c r="S12" s="13" t="n">
        <v>0.025313</v>
      </c>
      <c r="T12" s="13" t="n">
        <v>0.025313</v>
      </c>
      <c r="U12" s="13" t="n">
        <v>0.025313</v>
      </c>
      <c r="V12" s="13" t="n">
        <v>0.025313</v>
      </c>
      <c r="W12" s="13" t="n">
        <v>0.025313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24" t="inlineStr">
        <is>
          <t>Interest Expense</t>
        </is>
      </c>
      <c r="B13" s="24" t="inlineStr">
        <is>
          <t>Average debt balance x rate</t>
        </is>
      </c>
      <c r="C13" s="25">
        <f>((C7+C11)/2)*C12</f>
        <v/>
      </c>
      <c r="D13" s="25">
        <f>((D7+D11)/2)*D12</f>
        <v/>
      </c>
      <c r="E13" s="25">
        <f>((E7+E11)/2)*E12</f>
        <v/>
      </c>
      <c r="F13" s="25">
        <f>((F7+F11)/2)*F12</f>
        <v/>
      </c>
      <c r="G13" s="25">
        <f>((G7+G11)/2)*G12</f>
        <v/>
      </c>
      <c r="H13" s="25">
        <f>((H7+H11)/2)*H12</f>
        <v/>
      </c>
      <c r="I13" s="25">
        <f>((I7+I11)/2)*I12</f>
        <v/>
      </c>
      <c r="J13" s="25">
        <f>((J7+J11)/2)*J12</f>
        <v/>
      </c>
      <c r="K13" s="25">
        <f>((K7+K11)/2)*K12</f>
        <v/>
      </c>
      <c r="L13" s="25">
        <f>((L7+L11)/2)*L12</f>
        <v/>
      </c>
      <c r="M13" s="25">
        <f>((M7+M11)/2)*M12</f>
        <v/>
      </c>
      <c r="N13" s="25">
        <f>((N7+N11)/2)*N12</f>
        <v/>
      </c>
      <c r="O13" s="25">
        <f>((O7+O11)/2)*O12</f>
        <v/>
      </c>
      <c r="P13" s="25">
        <f>((P7+P11)/2)*P12</f>
        <v/>
      </c>
      <c r="Q13" s="25">
        <f>((Q7+Q11)/2)*Q12</f>
        <v/>
      </c>
      <c r="R13" s="25">
        <f>((R7+R11)/2)*R12</f>
        <v/>
      </c>
      <c r="S13" s="25">
        <f>((S7+S11)/2)*S12</f>
        <v/>
      </c>
      <c r="T13" s="25">
        <f>((T7+T11)/2)*T12</f>
        <v/>
      </c>
      <c r="U13" s="25">
        <f>((U7+U11)/2)*U12</f>
        <v/>
      </c>
      <c r="V13" s="25">
        <f>((V7+V11)/2)*V12</f>
        <v/>
      </c>
      <c r="W13" s="25">
        <f>((W7+W11)/2)*W12</f>
        <v/>
      </c>
      <c r="X13" s="25">
        <f>SUM(D13:G13)</f>
        <v/>
      </c>
      <c r="Y13" s="25">
        <f>SUM(H13:K13)</f>
        <v/>
      </c>
      <c r="Z13" s="25">
        <f>SUM(L13:O13)</f>
        <v/>
      </c>
      <c r="AA13" s="25">
        <f>SUM(P13:S13)</f>
        <v/>
      </c>
      <c r="AB13" s="25">
        <f>SUM(T13:W13)</f>
        <v/>
      </c>
    </row>
    <row r="14">
      <c r="A14" s="8" t="inlineStr">
        <is>
          <t>Total Debt Service</t>
        </is>
      </c>
      <c r="B14" s="8" t="inlineStr">
        <is>
          <t>Interest + actual repayment</t>
        </is>
      </c>
      <c r="C14" s="12">
        <f>C13+C10</f>
        <v/>
      </c>
      <c r="D14" s="12">
        <f>D13+D10</f>
        <v/>
      </c>
      <c r="E14" s="12">
        <f>E13+E10</f>
        <v/>
      </c>
      <c r="F14" s="12">
        <f>F13+F10</f>
        <v/>
      </c>
      <c r="G14" s="12">
        <f>G13+G10</f>
        <v/>
      </c>
      <c r="H14" s="12">
        <f>H13+H10</f>
        <v/>
      </c>
      <c r="I14" s="12">
        <f>I13+I10</f>
        <v/>
      </c>
      <c r="J14" s="12">
        <f>J13+J10</f>
        <v/>
      </c>
      <c r="K14" s="12">
        <f>K13+K10</f>
        <v/>
      </c>
      <c r="L14" s="12">
        <f>L13+L10</f>
        <v/>
      </c>
      <c r="M14" s="12">
        <f>M13+M10</f>
        <v/>
      </c>
      <c r="N14" s="12">
        <f>N13+N10</f>
        <v/>
      </c>
      <c r="O14" s="12">
        <f>O13+O10</f>
        <v/>
      </c>
      <c r="P14" s="12">
        <f>P13+P10</f>
        <v/>
      </c>
      <c r="Q14" s="12">
        <f>Q13+Q10</f>
        <v/>
      </c>
      <c r="R14" s="12">
        <f>R13+R10</f>
        <v/>
      </c>
      <c r="S14" s="12">
        <f>S13+S10</f>
        <v/>
      </c>
      <c r="T14" s="12">
        <f>T13+T10</f>
        <v/>
      </c>
      <c r="U14" s="12">
        <f>U13+U10</f>
        <v/>
      </c>
      <c r="V14" s="12">
        <f>V13+V10</f>
        <v/>
      </c>
      <c r="W14" s="12">
        <f>W13+W10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7">
      <c r="A17" s="7" t="inlineStr">
        <is>
          <t>Capital Lease Schedule</t>
        </is>
      </c>
    </row>
    <row r="18">
      <c r="A18" s="21" t="inlineStr">
        <is>
          <t>Lease Opening Balance</t>
        </is>
      </c>
      <c r="B18" s="21" t="inlineStr">
        <is>
          <t>Capital leases</t>
        </is>
      </c>
      <c r="C18" s="26" t="n">
        <v>0</v>
      </c>
      <c r="D18" s="26">
        <f>C23</f>
        <v/>
      </c>
      <c r="E18" s="26">
        <f>D23</f>
        <v/>
      </c>
      <c r="F18" s="26">
        <f>E23</f>
        <v/>
      </c>
      <c r="G18" s="26">
        <f>F23</f>
        <v/>
      </c>
      <c r="H18" s="26">
        <f>G23</f>
        <v/>
      </c>
      <c r="I18" s="26">
        <f>H23</f>
        <v/>
      </c>
      <c r="J18" s="26">
        <f>I23</f>
        <v/>
      </c>
      <c r="K18" s="26">
        <f>J23</f>
        <v/>
      </c>
      <c r="L18" s="26">
        <f>K23</f>
        <v/>
      </c>
      <c r="M18" s="26">
        <f>L23</f>
        <v/>
      </c>
      <c r="N18" s="26">
        <f>M23</f>
        <v/>
      </c>
      <c r="O18" s="26">
        <f>N23</f>
        <v/>
      </c>
      <c r="P18" s="26">
        <f>O23</f>
        <v/>
      </c>
      <c r="Q18" s="26">
        <f>P23</f>
        <v/>
      </c>
      <c r="R18" s="26">
        <f>Q23</f>
        <v/>
      </c>
      <c r="S18" s="26">
        <f>R23</f>
        <v/>
      </c>
      <c r="T18" s="26">
        <f>S23</f>
        <v/>
      </c>
      <c r="U18" s="26">
        <f>T23</f>
        <v/>
      </c>
      <c r="V18" s="26">
        <f>U23</f>
        <v/>
      </c>
      <c r="W18" s="26">
        <f>V23</f>
        <v/>
      </c>
      <c r="X18" s="26">
        <f>G18</f>
        <v/>
      </c>
      <c r="Y18" s="26">
        <f>K18</f>
        <v/>
      </c>
      <c r="Z18" s="26">
        <f>O18</f>
        <v/>
      </c>
      <c r="AA18" s="26">
        <f>S18</f>
        <v/>
      </c>
      <c r="AB18" s="26">
        <f>W18</f>
        <v/>
      </c>
    </row>
    <row r="19">
      <c r="A19" s="21" t="inlineStr">
        <is>
          <t>Requested Lease Principal Repayments</t>
        </is>
      </c>
      <c r="B19" s="21" t="inlineStr">
        <is>
          <t>Capital leases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>
        <f>SUM(D19:G19)</f>
        <v/>
      </c>
      <c r="Y19" s="26">
        <f>SUM(H19:K19)</f>
        <v/>
      </c>
      <c r="Z19" s="26">
        <f>SUM(L19:O19)</f>
        <v/>
      </c>
      <c r="AA19" s="26">
        <f>SUM(P19:S19)</f>
        <v/>
      </c>
      <c r="AB19" s="26">
        <f>SUM(T19:W19)</f>
        <v/>
      </c>
    </row>
    <row r="20">
      <c r="A20" s="21" t="inlineStr">
        <is>
          <t>Lease Principal Repayments</t>
        </is>
      </c>
      <c r="B20" s="21" t="inlineStr">
        <is>
          <t>Capital leases</t>
        </is>
      </c>
      <c r="C20" s="26">
        <f>MIN(C19,C18+C21)</f>
        <v/>
      </c>
      <c r="D20" s="26">
        <f>MIN(D19,D18+D21)</f>
        <v/>
      </c>
      <c r="E20" s="26">
        <f>MIN(E19,E18+E21)</f>
        <v/>
      </c>
      <c r="F20" s="26">
        <f>MIN(F19,F18+F21)</f>
        <v/>
      </c>
      <c r="G20" s="26">
        <f>MIN(G19,G18+G21)</f>
        <v/>
      </c>
      <c r="H20" s="26">
        <f>MIN(H19,H18+H21)</f>
        <v/>
      </c>
      <c r="I20" s="26">
        <f>MIN(I19,I18+I21)</f>
        <v/>
      </c>
      <c r="J20" s="26">
        <f>MIN(J19,J18+J21)</f>
        <v/>
      </c>
      <c r="K20" s="26">
        <f>MIN(K19,K18+K21)</f>
        <v/>
      </c>
      <c r="L20" s="26">
        <f>MIN(L19,L18+L21)</f>
        <v/>
      </c>
      <c r="M20" s="26">
        <f>MIN(M19,M18+M21)</f>
        <v/>
      </c>
      <c r="N20" s="26">
        <f>MIN(N19,N18+N21)</f>
        <v/>
      </c>
      <c r="O20" s="26">
        <f>MIN(O19,O18+O21)</f>
        <v/>
      </c>
      <c r="P20" s="26">
        <f>MIN(P19,P18+P21)</f>
        <v/>
      </c>
      <c r="Q20" s="26">
        <f>MIN(Q19,Q18+Q21)</f>
        <v/>
      </c>
      <c r="R20" s="26">
        <f>MIN(R19,R18+R21)</f>
        <v/>
      </c>
      <c r="S20" s="26">
        <f>MIN(S19,S18+S21)</f>
        <v/>
      </c>
      <c r="T20" s="26">
        <f>MIN(T19,T18+T21)</f>
        <v/>
      </c>
      <c r="U20" s="26">
        <f>MIN(U19,U18+U21)</f>
        <v/>
      </c>
      <c r="V20" s="26">
        <f>MIN(V19,V18+V21)</f>
        <v/>
      </c>
      <c r="W20" s="26">
        <f>MIN(W19,W18+W21)</f>
        <v/>
      </c>
      <c r="X20" s="26">
        <f>SUM(D20:G20)</f>
        <v/>
      </c>
      <c r="Y20" s="26">
        <f>SUM(H20:K20)</f>
        <v/>
      </c>
      <c r="Z20" s="26">
        <f>SUM(L20:O20)</f>
        <v/>
      </c>
      <c r="AA20" s="26">
        <f>SUM(P20:S20)</f>
        <v/>
      </c>
      <c r="AB20" s="26">
        <f>SUM(T20:W20)</f>
        <v/>
      </c>
    </row>
    <row r="21">
      <c r="A21" s="21" t="inlineStr">
        <is>
          <t>Lease Net Additions</t>
        </is>
      </c>
      <c r="B21" s="21" t="inlineStr">
        <is>
          <t>Capital leases</t>
        </is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>
        <f>SUM(D21:G21)</f>
        <v/>
      </c>
      <c r="Y21" s="26">
        <f>SUM(H21:K21)</f>
        <v/>
      </c>
      <c r="Z21" s="26">
        <f>SUM(L21:O21)</f>
        <v/>
      </c>
      <c r="AA21" s="26">
        <f>SUM(P21:S21)</f>
        <v/>
      </c>
      <c r="AB21" s="26">
        <f>SUM(T21:W21)</f>
        <v/>
      </c>
    </row>
    <row r="22">
      <c r="A22" s="21" t="inlineStr">
        <is>
          <t>Lease Interest Expense</t>
        </is>
      </c>
      <c r="B22" s="21" t="inlineStr">
        <is>
          <t>Capital leases</t>
        </is>
      </c>
      <c r="C22" s="26" t="n">
        <v>0</v>
      </c>
      <c r="D22" s="26">
        <f>D18*D12</f>
        <v/>
      </c>
      <c r="E22" s="26">
        <f>E18*E12</f>
        <v/>
      </c>
      <c r="F22" s="26">
        <f>F18*F12</f>
        <v/>
      </c>
      <c r="G22" s="26">
        <f>G18*G12</f>
        <v/>
      </c>
      <c r="H22" s="26">
        <f>H18*H12</f>
        <v/>
      </c>
      <c r="I22" s="26">
        <f>I18*I12</f>
        <v/>
      </c>
      <c r="J22" s="26">
        <f>J18*J12</f>
        <v/>
      </c>
      <c r="K22" s="26">
        <f>K18*K12</f>
        <v/>
      </c>
      <c r="L22" s="26">
        <f>L18*L12</f>
        <v/>
      </c>
      <c r="M22" s="26">
        <f>M18*M12</f>
        <v/>
      </c>
      <c r="N22" s="26">
        <f>N18*N12</f>
        <v/>
      </c>
      <c r="O22" s="26">
        <f>O18*O12</f>
        <v/>
      </c>
      <c r="P22" s="26">
        <f>P18*P12</f>
        <v/>
      </c>
      <c r="Q22" s="26">
        <f>Q18*Q12</f>
        <v/>
      </c>
      <c r="R22" s="26">
        <f>R18*R12</f>
        <v/>
      </c>
      <c r="S22" s="26">
        <f>S18*S12</f>
        <v/>
      </c>
      <c r="T22" s="26">
        <f>T18*T12</f>
        <v/>
      </c>
      <c r="U22" s="26">
        <f>U18*U12</f>
        <v/>
      </c>
      <c r="V22" s="26">
        <f>V18*V12</f>
        <v/>
      </c>
      <c r="W22" s="26">
        <f>W18*W12</f>
        <v/>
      </c>
      <c r="X22" s="26">
        <f>SUM(D22:G22)</f>
        <v/>
      </c>
      <c r="Y22" s="26">
        <f>SUM(H22:K22)</f>
        <v/>
      </c>
      <c r="Z22" s="26">
        <f>SUM(L22:O22)</f>
        <v/>
      </c>
      <c r="AA22" s="26">
        <f>SUM(P22:S22)</f>
        <v/>
      </c>
      <c r="AB22" s="26">
        <f>SUM(T22:W22)</f>
        <v/>
      </c>
    </row>
    <row r="23">
      <c r="A23" s="21" t="inlineStr">
        <is>
          <t>Lease Closing Balance</t>
        </is>
      </c>
      <c r="B23" s="21" t="inlineStr">
        <is>
          <t>Capital leases</t>
        </is>
      </c>
      <c r="C23" s="26">
        <f>MAX(0,C18+C21-C20)</f>
        <v/>
      </c>
      <c r="D23" s="26">
        <f>MAX(0,D18+D21-D20)</f>
        <v/>
      </c>
      <c r="E23" s="26">
        <f>MAX(0,E18+E21-E20)</f>
        <v/>
      </c>
      <c r="F23" s="26">
        <f>MAX(0,F18+F21-F20)</f>
        <v/>
      </c>
      <c r="G23" s="26">
        <f>MAX(0,G18+G21-G20)</f>
        <v/>
      </c>
      <c r="H23" s="26">
        <f>MAX(0,H18+H21-H20)</f>
        <v/>
      </c>
      <c r="I23" s="26">
        <f>MAX(0,I18+I21-I20)</f>
        <v/>
      </c>
      <c r="J23" s="26">
        <f>MAX(0,J18+J21-J20)</f>
        <v/>
      </c>
      <c r="K23" s="26">
        <f>MAX(0,K18+K21-K20)</f>
        <v/>
      </c>
      <c r="L23" s="26">
        <f>MAX(0,L18+L21-L20)</f>
        <v/>
      </c>
      <c r="M23" s="26">
        <f>MAX(0,M18+M21-M20)</f>
        <v/>
      </c>
      <c r="N23" s="26">
        <f>MAX(0,N18+N21-N20)</f>
        <v/>
      </c>
      <c r="O23" s="26">
        <f>MAX(0,O18+O21-O20)</f>
        <v/>
      </c>
      <c r="P23" s="26">
        <f>MAX(0,P18+P21-P20)</f>
        <v/>
      </c>
      <c r="Q23" s="26">
        <f>MAX(0,Q18+Q21-Q20)</f>
        <v/>
      </c>
      <c r="R23" s="26">
        <f>MAX(0,R18+R21-R20)</f>
        <v/>
      </c>
      <c r="S23" s="26">
        <f>MAX(0,S18+S21-S20)</f>
        <v/>
      </c>
      <c r="T23" s="26">
        <f>MAX(0,T18+T21-T20)</f>
        <v/>
      </c>
      <c r="U23" s="26">
        <f>MAX(0,U18+U21-U20)</f>
        <v/>
      </c>
      <c r="V23" s="26">
        <f>MAX(0,V18+V21-V20)</f>
        <v/>
      </c>
      <c r="W23" s="26">
        <f>MAX(0,W18+W21-W20)</f>
        <v/>
      </c>
      <c r="X23" s="26">
        <f>G23</f>
        <v/>
      </c>
      <c r="Y23" s="26">
        <f>K23</f>
        <v/>
      </c>
      <c r="Z23" s="26">
        <f>O23</f>
        <v/>
      </c>
      <c r="AA23" s="26">
        <f>S23</f>
        <v/>
      </c>
      <c r="AB23" s="26">
        <f>W23</f>
        <v/>
      </c>
    </row>
    <row r="24">
      <c r="A24" s="21" t="inlineStr">
        <is>
          <t>Right-of-Use Asset Opening</t>
        </is>
      </c>
      <c r="B24" s="21" t="inlineStr">
        <is>
          <t>Capital leases</t>
        </is>
      </c>
      <c r="C24" s="26" t="n">
        <v>0</v>
      </c>
      <c r="D24" s="26">
        <f>C26</f>
        <v/>
      </c>
      <c r="E24" s="26">
        <f>D26</f>
        <v/>
      </c>
      <c r="F24" s="26">
        <f>E26</f>
        <v/>
      </c>
      <c r="G24" s="26">
        <f>F26</f>
        <v/>
      </c>
      <c r="H24" s="26">
        <f>G26</f>
        <v/>
      </c>
      <c r="I24" s="26">
        <f>H26</f>
        <v/>
      </c>
      <c r="J24" s="26">
        <f>I26</f>
        <v/>
      </c>
      <c r="K24" s="26">
        <f>J26</f>
        <v/>
      </c>
      <c r="L24" s="26">
        <f>K26</f>
        <v/>
      </c>
      <c r="M24" s="26">
        <f>L26</f>
        <v/>
      </c>
      <c r="N24" s="26">
        <f>M26</f>
        <v/>
      </c>
      <c r="O24" s="26">
        <f>N26</f>
        <v/>
      </c>
      <c r="P24" s="26">
        <f>O26</f>
        <v/>
      </c>
      <c r="Q24" s="26">
        <f>P26</f>
        <v/>
      </c>
      <c r="R24" s="26">
        <f>Q26</f>
        <v/>
      </c>
      <c r="S24" s="26">
        <f>R26</f>
        <v/>
      </c>
      <c r="T24" s="26">
        <f>S26</f>
        <v/>
      </c>
      <c r="U24" s="26">
        <f>T26</f>
        <v/>
      </c>
      <c r="V24" s="26">
        <f>U26</f>
        <v/>
      </c>
      <c r="W24" s="26">
        <f>V26</f>
        <v/>
      </c>
      <c r="X24" s="26">
        <f>G24</f>
        <v/>
      </c>
      <c r="Y24" s="26">
        <f>K24</f>
        <v/>
      </c>
      <c r="Z24" s="26">
        <f>O24</f>
        <v/>
      </c>
      <c r="AA24" s="26">
        <f>S24</f>
        <v/>
      </c>
      <c r="AB24" s="26">
        <f>W24</f>
        <v/>
      </c>
    </row>
    <row r="25">
      <c r="A25" s="21" t="inlineStr">
        <is>
          <t>Lease Asset Depreciation</t>
        </is>
      </c>
      <c r="B25" s="21" t="inlineStr">
        <is>
          <t>Capital leases</t>
        </is>
      </c>
      <c r="C25" s="26" t="n">
        <v>0</v>
      </c>
      <c r="D25" s="26">
        <f>MIN((C18/20),D24)</f>
        <v/>
      </c>
      <c r="E25" s="26">
        <f>MIN((C18/20),E24)</f>
        <v/>
      </c>
      <c r="F25" s="26">
        <f>MIN((C18/20),F24)</f>
        <v/>
      </c>
      <c r="G25" s="26">
        <f>MIN((C18/20),G24)</f>
        <v/>
      </c>
      <c r="H25" s="26">
        <f>MIN((C18/20),H24)</f>
        <v/>
      </c>
      <c r="I25" s="26">
        <f>MIN((C18/20),I24)</f>
        <v/>
      </c>
      <c r="J25" s="26">
        <f>MIN((C18/20),J24)</f>
        <v/>
      </c>
      <c r="K25" s="26">
        <f>MIN((C18/20),K24)</f>
        <v/>
      </c>
      <c r="L25" s="26">
        <f>MIN((C18/20),L24)</f>
        <v/>
      </c>
      <c r="M25" s="26">
        <f>MIN((C18/20),M24)</f>
        <v/>
      </c>
      <c r="N25" s="26">
        <f>MIN((C18/20),N24)</f>
        <v/>
      </c>
      <c r="O25" s="26">
        <f>MIN((C18/20),O24)</f>
        <v/>
      </c>
      <c r="P25" s="26">
        <f>MIN((C18/20),P24)</f>
        <v/>
      </c>
      <c r="Q25" s="26">
        <f>MIN((C18/20),Q24)</f>
        <v/>
      </c>
      <c r="R25" s="26">
        <f>MIN((C18/20),R24)</f>
        <v/>
      </c>
      <c r="S25" s="26">
        <f>MIN((C18/20),S24)</f>
        <v/>
      </c>
      <c r="T25" s="26">
        <f>MIN((C18/20),T24)</f>
        <v/>
      </c>
      <c r="U25" s="26">
        <f>MIN((C18/20),U24)</f>
        <v/>
      </c>
      <c r="V25" s="26">
        <f>MIN((C18/20),V24)</f>
        <v/>
      </c>
      <c r="W25" s="26">
        <f>MIN((C18/20),W24)</f>
        <v/>
      </c>
      <c r="X25" s="26">
        <f>SUM(D25:G25)</f>
        <v/>
      </c>
      <c r="Y25" s="26">
        <f>SUM(H25:K25)</f>
        <v/>
      </c>
      <c r="Z25" s="26">
        <f>SUM(L25:O25)</f>
        <v/>
      </c>
      <c r="AA25" s="26">
        <f>SUM(P25:S25)</f>
        <v/>
      </c>
      <c r="AB25" s="26">
        <f>SUM(T25:W25)</f>
        <v/>
      </c>
    </row>
    <row r="26">
      <c r="A26" s="21" t="inlineStr">
        <is>
          <t>Right-of-Use Asset Closing</t>
        </is>
      </c>
      <c r="B26" s="21" t="inlineStr">
        <is>
          <t>Capital leases</t>
        </is>
      </c>
      <c r="C26" s="26">
        <f>MAX(0,C24-C25)</f>
        <v/>
      </c>
      <c r="D26" s="26">
        <f>MAX(0,D24-D25)</f>
        <v/>
      </c>
      <c r="E26" s="26">
        <f>MAX(0,E24-E25)</f>
        <v/>
      </c>
      <c r="F26" s="26">
        <f>MAX(0,F24-F25)</f>
        <v/>
      </c>
      <c r="G26" s="26">
        <f>MAX(0,G24-G25)</f>
        <v/>
      </c>
      <c r="H26" s="26">
        <f>MAX(0,H24-H25)</f>
        <v/>
      </c>
      <c r="I26" s="26">
        <f>MAX(0,I24-I25)</f>
        <v/>
      </c>
      <c r="J26" s="26">
        <f>MAX(0,J24-J25)</f>
        <v/>
      </c>
      <c r="K26" s="26">
        <f>MAX(0,K24-K25)</f>
        <v/>
      </c>
      <c r="L26" s="26">
        <f>MAX(0,L24-L25)</f>
        <v/>
      </c>
      <c r="M26" s="26">
        <f>MAX(0,M24-M25)</f>
        <v/>
      </c>
      <c r="N26" s="26">
        <f>MAX(0,N24-N25)</f>
        <v/>
      </c>
      <c r="O26" s="26">
        <f>MAX(0,O24-O25)</f>
        <v/>
      </c>
      <c r="P26" s="26">
        <f>MAX(0,P24-P25)</f>
        <v/>
      </c>
      <c r="Q26" s="26">
        <f>MAX(0,Q24-Q25)</f>
        <v/>
      </c>
      <c r="R26" s="26">
        <f>MAX(0,R24-R25)</f>
        <v/>
      </c>
      <c r="S26" s="26">
        <f>MAX(0,S24-S25)</f>
        <v/>
      </c>
      <c r="T26" s="26">
        <f>MAX(0,T24-T25)</f>
        <v/>
      </c>
      <c r="U26" s="26">
        <f>MAX(0,U24-U25)</f>
        <v/>
      </c>
      <c r="V26" s="26">
        <f>MAX(0,V24-V25)</f>
        <v/>
      </c>
      <c r="W26" s="26">
        <f>MAX(0,W24-W25)</f>
        <v/>
      </c>
      <c r="X26" s="26">
        <f>G26</f>
        <v/>
      </c>
      <c r="Y26" s="26">
        <f>K26</f>
        <v/>
      </c>
      <c r="Z26" s="26">
        <f>O26</f>
        <v/>
      </c>
      <c r="AA26" s="26">
        <f>S26</f>
        <v/>
      </c>
      <c r="AB26" s="26">
        <f>W26</f>
        <v/>
      </c>
    </row>
  </sheetData>
  <mergeCells count="2">
    <mergeCell ref="A6:AB6"/>
    <mergeCell ref="A17:A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AB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CapEx &amp; Depreciation Schedule</t>
        </is>
      </c>
    </row>
    <row r="2">
      <c r="A2" s="2" t="inlineStr">
        <is>
          <t>Capital expenditure and depreciation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PPE and Depreciation</t>
        </is>
      </c>
    </row>
    <row r="7">
      <c r="A7" s="8" t="inlineStr">
        <is>
          <t>Opening PPE</t>
        </is>
      </c>
      <c r="B7" s="8" t="inlineStr">
        <is>
          <t>Calculated</t>
        </is>
      </c>
      <c r="C7" s="12" t="n">
        <v>0</v>
      </c>
      <c r="D7" s="12">
        <f>C12</f>
        <v/>
      </c>
      <c r="E7" s="12">
        <f>D12</f>
        <v/>
      </c>
      <c r="F7" s="12">
        <f>E12</f>
        <v/>
      </c>
      <c r="G7" s="12">
        <f>F12</f>
        <v/>
      </c>
      <c r="H7" s="12">
        <f>G12</f>
        <v/>
      </c>
      <c r="I7" s="12">
        <f>H12</f>
        <v/>
      </c>
      <c r="J7" s="12">
        <f>I12</f>
        <v/>
      </c>
      <c r="K7" s="12">
        <f>J12</f>
        <v/>
      </c>
      <c r="L7" s="12">
        <f>K12</f>
        <v/>
      </c>
      <c r="M7" s="12">
        <f>L12</f>
        <v/>
      </c>
      <c r="N7" s="12">
        <f>M12</f>
        <v/>
      </c>
      <c r="O7" s="12">
        <f>N12</f>
        <v/>
      </c>
      <c r="P7" s="12">
        <f>O12</f>
        <v/>
      </c>
      <c r="Q7" s="12">
        <f>P12</f>
        <v/>
      </c>
      <c r="R7" s="12">
        <f>Q12</f>
        <v/>
      </c>
      <c r="S7" s="12">
        <f>R12</f>
        <v/>
      </c>
      <c r="T7" s="12">
        <f>S12</f>
        <v/>
      </c>
      <c r="U7" s="12">
        <f>T12</f>
        <v/>
      </c>
      <c r="V7" s="12">
        <f>U12</f>
        <v/>
      </c>
      <c r="W7" s="12">
        <f>V12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34" t="inlineStr">
        <is>
          <t>Capital Expenditures</t>
        </is>
      </c>
      <c r="B8" s="34" t="inlineStr">
        <is>
          <t>Schedule source</t>
        </is>
      </c>
      <c r="C8" s="35" t="n">
        <v>0</v>
      </c>
      <c r="D8" s="35" t="n">
        <v>0</v>
      </c>
      <c r="E8" s="35" t="n">
        <v>0</v>
      </c>
      <c r="F8" s="35" t="n">
        <v>0</v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>
        <f>SUM(D8:G8)</f>
        <v/>
      </c>
      <c r="Y8" s="35">
        <f>SUM(H8:K8)</f>
        <v/>
      </c>
      <c r="Z8" s="35">
        <f>SUM(L8:O8)</f>
        <v/>
      </c>
      <c r="AA8" s="35">
        <f>SUM(P8:S8)</f>
        <v/>
      </c>
      <c r="AB8" s="35">
        <f>SUM(T8:W8)</f>
        <v/>
      </c>
    </row>
    <row r="9">
      <c r="A9" s="8" t="inlineStr">
        <is>
          <t>Lease Additions</t>
        </is>
      </c>
      <c r="B9" s="8" t="inlineStr">
        <is>
          <t>Schedule source</t>
        </is>
      </c>
      <c r="C9" s="12" t="n">
        <v>0</v>
      </c>
      <c r="D9" s="12">
        <f>'Debt Schedule'!D21</f>
        <v/>
      </c>
      <c r="E9" s="12">
        <f>'Debt Schedule'!E21</f>
        <v/>
      </c>
      <c r="F9" s="12">
        <f>'Debt Schedule'!F21</f>
        <v/>
      </c>
      <c r="G9" s="12">
        <f>'Debt Schedule'!G21</f>
        <v/>
      </c>
      <c r="H9" s="12">
        <f>'Debt Schedule'!H21</f>
        <v/>
      </c>
      <c r="I9" s="12">
        <f>'Debt Schedule'!I21</f>
        <v/>
      </c>
      <c r="J9" s="12">
        <f>'Debt Schedule'!J21</f>
        <v/>
      </c>
      <c r="K9" s="12">
        <f>'Debt Schedule'!K21</f>
        <v/>
      </c>
      <c r="L9" s="12">
        <f>'Debt Schedule'!L21</f>
        <v/>
      </c>
      <c r="M9" s="12">
        <f>'Debt Schedule'!M21</f>
        <v/>
      </c>
      <c r="N9" s="12">
        <f>'Debt Schedule'!N21</f>
        <v/>
      </c>
      <c r="O9" s="12">
        <f>'Debt Schedule'!O21</f>
        <v/>
      </c>
      <c r="P9" s="12">
        <f>'Debt Schedule'!P21</f>
        <v/>
      </c>
      <c r="Q9" s="12">
        <f>'Debt Schedule'!Q21</f>
        <v/>
      </c>
      <c r="R9" s="12">
        <f>'Debt Schedule'!R21</f>
        <v/>
      </c>
      <c r="S9" s="12">
        <f>'Debt Schedule'!S21</f>
        <v/>
      </c>
      <c r="T9" s="12">
        <f>'Debt Schedule'!T21</f>
        <v/>
      </c>
      <c r="U9" s="12">
        <f>'Debt Schedule'!U21</f>
        <v/>
      </c>
      <c r="V9" s="12">
        <f>'Debt Schedule'!V21</f>
        <v/>
      </c>
      <c r="W9" s="12">
        <f>'Debt Schedule'!W21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8" t="inlineStr">
        <is>
          <t>Depreciation Rate</t>
        </is>
      </c>
      <c r="B10" s="8" t="inlineStr">
        <is>
          <t>Schedule source</t>
        </is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s="13" t="n">
        <v>0</v>
      </c>
      <c r="U10" s="13" t="n">
        <v>0</v>
      </c>
      <c r="V10" s="13" t="n">
        <v>0</v>
      </c>
      <c r="W10" s="13" t="n">
        <v>0</v>
      </c>
      <c r="X10" s="14">
        <f>SUM(D10:G10)</f>
        <v/>
      </c>
      <c r="Y10" s="14">
        <f>SUM(H10:K10)</f>
        <v/>
      </c>
      <c r="Z10" s="14">
        <f>SUM(L10:O10)</f>
        <v/>
      </c>
      <c r="AA10" s="14">
        <f>SUM(P10:S10)</f>
        <v/>
      </c>
      <c r="AB10" s="14">
        <f>SUM(T10:W10)</f>
        <v/>
      </c>
    </row>
    <row r="11">
      <c r="A11" s="24" t="inlineStr">
        <is>
          <t>Depreciation Expense</t>
        </is>
      </c>
      <c r="B11" s="24" t="inlineStr">
        <is>
          <t>Calculated</t>
        </is>
      </c>
      <c r="C11" s="25">
        <f>MIN(C7*C10,C7)</f>
        <v/>
      </c>
      <c r="D11" s="25">
        <f>MIN(D7*D10,D7)</f>
        <v/>
      </c>
      <c r="E11" s="25">
        <f>MIN(E7*E10,E7)</f>
        <v/>
      </c>
      <c r="F11" s="25">
        <f>MIN(F7*F10,F7)</f>
        <v/>
      </c>
      <c r="G11" s="25">
        <f>MIN(G7*G10,G7)</f>
        <v/>
      </c>
      <c r="H11" s="25">
        <f>MIN(H7*H10,H7)</f>
        <v/>
      </c>
      <c r="I11" s="25">
        <f>MIN(I7*I10,I7)</f>
        <v/>
      </c>
      <c r="J11" s="25">
        <f>MIN(J7*J10,J7)</f>
        <v/>
      </c>
      <c r="K11" s="25">
        <f>MIN(K7*K10,K7)</f>
        <v/>
      </c>
      <c r="L11" s="25">
        <f>MIN(L7*L10,L7)</f>
        <v/>
      </c>
      <c r="M11" s="25">
        <f>MIN(M7*M10,M7)</f>
        <v/>
      </c>
      <c r="N11" s="25">
        <f>MIN(N7*N10,N7)</f>
        <v/>
      </c>
      <c r="O11" s="25">
        <f>MIN(O7*O10,O7)</f>
        <v/>
      </c>
      <c r="P11" s="25">
        <f>MIN(P7*P10,P7)</f>
        <v/>
      </c>
      <c r="Q11" s="25">
        <f>MIN(Q7*Q10,Q7)</f>
        <v/>
      </c>
      <c r="R11" s="25">
        <f>MIN(R7*R10,R7)</f>
        <v/>
      </c>
      <c r="S11" s="25">
        <f>MIN(S7*S10,S7)</f>
        <v/>
      </c>
      <c r="T11" s="25">
        <f>MIN(T7*T10,T7)</f>
        <v/>
      </c>
      <c r="U11" s="25">
        <f>MIN(U7*U10,U7)</f>
        <v/>
      </c>
      <c r="V11" s="25">
        <f>MIN(V7*V10,V7)</f>
        <v/>
      </c>
      <c r="W11" s="25">
        <f>MIN(W7*W10,W7)</f>
        <v/>
      </c>
      <c r="X11" s="25">
        <f>SUM(D11:G11)</f>
        <v/>
      </c>
      <c r="Y11" s="25">
        <f>SUM(H11:K11)</f>
        <v/>
      </c>
      <c r="Z11" s="25">
        <f>SUM(L11:O11)</f>
        <v/>
      </c>
      <c r="AA11" s="25">
        <f>SUM(P11:S11)</f>
        <v/>
      </c>
      <c r="AB11" s="25">
        <f>SUM(T11:W11)</f>
        <v/>
      </c>
    </row>
    <row r="12">
      <c r="A12" s="24" t="inlineStr">
        <is>
          <t>Closing PPE</t>
        </is>
      </c>
      <c r="B12" s="24" t="inlineStr">
        <is>
          <t>Calculated</t>
        </is>
      </c>
      <c r="C12" s="25">
        <f>MAX(0,C7+C8+C9-C11)</f>
        <v/>
      </c>
      <c r="D12" s="25">
        <f>MAX(0,D7+D8+D9-D11)</f>
        <v/>
      </c>
      <c r="E12" s="25">
        <f>MAX(0,E7+E8+E9-E11)</f>
        <v/>
      </c>
      <c r="F12" s="25">
        <f>MAX(0,F7+F8+F9-F11)</f>
        <v/>
      </c>
      <c r="G12" s="25">
        <f>MAX(0,G7+G8+G9-G11)</f>
        <v/>
      </c>
      <c r="H12" s="25">
        <f>MAX(0,H7+H8+H9-H11)</f>
        <v/>
      </c>
      <c r="I12" s="25">
        <f>MAX(0,I7+I8+I9-I11)</f>
        <v/>
      </c>
      <c r="J12" s="25">
        <f>MAX(0,J7+J8+J9-J11)</f>
        <v/>
      </c>
      <c r="K12" s="25">
        <f>MAX(0,K7+K8+K9-K11)</f>
        <v/>
      </c>
      <c r="L12" s="25">
        <f>MAX(0,L7+L8+L9-L11)</f>
        <v/>
      </c>
      <c r="M12" s="25">
        <f>MAX(0,M7+M8+M9-M11)</f>
        <v/>
      </c>
      <c r="N12" s="25">
        <f>MAX(0,N7+N8+N9-N11)</f>
        <v/>
      </c>
      <c r="O12" s="25">
        <f>MAX(0,O7+O8+O9-O11)</f>
        <v/>
      </c>
      <c r="P12" s="25">
        <f>MAX(0,P7+P8+P9-P11)</f>
        <v/>
      </c>
      <c r="Q12" s="25">
        <f>MAX(0,Q7+Q8+Q9-Q11)</f>
        <v/>
      </c>
      <c r="R12" s="25">
        <f>MAX(0,R7+R8+R9-R11)</f>
        <v/>
      </c>
      <c r="S12" s="25">
        <f>MAX(0,S7+S8+S9-S11)</f>
        <v/>
      </c>
      <c r="T12" s="25">
        <f>MAX(0,T7+T8+T9-T11)</f>
        <v/>
      </c>
      <c r="U12" s="25">
        <f>MAX(0,U7+U8+U9-U11)</f>
        <v/>
      </c>
      <c r="V12" s="25">
        <f>MAX(0,V7+V8+V9-V11)</f>
        <v/>
      </c>
      <c r="W12" s="25">
        <f>MAX(0,W7+W8+W9-W11)</f>
        <v/>
      </c>
      <c r="X12" s="25">
        <f>G12</f>
        <v/>
      </c>
      <c r="Y12" s="25">
        <f>K12</f>
        <v/>
      </c>
      <c r="Z12" s="25">
        <f>O12</f>
        <v/>
      </c>
      <c r="AA12" s="25">
        <f>S12</f>
        <v/>
      </c>
      <c r="AB12" s="25">
        <f>W12</f>
        <v/>
      </c>
    </row>
    <row r="13">
      <c r="A13" s="8" t="inlineStr">
        <is>
          <t>Opening Accumulated Depreciation</t>
        </is>
      </c>
      <c r="B13" s="8" t="inlineStr">
        <is>
          <t>Calculated</t>
        </is>
      </c>
      <c r="C13" s="12" t="n">
        <v>-0</v>
      </c>
      <c r="D13" s="12">
        <f>C14</f>
        <v/>
      </c>
      <c r="E13" s="12">
        <f>D14</f>
        <v/>
      </c>
      <c r="F13" s="12">
        <f>E14</f>
        <v/>
      </c>
      <c r="G13" s="12">
        <f>F14</f>
        <v/>
      </c>
      <c r="H13" s="12">
        <f>G14</f>
        <v/>
      </c>
      <c r="I13" s="12">
        <f>H14</f>
        <v/>
      </c>
      <c r="J13" s="12">
        <f>I14</f>
        <v/>
      </c>
      <c r="K13" s="12">
        <f>J14</f>
        <v/>
      </c>
      <c r="L13" s="12">
        <f>K14</f>
        <v/>
      </c>
      <c r="M13" s="12">
        <f>L14</f>
        <v/>
      </c>
      <c r="N13" s="12">
        <f>M14</f>
        <v/>
      </c>
      <c r="O13" s="12">
        <f>N14</f>
        <v/>
      </c>
      <c r="P13" s="12">
        <f>O14</f>
        <v/>
      </c>
      <c r="Q13" s="12">
        <f>P14</f>
        <v/>
      </c>
      <c r="R13" s="12">
        <f>Q14</f>
        <v/>
      </c>
      <c r="S13" s="12">
        <f>R14</f>
        <v/>
      </c>
      <c r="T13" s="12">
        <f>S14</f>
        <v/>
      </c>
      <c r="U13" s="12">
        <f>T14</f>
        <v/>
      </c>
      <c r="V13" s="12">
        <f>U14</f>
        <v/>
      </c>
      <c r="W13" s="12">
        <f>V14</f>
        <v/>
      </c>
      <c r="X13" s="12">
        <f>G13</f>
        <v/>
      </c>
      <c r="Y13" s="12">
        <f>K13</f>
        <v/>
      </c>
      <c r="Z13" s="12">
        <f>O13</f>
        <v/>
      </c>
      <c r="AA13" s="12">
        <f>S13</f>
        <v/>
      </c>
      <c r="AB13" s="12">
        <f>W13</f>
        <v/>
      </c>
    </row>
    <row r="14">
      <c r="A14" s="8" t="inlineStr">
        <is>
          <t>Accumulated Depreciation</t>
        </is>
      </c>
      <c r="B14" s="8" t="inlineStr">
        <is>
          <t>Calculated</t>
        </is>
      </c>
      <c r="C14" s="12">
        <f>C13-C11</f>
        <v/>
      </c>
      <c r="D14" s="12">
        <f>D13-D11</f>
        <v/>
      </c>
      <c r="E14" s="12">
        <f>E13-E11</f>
        <v/>
      </c>
      <c r="F14" s="12">
        <f>F13-F11</f>
        <v/>
      </c>
      <c r="G14" s="12">
        <f>G13-G11</f>
        <v/>
      </c>
      <c r="H14" s="12">
        <f>H13-H11</f>
        <v/>
      </c>
      <c r="I14" s="12">
        <f>I13-I11</f>
        <v/>
      </c>
      <c r="J14" s="12">
        <f>J13-J11</f>
        <v/>
      </c>
      <c r="K14" s="12">
        <f>K13-K11</f>
        <v/>
      </c>
      <c r="L14" s="12">
        <f>L13-L11</f>
        <v/>
      </c>
      <c r="M14" s="12">
        <f>M13-M11</f>
        <v/>
      </c>
      <c r="N14" s="12">
        <f>N13-N11</f>
        <v/>
      </c>
      <c r="O14" s="12">
        <f>O13-O11</f>
        <v/>
      </c>
      <c r="P14" s="12">
        <f>P13-P11</f>
        <v/>
      </c>
      <c r="Q14" s="12">
        <f>Q13-Q11</f>
        <v/>
      </c>
      <c r="R14" s="12">
        <f>R13-R11</f>
        <v/>
      </c>
      <c r="S14" s="12">
        <f>S13-S11</f>
        <v/>
      </c>
      <c r="T14" s="12">
        <f>T13-T11</f>
        <v/>
      </c>
      <c r="U14" s="12">
        <f>U13-U11</f>
        <v/>
      </c>
      <c r="V14" s="12">
        <f>V13-V11</f>
        <v/>
      </c>
      <c r="W14" s="12">
        <f>W13-W11</f>
        <v/>
      </c>
      <c r="X14" s="12">
        <f>G14</f>
        <v/>
      </c>
      <c r="Y14" s="12">
        <f>K14</f>
        <v/>
      </c>
      <c r="Z14" s="12">
        <f>O14</f>
        <v/>
      </c>
      <c r="AA14" s="12">
        <f>S14</f>
        <v/>
      </c>
      <c r="AB14" s="12">
        <f>W14</f>
        <v/>
      </c>
    </row>
  </sheetData>
  <mergeCells count="1">
    <mergeCell ref="A6:A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AB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Working Capital Schedule</t>
        </is>
      </c>
    </row>
    <row r="2">
      <c r="A2" s="2" t="inlineStr">
        <is>
          <t>Working-capital drivers. Model Inputs links to these source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Working Capital Drivers</t>
        </is>
      </c>
    </row>
    <row r="7">
      <c r="A7" s="8" t="inlineStr">
        <is>
          <t>Accounts Receivable Days</t>
        </is>
      </c>
      <c r="B7" s="8" t="inlineStr">
        <is>
          <t>Working capital driver</t>
        </is>
      </c>
      <c r="C7" s="9" t="n">
        <v>0</v>
      </c>
      <c r="D7" s="9" t="n">
        <v>15</v>
      </c>
      <c r="E7" s="9" t="n">
        <v>15</v>
      </c>
      <c r="F7" s="9" t="n">
        <v>15</v>
      </c>
      <c r="G7" s="9" t="n">
        <v>15</v>
      </c>
      <c r="H7" s="9" t="n">
        <v>15</v>
      </c>
      <c r="I7" s="9" t="n">
        <v>15</v>
      </c>
      <c r="J7" s="9" t="n">
        <v>15</v>
      </c>
      <c r="K7" s="9" t="n">
        <v>15</v>
      </c>
      <c r="L7" s="9" t="n">
        <v>15</v>
      </c>
      <c r="M7" s="9" t="n">
        <v>15</v>
      </c>
      <c r="N7" s="9" t="n">
        <v>15</v>
      </c>
      <c r="O7" s="9" t="n">
        <v>15</v>
      </c>
      <c r="P7" s="9" t="n">
        <v>15</v>
      </c>
      <c r="Q7" s="9" t="n">
        <v>15</v>
      </c>
      <c r="R7" s="9" t="n">
        <v>15</v>
      </c>
      <c r="S7" s="9" t="n">
        <v>15</v>
      </c>
      <c r="T7" s="9" t="n">
        <v>15</v>
      </c>
      <c r="U7" s="9" t="n">
        <v>15</v>
      </c>
      <c r="V7" s="9" t="n">
        <v>15</v>
      </c>
      <c r="W7" s="9" t="n">
        <v>15</v>
      </c>
      <c r="X7" s="10" t="n"/>
      <c r="Y7" s="10" t="n"/>
      <c r="Z7" s="10" t="n"/>
      <c r="AA7" s="10" t="n"/>
      <c r="AB7" s="10" t="n"/>
    </row>
    <row r="8">
      <c r="A8" s="8" t="inlineStr">
        <is>
          <t>Inventory Days</t>
        </is>
      </c>
      <c r="B8" s="8" t="inlineStr">
        <is>
          <t>Working capital driver</t>
        </is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10" t="n"/>
      <c r="Y8" s="10" t="n"/>
      <c r="Z8" s="10" t="n"/>
      <c r="AA8" s="10" t="n"/>
      <c r="AB8" s="10" t="n"/>
    </row>
    <row r="9">
      <c r="A9" s="8" t="inlineStr">
        <is>
          <t>Accounts Payable Days</t>
        </is>
      </c>
      <c r="B9" s="8" t="inlineStr">
        <is>
          <t>Working capital driver</t>
        </is>
      </c>
      <c r="C9" s="9" t="n">
        <v>0</v>
      </c>
      <c r="D9" s="9" t="n">
        <v>30</v>
      </c>
      <c r="E9" s="9" t="n">
        <v>30</v>
      </c>
      <c r="F9" s="9" t="n">
        <v>30</v>
      </c>
      <c r="G9" s="9" t="n">
        <v>30</v>
      </c>
      <c r="H9" s="9" t="n">
        <v>30</v>
      </c>
      <c r="I9" s="9" t="n">
        <v>30</v>
      </c>
      <c r="J9" s="9" t="n">
        <v>30</v>
      </c>
      <c r="K9" s="9" t="n">
        <v>30</v>
      </c>
      <c r="L9" s="9" t="n">
        <v>30</v>
      </c>
      <c r="M9" s="9" t="n">
        <v>30</v>
      </c>
      <c r="N9" s="9" t="n">
        <v>30</v>
      </c>
      <c r="O9" s="9" t="n">
        <v>30</v>
      </c>
      <c r="P9" s="9" t="n">
        <v>30</v>
      </c>
      <c r="Q9" s="9" t="n">
        <v>30</v>
      </c>
      <c r="R9" s="9" t="n">
        <v>30</v>
      </c>
      <c r="S9" s="9" t="n">
        <v>30</v>
      </c>
      <c r="T9" s="9" t="n">
        <v>30</v>
      </c>
      <c r="U9" s="9" t="n">
        <v>30</v>
      </c>
      <c r="V9" s="9" t="n">
        <v>30</v>
      </c>
      <c r="W9" s="9" t="n">
        <v>30</v>
      </c>
      <c r="X9" s="10" t="n"/>
      <c r="Y9" s="10" t="n"/>
      <c r="Z9" s="10" t="n"/>
      <c r="AA9" s="10" t="n"/>
      <c r="AB9" s="10" t="n"/>
    </row>
    <row r="10">
      <c r="A10" s="8" t="inlineStr">
        <is>
          <t>Prepaid Expenses (% of Revenue)</t>
        </is>
      </c>
      <c r="B10" s="8" t="inlineStr">
        <is>
          <t>Working capital driver</t>
        </is>
      </c>
      <c r="C10" s="13" t="n">
        <v>0</v>
      </c>
      <c r="D10" s="13" t="n">
        <v>0.02</v>
      </c>
      <c r="E10" s="13" t="n">
        <v>0.02</v>
      </c>
      <c r="F10" s="13" t="n">
        <v>0.02</v>
      </c>
      <c r="G10" s="13" t="n">
        <v>0.02</v>
      </c>
      <c r="H10" s="13" t="n">
        <v>0.02</v>
      </c>
      <c r="I10" s="13" t="n">
        <v>0.02</v>
      </c>
      <c r="J10" s="13" t="n">
        <v>0.02</v>
      </c>
      <c r="K10" s="13" t="n">
        <v>0.02</v>
      </c>
      <c r="L10" s="13" t="n">
        <v>0.02</v>
      </c>
      <c r="M10" s="13" t="n">
        <v>0.02</v>
      </c>
      <c r="N10" s="13" t="n">
        <v>0.02</v>
      </c>
      <c r="O10" s="13" t="n">
        <v>0.02</v>
      </c>
      <c r="P10" s="13" t="n">
        <v>0.02</v>
      </c>
      <c r="Q10" s="13" t="n">
        <v>0.02</v>
      </c>
      <c r="R10" s="13" t="n">
        <v>0.02</v>
      </c>
      <c r="S10" s="13" t="n">
        <v>0.02</v>
      </c>
      <c r="T10" s="13" t="n">
        <v>0.02</v>
      </c>
      <c r="U10" s="13" t="n">
        <v>0.02</v>
      </c>
      <c r="V10" s="13" t="n">
        <v>0.02</v>
      </c>
      <c r="W10" s="13" t="n">
        <v>0.02</v>
      </c>
      <c r="X10" s="14" t="n"/>
      <c r="Y10" s="14" t="n"/>
      <c r="Z10" s="14" t="n"/>
      <c r="AA10" s="14" t="n"/>
      <c r="AB10" s="14" t="n"/>
    </row>
    <row r="11">
      <c r="A11" s="8" t="inlineStr">
        <is>
          <t>Deferred Revenue (% of Revenue)</t>
        </is>
      </c>
      <c r="B11" s="8" t="inlineStr">
        <is>
          <t>Working capital driver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0</v>
      </c>
      <c r="X11" s="14" t="n"/>
      <c r="Y11" s="14" t="n"/>
      <c r="Z11" s="14" t="n"/>
      <c r="AA11" s="14" t="n"/>
      <c r="AB11" s="14" t="n"/>
    </row>
    <row r="12">
      <c r="A12" s="8" t="inlineStr">
        <is>
          <t>Short Term Debt (% of LTD)</t>
        </is>
      </c>
      <c r="B12" s="8" t="inlineStr">
        <is>
          <t>Working capital driver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0</v>
      </c>
      <c r="X12" s="14" t="n"/>
      <c r="Y12" s="14" t="n"/>
      <c r="Z12" s="14" t="n"/>
      <c r="AA12" s="14" t="n"/>
      <c r="AB12" s="14" t="n"/>
    </row>
    <row r="14">
      <c r="A14" s="7" t="inlineStr">
        <is>
          <t>Opening Working Capital Seeds</t>
        </is>
      </c>
    </row>
    <row r="15">
      <c r="A15" s="21" t="inlineStr">
        <is>
          <t>Cash Opening Balance</t>
        </is>
      </c>
      <c r="B15" s="21" t="inlineStr">
        <is>
          <t>Opening balance seed</t>
        </is>
      </c>
      <c r="C15" s="26" t="n">
        <v>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0</v>
      </c>
      <c r="X15" s="26" t="n"/>
      <c r="Y15" s="26" t="n"/>
      <c r="Z15" s="26" t="n"/>
      <c r="AA15" s="26" t="n"/>
      <c r="AB15" s="26" t="n"/>
    </row>
    <row r="16">
      <c r="A16" s="21" t="inlineStr">
        <is>
          <t>Accounts Receivable Opening Balance</t>
        </is>
      </c>
      <c r="B16" s="21" t="inlineStr">
        <is>
          <t>Opening balance seed</t>
        </is>
      </c>
      <c r="C16" s="26" t="n">
        <v>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/>
      <c r="Y16" s="26" t="n"/>
      <c r="Z16" s="26" t="n"/>
      <c r="AA16" s="26" t="n"/>
      <c r="AB16" s="26" t="n"/>
    </row>
    <row r="17">
      <c r="A17" s="21" t="inlineStr">
        <is>
          <t>Inventory Opening Balance</t>
        </is>
      </c>
      <c r="B17" s="21" t="inlineStr">
        <is>
          <t>Opening balance seed</t>
        </is>
      </c>
      <c r="C17" s="26" t="n">
        <v>0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v>0</v>
      </c>
      <c r="N17" s="26" t="n">
        <v>0</v>
      </c>
      <c r="O17" s="26" t="n">
        <v>0</v>
      </c>
      <c r="P17" s="26" t="n">
        <v>0</v>
      </c>
      <c r="Q17" s="26" t="n">
        <v>0</v>
      </c>
      <c r="R17" s="26" t="n">
        <v>0</v>
      </c>
      <c r="S17" s="26" t="n">
        <v>0</v>
      </c>
      <c r="T17" s="26" t="n">
        <v>0</v>
      </c>
      <c r="U17" s="26" t="n">
        <v>0</v>
      </c>
      <c r="V17" s="26" t="n">
        <v>0</v>
      </c>
      <c r="W17" s="26" t="n">
        <v>0</v>
      </c>
      <c r="X17" s="26" t="n"/>
      <c r="Y17" s="26" t="n"/>
      <c r="Z17" s="26" t="n"/>
      <c r="AA17" s="26" t="n"/>
      <c r="AB17" s="26" t="n"/>
    </row>
    <row r="18">
      <c r="A18" s="21" t="inlineStr">
        <is>
          <t>Accounts Payable Opening Balance</t>
        </is>
      </c>
      <c r="B18" s="21" t="inlineStr">
        <is>
          <t>Opening balance seed</t>
        </is>
      </c>
      <c r="C18" s="26" t="n">
        <v>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  <c r="J18" s="26" t="n">
        <v>0</v>
      </c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>
        <v>0</v>
      </c>
      <c r="S18" s="26" t="n">
        <v>0</v>
      </c>
      <c r="T18" s="26" t="n">
        <v>0</v>
      </c>
      <c r="U18" s="26" t="n">
        <v>0</v>
      </c>
      <c r="V18" s="26" t="n">
        <v>0</v>
      </c>
      <c r="W18" s="26" t="n">
        <v>0</v>
      </c>
      <c r="X18" s="26" t="n"/>
      <c r="Y18" s="26" t="n"/>
      <c r="Z18" s="26" t="n"/>
      <c r="AA18" s="26" t="n"/>
      <c r="AB18" s="26" t="n"/>
    </row>
    <row r="19">
      <c r="A19" s="21" t="inlineStr">
        <is>
          <t>Short Term Debt Opening Balance</t>
        </is>
      </c>
      <c r="B19" s="21" t="inlineStr">
        <is>
          <t>Opening balance seed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 t="n"/>
      <c r="Y19" s="26" t="n"/>
      <c r="Z19" s="26" t="n"/>
      <c r="AA19" s="26" t="n"/>
      <c r="AB19" s="26" t="n"/>
    </row>
  </sheetData>
  <mergeCells count="2">
    <mergeCell ref="A14:AB14"/>
    <mergeCell ref="A6:A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AB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Cash &amp; Equity Schedule</t>
        </is>
      </c>
    </row>
    <row r="2">
      <c r="A2" s="2" t="inlineStr">
        <is>
          <t>Equity, distributions, lease/rent, and opening cash seeds.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Equity and Distributions</t>
        </is>
      </c>
    </row>
    <row r="7">
      <c r="A7" s="8" t="inlineStr">
        <is>
          <t>Owner's Capital</t>
        </is>
      </c>
      <c r="B7" s="8" t="inlineStr">
        <is>
          <t>Equity / distribution input</t>
        </is>
      </c>
      <c r="C7" s="11" t="n">
        <v>0</v>
      </c>
      <c r="D7" s="11" t="n">
        <v>1627881</v>
      </c>
      <c r="E7" s="11" t="n">
        <v>1627881</v>
      </c>
      <c r="F7" s="11" t="n">
        <v>1627881</v>
      </c>
      <c r="G7" s="11" t="n">
        <v>1627881</v>
      </c>
      <c r="H7" s="11" t="n">
        <v>1627881</v>
      </c>
      <c r="I7" s="11" t="n">
        <v>1627881</v>
      </c>
      <c r="J7" s="11" t="n">
        <v>1627881</v>
      </c>
      <c r="K7" s="11" t="n">
        <v>1627881</v>
      </c>
      <c r="L7" s="11" t="n">
        <v>1627881</v>
      </c>
      <c r="M7" s="11" t="n">
        <v>1627881</v>
      </c>
      <c r="N7" s="11" t="n">
        <v>1627881</v>
      </c>
      <c r="O7" s="11" t="n">
        <v>1627881</v>
      </c>
      <c r="P7" s="11" t="n">
        <v>1627881</v>
      </c>
      <c r="Q7" s="11" t="n">
        <v>1627881</v>
      </c>
      <c r="R7" s="11" t="n">
        <v>1627881</v>
      </c>
      <c r="S7" s="11" t="n">
        <v>1627881</v>
      </c>
      <c r="T7" s="11" t="n">
        <v>1627881</v>
      </c>
      <c r="U7" s="11" t="n">
        <v>1627881</v>
      </c>
      <c r="V7" s="11" t="n">
        <v>1627881</v>
      </c>
      <c r="W7" s="11" t="n">
        <v>1627881</v>
      </c>
      <c r="X7" s="12" t="n"/>
      <c r="Y7" s="12" t="n"/>
      <c r="Z7" s="12" t="n"/>
      <c r="AA7" s="12" t="n"/>
      <c r="AB7" s="12" t="n"/>
    </row>
    <row r="8">
      <c r="A8" s="8" t="inlineStr">
        <is>
          <t>Other Equity</t>
        </is>
      </c>
      <c r="B8" s="8" t="inlineStr">
        <is>
          <t>Equity / distribution input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 t="n"/>
      <c r="Y8" s="12" t="n"/>
      <c r="Z8" s="12" t="n"/>
      <c r="AA8" s="12" t="n"/>
      <c r="AB8" s="12" t="n"/>
    </row>
    <row r="9">
      <c r="A9" s="8" t="inlineStr">
        <is>
          <t>Distributions</t>
        </is>
      </c>
      <c r="B9" s="8" t="inlineStr">
        <is>
          <t>Equity / distribution input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71356</v>
      </c>
      <c r="K9" s="11" t="n">
        <v>163958</v>
      </c>
      <c r="L9" s="11" t="n">
        <v>182183</v>
      </c>
      <c r="M9" s="11" t="n">
        <v>205246</v>
      </c>
      <c r="N9" s="11" t="n">
        <v>222870</v>
      </c>
      <c r="O9" s="11" t="n">
        <v>258811</v>
      </c>
      <c r="P9" s="11" t="n">
        <v>270026</v>
      </c>
      <c r="Q9" s="11" t="n">
        <v>288819</v>
      </c>
      <c r="R9" s="11" t="n">
        <v>301731</v>
      </c>
      <c r="S9" s="11" t="n">
        <v>332442</v>
      </c>
      <c r="T9" s="11" t="n">
        <v>344601</v>
      </c>
      <c r="U9" s="11" t="n">
        <v>364424</v>
      </c>
      <c r="V9" s="11" t="n">
        <v>378035</v>
      </c>
      <c r="W9" s="11" t="n">
        <v>410724</v>
      </c>
      <c r="X9" s="12" t="n"/>
      <c r="Y9" s="12" t="n"/>
      <c r="Z9" s="12" t="n"/>
      <c r="AA9" s="12" t="n"/>
      <c r="AB9" s="12" t="n"/>
    </row>
    <row r="11">
      <c r="A11" s="7" t="inlineStr">
        <is>
          <t>Operating Fixed Cash Items</t>
        </is>
      </c>
    </row>
    <row r="12">
      <c r="A12" s="8" t="inlineStr">
        <is>
          <t>Lease</t>
        </is>
      </c>
      <c r="B12" s="8" t="inlineStr">
        <is>
          <t>Operating lease/rent input</t>
        </is>
      </c>
      <c r="C12" s="11" t="n">
        <v>36000</v>
      </c>
      <c r="D12" s="11" t="n">
        <v>36000</v>
      </c>
      <c r="E12" s="11" t="n">
        <v>36000</v>
      </c>
      <c r="F12" s="11" t="n">
        <v>36000</v>
      </c>
      <c r="G12" s="11" t="n">
        <v>36000</v>
      </c>
      <c r="H12" s="11" t="n">
        <v>36000</v>
      </c>
      <c r="I12" s="11" t="n">
        <v>36000</v>
      </c>
      <c r="J12" s="11" t="n">
        <v>36000</v>
      </c>
      <c r="K12" s="11" t="n">
        <v>36000</v>
      </c>
      <c r="L12" s="11" t="n">
        <v>36000</v>
      </c>
      <c r="M12" s="11" t="n">
        <v>36000</v>
      </c>
      <c r="N12" s="11" t="n">
        <v>36000</v>
      </c>
      <c r="O12" s="11" t="n">
        <v>36000</v>
      </c>
      <c r="P12" s="11" t="n">
        <v>36000</v>
      </c>
      <c r="Q12" s="11" t="n">
        <v>36000</v>
      </c>
      <c r="R12" s="11" t="n">
        <v>36000</v>
      </c>
      <c r="S12" s="11" t="n">
        <v>36000</v>
      </c>
      <c r="T12" s="11" t="n">
        <v>36000</v>
      </c>
      <c r="U12" s="11" t="n">
        <v>36000</v>
      </c>
      <c r="V12" s="11" t="n">
        <v>36000</v>
      </c>
      <c r="W12" s="11" t="n">
        <v>36000</v>
      </c>
      <c r="X12" s="12" t="n"/>
      <c r="Y12" s="12" t="n"/>
      <c r="Z12" s="12" t="n"/>
      <c r="AA12" s="12" t="n"/>
      <c r="AB12" s="12" t="n"/>
    </row>
  </sheetData>
  <mergeCells count="2">
    <mergeCell ref="A6:AB6"/>
    <mergeCell ref="A11:AB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AB5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Model Inputs</t>
        </is>
      </c>
    </row>
    <row r="2">
      <c r="A2" s="2" t="inlineStr">
        <is>
          <t>Formula-driven bridge from schedules into FINMO. FINMO references this sheet only.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 Inputs</t>
        </is>
      </c>
    </row>
    <row r="7">
      <c r="A7" s="8" t="inlineStr">
        <is>
          <t>Primary line of business / Scheduled passenger seat - Capacity</t>
        </is>
      </c>
      <c r="B7" s="8" t="inlineStr">
        <is>
          <t>Revenue Drivers schedule</t>
        </is>
      </c>
      <c r="C7" s="10">
        <f>'Revenue Drivers'!C8</f>
        <v/>
      </c>
      <c r="D7" s="10">
        <f>'Revenue Drivers'!D8</f>
        <v/>
      </c>
      <c r="E7" s="10">
        <f>'Revenue Drivers'!E8</f>
        <v/>
      </c>
      <c r="F7" s="10">
        <f>'Revenue Drivers'!F8</f>
        <v/>
      </c>
      <c r="G7" s="10">
        <f>'Revenue Drivers'!G8</f>
        <v/>
      </c>
      <c r="H7" s="10">
        <f>'Revenue Drivers'!H8</f>
        <v/>
      </c>
      <c r="I7" s="10">
        <f>'Revenue Drivers'!I8</f>
        <v/>
      </c>
      <c r="J7" s="10">
        <f>'Revenue Drivers'!J8</f>
        <v/>
      </c>
      <c r="K7" s="10">
        <f>'Revenue Drivers'!K8</f>
        <v/>
      </c>
      <c r="L7" s="10">
        <f>'Revenue Drivers'!L8</f>
        <v/>
      </c>
      <c r="M7" s="10">
        <f>'Revenue Drivers'!M8</f>
        <v/>
      </c>
      <c r="N7" s="10">
        <f>'Revenue Drivers'!N8</f>
        <v/>
      </c>
      <c r="O7" s="10">
        <f>'Revenue Drivers'!O8</f>
        <v/>
      </c>
      <c r="P7" s="10">
        <f>'Revenue Drivers'!P8</f>
        <v/>
      </c>
      <c r="Q7" s="10">
        <f>'Revenue Drivers'!Q8</f>
        <v/>
      </c>
      <c r="R7" s="10">
        <f>'Revenue Drivers'!R8</f>
        <v/>
      </c>
      <c r="S7" s="10">
        <f>'Revenue Drivers'!S8</f>
        <v/>
      </c>
      <c r="T7" s="10">
        <f>'Revenue Drivers'!T8</f>
        <v/>
      </c>
      <c r="U7" s="10">
        <f>'Revenue Drivers'!U8</f>
        <v/>
      </c>
      <c r="V7" s="10">
        <f>'Revenue Drivers'!V8</f>
        <v/>
      </c>
      <c r="W7" s="10">
        <f>'Revenue Drivers'!W8</f>
        <v/>
      </c>
      <c r="X7" s="10">
        <f>SUM(D7:G7)</f>
        <v/>
      </c>
      <c r="Y7" s="10">
        <f>SUM(H7:K7)</f>
        <v/>
      </c>
      <c r="Z7" s="10">
        <f>SUM(L7:O7)</f>
        <v/>
      </c>
      <c r="AA7" s="10">
        <f>SUM(P7:S7)</f>
        <v/>
      </c>
      <c r="AB7" s="10">
        <f>SUM(T7:W7)</f>
        <v/>
      </c>
    </row>
    <row r="8">
      <c r="A8" s="8" t="inlineStr">
        <is>
          <t>Primary line of business / Scheduled passenger seat - Unit Price</t>
        </is>
      </c>
      <c r="B8" s="8" t="inlineStr">
        <is>
          <t>Revenue Drivers schedule</t>
        </is>
      </c>
      <c r="C8" s="12">
        <f>'Revenue Drivers'!C9</f>
        <v/>
      </c>
      <c r="D8" s="12">
        <f>'Revenue Drivers'!D9</f>
        <v/>
      </c>
      <c r="E8" s="12">
        <f>'Revenue Drivers'!E9</f>
        <v/>
      </c>
      <c r="F8" s="12">
        <f>'Revenue Drivers'!F9</f>
        <v/>
      </c>
      <c r="G8" s="12">
        <f>'Revenue Drivers'!G9</f>
        <v/>
      </c>
      <c r="H8" s="12">
        <f>'Revenue Drivers'!H9</f>
        <v/>
      </c>
      <c r="I8" s="12">
        <f>'Revenue Drivers'!I9</f>
        <v/>
      </c>
      <c r="J8" s="12">
        <f>'Revenue Drivers'!J9</f>
        <v/>
      </c>
      <c r="K8" s="12">
        <f>'Revenue Drivers'!K9</f>
        <v/>
      </c>
      <c r="L8" s="12">
        <f>'Revenue Drivers'!L9</f>
        <v/>
      </c>
      <c r="M8" s="12">
        <f>'Revenue Drivers'!M9</f>
        <v/>
      </c>
      <c r="N8" s="12">
        <f>'Revenue Drivers'!N9</f>
        <v/>
      </c>
      <c r="O8" s="12">
        <f>'Revenue Drivers'!O9</f>
        <v/>
      </c>
      <c r="P8" s="12">
        <f>'Revenue Drivers'!P9</f>
        <v/>
      </c>
      <c r="Q8" s="12">
        <f>'Revenue Drivers'!Q9</f>
        <v/>
      </c>
      <c r="R8" s="12">
        <f>'Revenue Drivers'!R9</f>
        <v/>
      </c>
      <c r="S8" s="12">
        <f>'Revenue Drivers'!S9</f>
        <v/>
      </c>
      <c r="T8" s="12">
        <f>'Revenue Drivers'!T9</f>
        <v/>
      </c>
      <c r="U8" s="12">
        <f>'Revenue Drivers'!U9</f>
        <v/>
      </c>
      <c r="V8" s="12">
        <f>'Revenue Drivers'!V9</f>
        <v/>
      </c>
      <c r="W8" s="12">
        <f>'Revenue Drivers'!W9</f>
        <v/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Primary line of business / Scheduled passenger seat - Utilization</t>
        </is>
      </c>
      <c r="B9" s="8" t="inlineStr">
        <is>
          <t>Revenue Drivers schedule</t>
        </is>
      </c>
      <c r="C9" s="14">
        <f>'Revenue Drivers'!C10</f>
        <v/>
      </c>
      <c r="D9" s="14">
        <f>'Revenue Drivers'!D10</f>
        <v/>
      </c>
      <c r="E9" s="14">
        <f>'Revenue Drivers'!E10</f>
        <v/>
      </c>
      <c r="F9" s="14">
        <f>'Revenue Drivers'!F10</f>
        <v/>
      </c>
      <c r="G9" s="14">
        <f>'Revenue Drivers'!G10</f>
        <v/>
      </c>
      <c r="H9" s="14">
        <f>'Revenue Drivers'!H10</f>
        <v/>
      </c>
      <c r="I9" s="14">
        <f>'Revenue Drivers'!I10</f>
        <v/>
      </c>
      <c r="J9" s="14">
        <f>'Revenue Drivers'!J10</f>
        <v/>
      </c>
      <c r="K9" s="14">
        <f>'Revenue Drivers'!K10</f>
        <v/>
      </c>
      <c r="L9" s="14">
        <f>'Revenue Drivers'!L10</f>
        <v/>
      </c>
      <c r="M9" s="14">
        <f>'Revenue Drivers'!M10</f>
        <v/>
      </c>
      <c r="N9" s="14">
        <f>'Revenue Drivers'!N10</f>
        <v/>
      </c>
      <c r="O9" s="14">
        <f>'Revenue Drivers'!O10</f>
        <v/>
      </c>
      <c r="P9" s="14">
        <f>'Revenue Drivers'!P10</f>
        <v/>
      </c>
      <c r="Q9" s="14">
        <f>'Revenue Drivers'!Q10</f>
        <v/>
      </c>
      <c r="R9" s="14">
        <f>'Revenue Drivers'!R10</f>
        <v/>
      </c>
      <c r="S9" s="14">
        <f>'Revenue Drivers'!S10</f>
        <v/>
      </c>
      <c r="T9" s="14">
        <f>'Revenue Drivers'!T10</f>
        <v/>
      </c>
      <c r="U9" s="14">
        <f>'Revenue Drivers'!U10</f>
        <v/>
      </c>
      <c r="V9" s="14">
        <f>'Revenue Drivers'!V10</f>
        <v/>
      </c>
      <c r="W9" s="14">
        <f>'Revenue Drivers'!W10</f>
        <v/>
      </c>
      <c r="X9" s="14">
        <f>SUM(D9:G9)</f>
        <v/>
      </c>
      <c r="Y9" s="14">
        <f>SUM(H9:K9)</f>
        <v/>
      </c>
      <c r="Z9" s="14">
        <f>SUM(L9:O9)</f>
        <v/>
      </c>
      <c r="AA9" s="14">
        <f>SUM(P9:S9)</f>
        <v/>
      </c>
      <c r="AB9" s="14">
        <f>SUM(T9:W9)</f>
        <v/>
      </c>
    </row>
    <row r="10">
      <c r="A10" s="8" t="inlineStr">
        <is>
          <t>Primary line of business / Scheduled passenger seat - Revenue</t>
        </is>
      </c>
      <c r="B10" s="8" t="inlineStr">
        <is>
          <t>Revenue Drivers schedule</t>
        </is>
      </c>
      <c r="C10" s="12">
        <f>'Revenue Drivers'!C11</f>
        <v/>
      </c>
      <c r="D10" s="12">
        <f>'Revenue Drivers'!D11</f>
        <v/>
      </c>
      <c r="E10" s="12">
        <f>'Revenue Drivers'!E11</f>
        <v/>
      </c>
      <c r="F10" s="12">
        <f>'Revenue Drivers'!F11</f>
        <v/>
      </c>
      <c r="G10" s="12">
        <f>'Revenue Drivers'!G11</f>
        <v/>
      </c>
      <c r="H10" s="12">
        <f>'Revenue Drivers'!H11</f>
        <v/>
      </c>
      <c r="I10" s="12">
        <f>'Revenue Drivers'!I11</f>
        <v/>
      </c>
      <c r="J10" s="12">
        <f>'Revenue Drivers'!J11</f>
        <v/>
      </c>
      <c r="K10" s="12">
        <f>'Revenue Drivers'!K11</f>
        <v/>
      </c>
      <c r="L10" s="12">
        <f>'Revenue Drivers'!L11</f>
        <v/>
      </c>
      <c r="M10" s="12">
        <f>'Revenue Drivers'!M11</f>
        <v/>
      </c>
      <c r="N10" s="12">
        <f>'Revenue Drivers'!N11</f>
        <v/>
      </c>
      <c r="O10" s="12">
        <f>'Revenue Drivers'!O11</f>
        <v/>
      </c>
      <c r="P10" s="12">
        <f>'Revenue Drivers'!P11</f>
        <v/>
      </c>
      <c r="Q10" s="12">
        <f>'Revenue Drivers'!Q11</f>
        <v/>
      </c>
      <c r="R10" s="12">
        <f>'Revenue Drivers'!R11</f>
        <v/>
      </c>
      <c r="S10" s="12">
        <f>'Revenue Drivers'!S11</f>
        <v/>
      </c>
      <c r="T10" s="12">
        <f>'Revenue Drivers'!T11</f>
        <v/>
      </c>
      <c r="U10" s="12">
        <f>'Revenue Drivers'!U11</f>
        <v/>
      </c>
      <c r="V10" s="12">
        <f>'Revenue Drivers'!V11</f>
        <v/>
      </c>
      <c r="W10" s="12">
        <f>'Revenue Drivers'!W11</f>
        <v/>
      </c>
      <c r="X10" s="12">
        <f>SUM(D10:G10)</f>
        <v/>
      </c>
      <c r="Y10" s="12">
        <f>SUM(H10:K10)</f>
        <v/>
      </c>
      <c r="Z10" s="12">
        <f>SUM(L10:O10)</f>
        <v/>
      </c>
      <c r="AA10" s="12">
        <f>SUM(P10:S10)</f>
        <v/>
      </c>
      <c r="AB10" s="12">
        <f>SUM(T10:W10)</f>
        <v/>
      </c>
    </row>
    <row r="11">
      <c r="A11" s="19" t="inlineStr">
        <is>
          <t>Revenue</t>
        </is>
      </c>
      <c r="B11" s="19" t="inlineStr">
        <is>
          <t>Revenue Drivers schedule</t>
        </is>
      </c>
      <c r="C11" s="20">
        <f>'Revenue Drivers'!C14</f>
        <v/>
      </c>
      <c r="D11" s="20">
        <f>'Revenue Drivers'!D14</f>
        <v/>
      </c>
      <c r="E11" s="20">
        <f>'Revenue Drivers'!E14</f>
        <v/>
      </c>
      <c r="F11" s="20">
        <f>'Revenue Drivers'!F14</f>
        <v/>
      </c>
      <c r="G11" s="20">
        <f>'Revenue Drivers'!G14</f>
        <v/>
      </c>
      <c r="H11" s="20">
        <f>'Revenue Drivers'!H14</f>
        <v/>
      </c>
      <c r="I11" s="20">
        <f>'Revenue Drivers'!I14</f>
        <v/>
      </c>
      <c r="J11" s="20">
        <f>'Revenue Drivers'!J14</f>
        <v/>
      </c>
      <c r="K11" s="20">
        <f>'Revenue Drivers'!K14</f>
        <v/>
      </c>
      <c r="L11" s="20">
        <f>'Revenue Drivers'!L14</f>
        <v/>
      </c>
      <c r="M11" s="20">
        <f>'Revenue Drivers'!M14</f>
        <v/>
      </c>
      <c r="N11" s="20">
        <f>'Revenue Drivers'!N14</f>
        <v/>
      </c>
      <c r="O11" s="20">
        <f>'Revenue Drivers'!O14</f>
        <v/>
      </c>
      <c r="P11" s="20">
        <f>'Revenue Drivers'!P14</f>
        <v/>
      </c>
      <c r="Q11" s="20">
        <f>'Revenue Drivers'!Q14</f>
        <v/>
      </c>
      <c r="R11" s="20">
        <f>'Revenue Drivers'!R14</f>
        <v/>
      </c>
      <c r="S11" s="20">
        <f>'Revenue Drivers'!S14</f>
        <v/>
      </c>
      <c r="T11" s="20">
        <f>'Revenue Drivers'!T14</f>
        <v/>
      </c>
      <c r="U11" s="20">
        <f>'Revenue Drivers'!U14</f>
        <v/>
      </c>
      <c r="V11" s="20">
        <f>'Revenue Drivers'!V14</f>
        <v/>
      </c>
      <c r="W11" s="20">
        <f>'Revenue Drivers'!W14</f>
        <v/>
      </c>
      <c r="X11" s="20">
        <f>SUM(D11:G11)</f>
        <v/>
      </c>
      <c r="Y11" s="20">
        <f>SUM(H11:K11)</f>
        <v/>
      </c>
      <c r="Z11" s="20">
        <f>SUM(L11:O11)</f>
        <v/>
      </c>
      <c r="AA11" s="20">
        <f>SUM(P11:S11)</f>
        <v/>
      </c>
      <c r="AB11" s="20">
        <f>SUM(T11:W11)</f>
        <v/>
      </c>
    </row>
    <row r="12">
      <c r="A12" s="8" t="inlineStr">
        <is>
          <t>Cost of Goods Sold</t>
        </is>
      </c>
      <c r="B12" s="8" t="inlineStr">
        <is>
          <t>Direct model driver</t>
        </is>
      </c>
      <c r="C12" s="14" t="n">
        <v>0.793673</v>
      </c>
      <c r="D12" s="14" t="n">
        <v>0.71</v>
      </c>
      <c r="E12" s="14" t="n">
        <v>0.7070000000000001</v>
      </c>
      <c r="F12" s="14" t="n">
        <v>0.704</v>
      </c>
      <c r="G12" s="14" t="n">
        <v>0.701</v>
      </c>
      <c r="H12" s="14" t="n">
        <v>0.698</v>
      </c>
      <c r="I12" s="14" t="n">
        <v>0.6950000000000001</v>
      </c>
      <c r="J12" s="14" t="n">
        <v>0.6919999999999999</v>
      </c>
      <c r="K12" s="14" t="n">
        <v>0.6890000000000001</v>
      </c>
      <c r="L12" s="14" t="n">
        <v>0.6859999999999999</v>
      </c>
      <c r="M12" s="14" t="n">
        <v>0.6830000000000001</v>
      </c>
      <c r="N12" s="14" t="n">
        <v>0.68</v>
      </c>
      <c r="O12" s="14" t="n">
        <v>0.6766666666666666</v>
      </c>
      <c r="P12" s="14" t="n">
        <v>0.6733333333333333</v>
      </c>
      <c r="Q12" s="14" t="n">
        <v>0.6700000000000002</v>
      </c>
      <c r="R12" s="14" t="n">
        <v>0.6666666666666667</v>
      </c>
      <c r="S12" s="14" t="n">
        <v>0.6633333333333333</v>
      </c>
      <c r="T12" s="14" t="n">
        <v>0.66</v>
      </c>
      <c r="U12" s="14" t="n">
        <v>0.6566666666666666</v>
      </c>
      <c r="V12" s="14" t="n">
        <v>0.6533333333333333</v>
      </c>
      <c r="W12" s="14" t="n">
        <v>0.65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8" t="inlineStr">
        <is>
          <t>Marketing</t>
        </is>
      </c>
      <c r="B13" s="8" t="inlineStr">
        <is>
          <t>Direct model driver</t>
        </is>
      </c>
      <c r="C13" s="14" t="n">
        <v>0.06</v>
      </c>
      <c r="D13" s="14" t="n">
        <v>0.08</v>
      </c>
      <c r="E13" s="14" t="n">
        <v>0.07800000000000001</v>
      </c>
      <c r="F13" s="14" t="n">
        <v>0.076</v>
      </c>
      <c r="G13" s="14" t="n">
        <v>0.074</v>
      </c>
      <c r="H13" s="14" t="n">
        <v>0.07200000000000001</v>
      </c>
      <c r="I13" s="14" t="n">
        <v>0.07000000000000001</v>
      </c>
      <c r="J13" s="14" t="n">
        <v>0.068</v>
      </c>
      <c r="K13" s="14" t="n">
        <v>0.066</v>
      </c>
      <c r="L13" s="14" t="n">
        <v>0.064</v>
      </c>
      <c r="M13" s="14" t="n">
        <v>0.062</v>
      </c>
      <c r="N13" s="14" t="n">
        <v>0.06</v>
      </c>
      <c r="O13" s="14" t="n">
        <v>0.05888888888888889</v>
      </c>
      <c r="P13" s="14" t="n">
        <v>0.05777777777777778</v>
      </c>
      <c r="Q13" s="14" t="n">
        <v>0.05666666666666667</v>
      </c>
      <c r="R13" s="14" t="n">
        <v>0.05555555555555555</v>
      </c>
      <c r="S13" s="14" t="n">
        <v>0.05444444444444445</v>
      </c>
      <c r="T13" s="14" t="n">
        <v>0.05333333333333333</v>
      </c>
      <c r="U13" s="14" t="n">
        <v>0.05222222222222223</v>
      </c>
      <c r="V13" s="14" t="n">
        <v>0.05111111111111111</v>
      </c>
      <c r="W13" s="14" t="n">
        <v>0.05</v>
      </c>
      <c r="X13" s="14">
        <f>SUM(D13:G13)</f>
        <v/>
      </c>
      <c r="Y13" s="14">
        <f>SUM(H13:K13)</f>
        <v/>
      </c>
      <c r="Z13" s="14">
        <f>SUM(L13:O13)</f>
        <v/>
      </c>
      <c r="AA13" s="14">
        <f>SUM(P13:S13)</f>
        <v/>
      </c>
      <c r="AB13" s="14">
        <f>SUM(T13:W13)</f>
        <v/>
      </c>
    </row>
    <row r="14">
      <c r="A14" s="8" t="inlineStr">
        <is>
          <t>Research &amp; Development</t>
        </is>
      </c>
      <c r="B14" s="8" t="inlineStr">
        <is>
          <t>Direct model driver</t>
        </is>
      </c>
      <c r="C14" s="14" t="n">
        <v>0</v>
      </c>
      <c r="D14" s="14" t="n">
        <v>0.02</v>
      </c>
      <c r="E14" s="14" t="n">
        <v>0.019</v>
      </c>
      <c r="F14" s="14" t="n">
        <v>0.018</v>
      </c>
      <c r="G14" s="14" t="n">
        <v>0.017</v>
      </c>
      <c r="H14" s="14" t="n">
        <v>0.016</v>
      </c>
      <c r="I14" s="14" t="n">
        <v>0.015</v>
      </c>
      <c r="J14" s="14" t="n">
        <v>0.014</v>
      </c>
      <c r="K14" s="14" t="n">
        <v>0.013</v>
      </c>
      <c r="L14" s="14" t="n">
        <v>0.012</v>
      </c>
      <c r="M14" s="14" t="n">
        <v>0.011</v>
      </c>
      <c r="N14" s="14" t="n">
        <v>0.01</v>
      </c>
      <c r="O14" s="14" t="n">
        <v>0.01</v>
      </c>
      <c r="P14" s="14" t="n">
        <v>0.01</v>
      </c>
      <c r="Q14" s="14" t="n">
        <v>0.01</v>
      </c>
      <c r="R14" s="14" t="n">
        <v>0.01</v>
      </c>
      <c r="S14" s="14" t="n">
        <v>0.01</v>
      </c>
      <c r="T14" s="14" t="n">
        <v>0.01</v>
      </c>
      <c r="U14" s="14" t="n">
        <v>0.01</v>
      </c>
      <c r="V14" s="14" t="n">
        <v>0.01</v>
      </c>
      <c r="W14" s="14" t="n">
        <v>0.01</v>
      </c>
      <c r="X14" s="14">
        <f>SUM(D14:G14)</f>
        <v/>
      </c>
      <c r="Y14" s="14">
        <f>SUM(H14:K14)</f>
        <v/>
      </c>
      <c r="Z14" s="14">
        <f>SUM(L14:O14)</f>
        <v/>
      </c>
      <c r="AA14" s="14">
        <f>SUM(P14:S14)</f>
        <v/>
      </c>
      <c r="AB14" s="14">
        <f>SUM(T14:W14)</f>
        <v/>
      </c>
    </row>
    <row r="15">
      <c r="A15" s="34" t="inlineStr">
        <is>
          <t>Lease</t>
        </is>
      </c>
      <c r="B15" s="34" t="inlineStr">
        <is>
          <t>Cash Equity Schedule output</t>
        </is>
      </c>
      <c r="C15" s="35">
        <f>'Cash Equity Schedule'!C12</f>
        <v/>
      </c>
      <c r="D15" s="35">
        <f>'Cash Equity Schedule'!D12</f>
        <v/>
      </c>
      <c r="E15" s="35">
        <f>'Cash Equity Schedule'!E12</f>
        <v/>
      </c>
      <c r="F15" s="35">
        <f>'Cash Equity Schedule'!F12</f>
        <v/>
      </c>
      <c r="G15" s="35">
        <f>'Cash Equity Schedule'!G12</f>
        <v/>
      </c>
      <c r="H15" s="35">
        <f>'Cash Equity Schedule'!H12</f>
        <v/>
      </c>
      <c r="I15" s="35">
        <f>'Cash Equity Schedule'!I12</f>
        <v/>
      </c>
      <c r="J15" s="35">
        <f>'Cash Equity Schedule'!J12</f>
        <v/>
      </c>
      <c r="K15" s="35">
        <f>'Cash Equity Schedule'!K12</f>
        <v/>
      </c>
      <c r="L15" s="35">
        <f>'Cash Equity Schedule'!L12</f>
        <v/>
      </c>
      <c r="M15" s="35">
        <f>'Cash Equity Schedule'!M12</f>
        <v/>
      </c>
      <c r="N15" s="35">
        <f>'Cash Equity Schedule'!N12</f>
        <v/>
      </c>
      <c r="O15" s="35">
        <f>'Cash Equity Schedule'!O12</f>
        <v/>
      </c>
      <c r="P15" s="35">
        <f>'Cash Equity Schedule'!P12</f>
        <v/>
      </c>
      <c r="Q15" s="35">
        <f>'Cash Equity Schedule'!Q12</f>
        <v/>
      </c>
      <c r="R15" s="35">
        <f>'Cash Equity Schedule'!R12</f>
        <v/>
      </c>
      <c r="S15" s="35">
        <f>'Cash Equity Schedule'!S12</f>
        <v/>
      </c>
      <c r="T15" s="35">
        <f>'Cash Equity Schedule'!T12</f>
        <v/>
      </c>
      <c r="U15" s="35">
        <f>'Cash Equity Schedule'!U12</f>
        <v/>
      </c>
      <c r="V15" s="35">
        <f>'Cash Equity Schedule'!V12</f>
        <v/>
      </c>
      <c r="W15" s="35">
        <f>'Cash Equity Schedule'!W12</f>
        <v/>
      </c>
      <c r="X15" s="35">
        <f>SUM(D15:G15)</f>
        <v/>
      </c>
      <c r="Y15" s="35">
        <f>SUM(H15:K15)</f>
        <v/>
      </c>
      <c r="Z15" s="35">
        <f>SUM(L15:O15)</f>
        <v/>
      </c>
      <c r="AA15" s="35">
        <f>SUM(P15:S15)</f>
        <v/>
      </c>
      <c r="AB15" s="35">
        <f>SUM(T15:W15)</f>
        <v/>
      </c>
    </row>
    <row r="16">
      <c r="A16" s="34" t="inlineStr">
        <is>
          <t>Payroll</t>
        </is>
      </c>
      <c r="B16" s="34" t="inlineStr">
        <is>
          <t>Payroll Schedule output</t>
        </is>
      </c>
      <c r="C16" s="35" t="n">
        <v>159384.375</v>
      </c>
      <c r="D16" s="35">
        <f>'Payroll Schedule'!D17</f>
        <v/>
      </c>
      <c r="E16" s="35">
        <f>'Payroll Schedule'!E17</f>
        <v/>
      </c>
      <c r="F16" s="35">
        <f>'Payroll Schedule'!F17</f>
        <v/>
      </c>
      <c r="G16" s="35">
        <f>'Payroll Schedule'!G17</f>
        <v/>
      </c>
      <c r="H16" s="35">
        <f>'Payroll Schedule'!H17</f>
        <v/>
      </c>
      <c r="I16" s="35">
        <f>'Payroll Schedule'!I17</f>
        <v/>
      </c>
      <c r="J16" s="35">
        <f>'Payroll Schedule'!J17</f>
        <v/>
      </c>
      <c r="K16" s="35">
        <f>'Payroll Schedule'!K17</f>
        <v/>
      </c>
      <c r="L16" s="35">
        <f>'Payroll Schedule'!L17</f>
        <v/>
      </c>
      <c r="M16" s="35">
        <f>'Payroll Schedule'!M17</f>
        <v/>
      </c>
      <c r="N16" s="35">
        <f>'Payroll Schedule'!N17</f>
        <v/>
      </c>
      <c r="O16" s="35">
        <f>'Payroll Schedule'!O17</f>
        <v/>
      </c>
      <c r="P16" s="35">
        <f>'Payroll Schedule'!P17</f>
        <v/>
      </c>
      <c r="Q16" s="35">
        <f>'Payroll Schedule'!Q17</f>
        <v/>
      </c>
      <c r="R16" s="35">
        <f>'Payroll Schedule'!R17</f>
        <v/>
      </c>
      <c r="S16" s="35">
        <f>'Payroll Schedule'!S17</f>
        <v/>
      </c>
      <c r="T16" s="35">
        <f>'Payroll Schedule'!T17</f>
        <v/>
      </c>
      <c r="U16" s="35">
        <f>'Payroll Schedule'!U17</f>
        <v/>
      </c>
      <c r="V16" s="35">
        <f>'Payroll Schedule'!V17</f>
        <v/>
      </c>
      <c r="W16" s="35">
        <f>'Payroll Schedule'!W17</f>
        <v/>
      </c>
      <c r="X16" s="35">
        <f>SUM(D16:G16)</f>
        <v/>
      </c>
      <c r="Y16" s="35">
        <f>SUM(H16:K16)</f>
        <v/>
      </c>
      <c r="Z16" s="35">
        <f>SUM(L16:O16)</f>
        <v/>
      </c>
      <c r="AA16" s="35">
        <f>SUM(P16:S16)</f>
        <v/>
      </c>
      <c r="AB16" s="35">
        <f>SUM(T16:W16)</f>
        <v/>
      </c>
    </row>
    <row r="17">
      <c r="A17" s="8" t="inlineStr">
        <is>
          <t>General &amp; Administrative</t>
        </is>
      </c>
      <c r="B17" s="8" t="inlineStr">
        <is>
          <t>Direct model driver</t>
        </is>
      </c>
      <c r="C17" s="14" t="n">
        <v>0.001071</v>
      </c>
      <c r="D17" s="14" t="n">
        <v>0.08</v>
      </c>
      <c r="E17" s="14" t="n">
        <v>0.07900000000000001</v>
      </c>
      <c r="F17" s="14" t="n">
        <v>0.078</v>
      </c>
      <c r="G17" s="14" t="n">
        <v>0.077</v>
      </c>
      <c r="H17" s="14" t="n">
        <v>0.07600000000000001</v>
      </c>
      <c r="I17" s="14" t="n">
        <v>0.07500000000000001</v>
      </c>
      <c r="J17" s="14" t="n">
        <v>0.07400000000000001</v>
      </c>
      <c r="K17" s="14" t="n">
        <v>0.07300000000000001</v>
      </c>
      <c r="L17" s="14" t="n">
        <v>0.07200000000000001</v>
      </c>
      <c r="M17" s="14" t="n">
        <v>0.07100000000000001</v>
      </c>
      <c r="N17" s="14" t="n">
        <v>0.07000000000000001</v>
      </c>
      <c r="O17" s="14" t="n">
        <v>0.06888888888888889</v>
      </c>
      <c r="P17" s="14" t="n">
        <v>0.06777777777777778</v>
      </c>
      <c r="Q17" s="14" t="n">
        <v>0.06666666666666668</v>
      </c>
      <c r="R17" s="14" t="n">
        <v>0.06555555555555556</v>
      </c>
      <c r="S17" s="14" t="n">
        <v>0.06444444444444444</v>
      </c>
      <c r="T17" s="14" t="n">
        <v>0.06333333333333332</v>
      </c>
      <c r="U17" s="14" t="n">
        <v>0.06222222222222223</v>
      </c>
      <c r="V17" s="14" t="n">
        <v>0.06111111111111111</v>
      </c>
      <c r="W17" s="14" t="n">
        <v>0.06</v>
      </c>
      <c r="X17" s="14">
        <f>SUM(D17:G17)</f>
        <v/>
      </c>
      <c r="Y17" s="14">
        <f>SUM(H17:K17)</f>
        <v/>
      </c>
      <c r="Z17" s="14">
        <f>SUM(L17:O17)</f>
        <v/>
      </c>
      <c r="AA17" s="14">
        <f>SUM(P17:S17)</f>
        <v/>
      </c>
      <c r="AB17" s="14">
        <f>SUM(T17:W17)</f>
        <v/>
      </c>
    </row>
    <row r="18">
      <c r="A18" s="34" t="inlineStr">
        <is>
          <t>Interest Rate</t>
        </is>
      </c>
      <c r="B18" s="34" t="inlineStr">
        <is>
          <t>Debt Schedule output</t>
        </is>
      </c>
      <c r="C18" s="36">
        <f>'Debt Schedule'!C12</f>
        <v/>
      </c>
      <c r="D18" s="36">
        <f>'Debt Schedule'!D12</f>
        <v/>
      </c>
      <c r="E18" s="36">
        <f>'Debt Schedule'!E12</f>
        <v/>
      </c>
      <c r="F18" s="36">
        <f>'Debt Schedule'!F12</f>
        <v/>
      </c>
      <c r="G18" s="36">
        <f>'Debt Schedule'!G12</f>
        <v/>
      </c>
      <c r="H18" s="36">
        <f>'Debt Schedule'!H12</f>
        <v/>
      </c>
      <c r="I18" s="36">
        <f>'Debt Schedule'!I12</f>
        <v/>
      </c>
      <c r="J18" s="36">
        <f>'Debt Schedule'!J12</f>
        <v/>
      </c>
      <c r="K18" s="36">
        <f>'Debt Schedule'!K12</f>
        <v/>
      </c>
      <c r="L18" s="36">
        <f>'Debt Schedule'!L12</f>
        <v/>
      </c>
      <c r="M18" s="36">
        <f>'Debt Schedule'!M12</f>
        <v/>
      </c>
      <c r="N18" s="36">
        <f>'Debt Schedule'!N12</f>
        <v/>
      </c>
      <c r="O18" s="36">
        <f>'Debt Schedule'!O12</f>
        <v/>
      </c>
      <c r="P18" s="36">
        <f>'Debt Schedule'!P12</f>
        <v/>
      </c>
      <c r="Q18" s="36">
        <f>'Debt Schedule'!Q12</f>
        <v/>
      </c>
      <c r="R18" s="36">
        <f>'Debt Schedule'!R12</f>
        <v/>
      </c>
      <c r="S18" s="36">
        <f>'Debt Schedule'!S12</f>
        <v/>
      </c>
      <c r="T18" s="36">
        <f>'Debt Schedule'!T12</f>
        <v/>
      </c>
      <c r="U18" s="36">
        <f>'Debt Schedule'!U12</f>
        <v/>
      </c>
      <c r="V18" s="36">
        <f>'Debt Schedule'!V12</f>
        <v/>
      </c>
      <c r="W18" s="36">
        <f>'Debt Schedule'!W12</f>
        <v/>
      </c>
      <c r="X18" s="36">
        <f>SUM(D18:G18)</f>
        <v/>
      </c>
      <c r="Y18" s="36">
        <f>SUM(H18:K18)</f>
        <v/>
      </c>
      <c r="Z18" s="36">
        <f>SUM(L18:O18)</f>
        <v/>
      </c>
      <c r="AA18" s="36">
        <f>SUM(P18:S18)</f>
        <v/>
      </c>
      <c r="AB18" s="36">
        <f>SUM(T18:W18)</f>
        <v/>
      </c>
    </row>
    <row r="19">
      <c r="A19" s="34" t="inlineStr">
        <is>
          <t>Interest Expense</t>
        </is>
      </c>
      <c r="B19" s="34" t="inlineStr">
        <is>
          <t>Debt Schedule output</t>
        </is>
      </c>
      <c r="C19" s="35" t="n">
        <v>0</v>
      </c>
      <c r="D19" s="35">
        <f>'Debt Schedule'!D13</f>
        <v/>
      </c>
      <c r="E19" s="35">
        <f>'Debt Schedule'!E13</f>
        <v/>
      </c>
      <c r="F19" s="35">
        <f>'Debt Schedule'!F13</f>
        <v/>
      </c>
      <c r="G19" s="35">
        <f>'Debt Schedule'!G13</f>
        <v/>
      </c>
      <c r="H19" s="35">
        <f>'Debt Schedule'!H13</f>
        <v/>
      </c>
      <c r="I19" s="35">
        <f>'Debt Schedule'!I13</f>
        <v/>
      </c>
      <c r="J19" s="35">
        <f>'Debt Schedule'!J13</f>
        <v/>
      </c>
      <c r="K19" s="35">
        <f>'Debt Schedule'!K13</f>
        <v/>
      </c>
      <c r="L19" s="35">
        <f>'Debt Schedule'!L13</f>
        <v/>
      </c>
      <c r="M19" s="35">
        <f>'Debt Schedule'!M13</f>
        <v/>
      </c>
      <c r="N19" s="35">
        <f>'Debt Schedule'!N13</f>
        <v/>
      </c>
      <c r="O19" s="35">
        <f>'Debt Schedule'!O13</f>
        <v/>
      </c>
      <c r="P19" s="35">
        <f>'Debt Schedule'!P13</f>
        <v/>
      </c>
      <c r="Q19" s="35">
        <f>'Debt Schedule'!Q13</f>
        <v/>
      </c>
      <c r="R19" s="35">
        <f>'Debt Schedule'!R13</f>
        <v/>
      </c>
      <c r="S19" s="35">
        <f>'Debt Schedule'!S13</f>
        <v/>
      </c>
      <c r="T19" s="35">
        <f>'Debt Schedule'!T13</f>
        <v/>
      </c>
      <c r="U19" s="35">
        <f>'Debt Schedule'!U13</f>
        <v/>
      </c>
      <c r="V19" s="35">
        <f>'Debt Schedule'!V13</f>
        <v/>
      </c>
      <c r="W19" s="35">
        <f>'Debt Schedule'!W13</f>
        <v/>
      </c>
      <c r="X19" s="35">
        <f>SUM(D19:G19)</f>
        <v/>
      </c>
      <c r="Y19" s="35">
        <f>SUM(H19:K19)</f>
        <v/>
      </c>
      <c r="Z19" s="35">
        <f>SUM(L19:O19)</f>
        <v/>
      </c>
      <c r="AA19" s="35">
        <f>SUM(P19:S19)</f>
        <v/>
      </c>
      <c r="AB19" s="35">
        <f>SUM(T19:W19)</f>
        <v/>
      </c>
    </row>
    <row r="20">
      <c r="A20" s="8" t="inlineStr">
        <is>
          <t>Depreciation</t>
        </is>
      </c>
      <c r="B20" s="8" t="inlineStr">
        <is>
          <t>CapEx Depreciation output</t>
        </is>
      </c>
      <c r="C20" s="14">
        <f>'CapEx Depreciation'!C10</f>
        <v/>
      </c>
      <c r="D20" s="14">
        <f>'CapEx Depreciation'!D10</f>
        <v/>
      </c>
      <c r="E20" s="14">
        <f>'CapEx Depreciation'!E10</f>
        <v/>
      </c>
      <c r="F20" s="14">
        <f>'CapEx Depreciation'!F10</f>
        <v/>
      </c>
      <c r="G20" s="14">
        <f>'CapEx Depreciation'!G10</f>
        <v/>
      </c>
      <c r="H20" s="14">
        <f>'CapEx Depreciation'!H10</f>
        <v/>
      </c>
      <c r="I20" s="14">
        <f>'CapEx Depreciation'!I10</f>
        <v/>
      </c>
      <c r="J20" s="14">
        <f>'CapEx Depreciation'!J10</f>
        <v/>
      </c>
      <c r="K20" s="14">
        <f>'CapEx Depreciation'!K10</f>
        <v/>
      </c>
      <c r="L20" s="14">
        <f>'CapEx Depreciation'!L10</f>
        <v/>
      </c>
      <c r="M20" s="14">
        <f>'CapEx Depreciation'!M10</f>
        <v/>
      </c>
      <c r="N20" s="14">
        <f>'CapEx Depreciation'!N10</f>
        <v/>
      </c>
      <c r="O20" s="14">
        <f>'CapEx Depreciation'!O10</f>
        <v/>
      </c>
      <c r="P20" s="14">
        <f>'CapEx Depreciation'!P10</f>
        <v/>
      </c>
      <c r="Q20" s="14">
        <f>'CapEx Depreciation'!Q10</f>
        <v/>
      </c>
      <c r="R20" s="14">
        <f>'CapEx Depreciation'!R10</f>
        <v/>
      </c>
      <c r="S20" s="14">
        <f>'CapEx Depreciation'!S10</f>
        <v/>
      </c>
      <c r="T20" s="14">
        <f>'CapEx Depreciation'!T10</f>
        <v/>
      </c>
      <c r="U20" s="14">
        <f>'CapEx Depreciation'!U10</f>
        <v/>
      </c>
      <c r="V20" s="14">
        <f>'CapEx Depreciation'!V10</f>
        <v/>
      </c>
      <c r="W20" s="14">
        <f>'CapEx Depreciation'!W10</f>
        <v/>
      </c>
      <c r="X20" s="14">
        <f>SUM(D20:G20)</f>
        <v/>
      </c>
      <c r="Y20" s="14">
        <f>SUM(H20:K20)</f>
        <v/>
      </c>
      <c r="Z20" s="14">
        <f>SUM(L20:O20)</f>
        <v/>
      </c>
      <c r="AA20" s="14">
        <f>SUM(P20:S20)</f>
        <v/>
      </c>
      <c r="AB20" s="14">
        <f>SUM(T20:W20)</f>
        <v/>
      </c>
    </row>
    <row r="21">
      <c r="A21" s="8" t="inlineStr">
        <is>
          <t>Depreciation Expense</t>
        </is>
      </c>
      <c r="B21" s="8" t="inlineStr">
        <is>
          <t>CapEx Depreciation output</t>
        </is>
      </c>
      <c r="C21" s="12">
        <f>'CapEx Depreciation'!C11</f>
        <v/>
      </c>
      <c r="D21" s="12">
        <f>'CapEx Depreciation'!D11</f>
        <v/>
      </c>
      <c r="E21" s="12">
        <f>'CapEx Depreciation'!E11</f>
        <v/>
      </c>
      <c r="F21" s="12">
        <f>'CapEx Depreciation'!F11</f>
        <v/>
      </c>
      <c r="G21" s="12">
        <f>'CapEx Depreciation'!G11</f>
        <v/>
      </c>
      <c r="H21" s="12">
        <f>'CapEx Depreciation'!H11</f>
        <v/>
      </c>
      <c r="I21" s="12">
        <f>'CapEx Depreciation'!I11</f>
        <v/>
      </c>
      <c r="J21" s="12">
        <f>'CapEx Depreciation'!J11</f>
        <v/>
      </c>
      <c r="K21" s="12">
        <f>'CapEx Depreciation'!K11</f>
        <v/>
      </c>
      <c r="L21" s="12">
        <f>'CapEx Depreciation'!L11</f>
        <v/>
      </c>
      <c r="M21" s="12">
        <f>'CapEx Depreciation'!M11</f>
        <v/>
      </c>
      <c r="N21" s="12">
        <f>'CapEx Depreciation'!N11</f>
        <v/>
      </c>
      <c r="O21" s="12">
        <f>'CapEx Depreciation'!O11</f>
        <v/>
      </c>
      <c r="P21" s="12">
        <f>'CapEx Depreciation'!P11</f>
        <v/>
      </c>
      <c r="Q21" s="12">
        <f>'CapEx Depreciation'!Q11</f>
        <v/>
      </c>
      <c r="R21" s="12">
        <f>'CapEx Depreciation'!R11</f>
        <v/>
      </c>
      <c r="S21" s="12">
        <f>'CapEx Depreciation'!S11</f>
        <v/>
      </c>
      <c r="T21" s="12">
        <f>'CapEx Depreciation'!T11</f>
        <v/>
      </c>
      <c r="U21" s="12">
        <f>'CapEx Depreciation'!U11</f>
        <v/>
      </c>
      <c r="V21" s="12">
        <f>'CapEx Depreciation'!V11</f>
        <v/>
      </c>
      <c r="W21" s="12">
        <f>'CapEx Depreciation'!W11</f>
        <v/>
      </c>
      <c r="X21" s="12">
        <f>SUM(D21:G21)</f>
        <v/>
      </c>
      <c r="Y21" s="12">
        <f>SUM(H21:K21)</f>
        <v/>
      </c>
      <c r="Z21" s="12">
        <f>SUM(L21:O21)</f>
        <v/>
      </c>
      <c r="AA21" s="12">
        <f>SUM(P21:S21)</f>
        <v/>
      </c>
      <c r="AB21" s="12">
        <f>SUM(T21:W21)</f>
        <v/>
      </c>
    </row>
    <row r="22">
      <c r="A22" s="8" t="inlineStr">
        <is>
          <t>Taxes</t>
        </is>
      </c>
      <c r="B22" s="8" t="inlineStr">
        <is>
          <t>Direct model driver</t>
        </is>
      </c>
      <c r="C22" s="14" t="n">
        <v>0.205318</v>
      </c>
      <c r="D22" s="14" t="n">
        <v>0.205318</v>
      </c>
      <c r="E22" s="14" t="n">
        <v>0.205318</v>
      </c>
      <c r="F22" s="14" t="n">
        <v>0.205318</v>
      </c>
      <c r="G22" s="14" t="n">
        <v>0.205318</v>
      </c>
      <c r="H22" s="14" t="n">
        <v>0.205318</v>
      </c>
      <c r="I22" s="14" t="n">
        <v>0.205318</v>
      </c>
      <c r="J22" s="14" t="n">
        <v>0.205318</v>
      </c>
      <c r="K22" s="14" t="n">
        <v>0.205318</v>
      </c>
      <c r="L22" s="14" t="n">
        <v>0.205318</v>
      </c>
      <c r="M22" s="14" t="n">
        <v>0.205318</v>
      </c>
      <c r="N22" s="14" t="n">
        <v>0.205318</v>
      </c>
      <c r="O22" s="14" t="n">
        <v>0.205318</v>
      </c>
      <c r="P22" s="14" t="n">
        <v>0.205318</v>
      </c>
      <c r="Q22" s="14" t="n">
        <v>0.205318</v>
      </c>
      <c r="R22" s="14" t="n">
        <v>0.205318</v>
      </c>
      <c r="S22" s="14" t="n">
        <v>0.205318</v>
      </c>
      <c r="T22" s="14" t="n">
        <v>0.205318</v>
      </c>
      <c r="U22" s="14" t="n">
        <v>0.205318</v>
      </c>
      <c r="V22" s="14" t="n">
        <v>0.205318</v>
      </c>
      <c r="W22" s="14" t="n">
        <v>0.205318</v>
      </c>
      <c r="X22" s="14">
        <f>SUM(D22:G22)</f>
        <v/>
      </c>
      <c r="Y22" s="14">
        <f>SUM(H22:K22)</f>
        <v/>
      </c>
      <c r="Z22" s="14">
        <f>SUM(L22:O22)</f>
        <v/>
      </c>
      <c r="AA22" s="14">
        <f>SUM(P22:S22)</f>
        <v/>
      </c>
      <c r="AB22" s="14">
        <f>SUM(T22:W22)</f>
        <v/>
      </c>
    </row>
    <row r="24">
      <c r="A24" s="7" t="inlineStr">
        <is>
          <t>Balance Sheet Inputs</t>
        </is>
      </c>
    </row>
    <row r="25">
      <c r="A25" s="8" t="inlineStr">
        <is>
          <t>Accounts Receivable Days</t>
        </is>
      </c>
      <c r="B25" s="8" t="inlineStr">
        <is>
          <t>Working Capital schedule</t>
        </is>
      </c>
      <c r="C25" s="10">
        <f>'Working Capital'!C7</f>
        <v/>
      </c>
      <c r="D25" s="10">
        <f>'Working Capital'!D7</f>
        <v/>
      </c>
      <c r="E25" s="10">
        <f>'Working Capital'!E7</f>
        <v/>
      </c>
      <c r="F25" s="10">
        <f>'Working Capital'!F7</f>
        <v/>
      </c>
      <c r="G25" s="10">
        <f>'Working Capital'!G7</f>
        <v/>
      </c>
      <c r="H25" s="10">
        <f>'Working Capital'!H7</f>
        <v/>
      </c>
      <c r="I25" s="10">
        <f>'Working Capital'!I7</f>
        <v/>
      </c>
      <c r="J25" s="10">
        <f>'Working Capital'!J7</f>
        <v/>
      </c>
      <c r="K25" s="10">
        <f>'Working Capital'!K7</f>
        <v/>
      </c>
      <c r="L25" s="10">
        <f>'Working Capital'!L7</f>
        <v/>
      </c>
      <c r="M25" s="10">
        <f>'Working Capital'!M7</f>
        <v/>
      </c>
      <c r="N25" s="10">
        <f>'Working Capital'!N7</f>
        <v/>
      </c>
      <c r="O25" s="10">
        <f>'Working Capital'!O7</f>
        <v/>
      </c>
      <c r="P25" s="10">
        <f>'Working Capital'!P7</f>
        <v/>
      </c>
      <c r="Q25" s="10">
        <f>'Working Capital'!Q7</f>
        <v/>
      </c>
      <c r="R25" s="10">
        <f>'Working Capital'!R7</f>
        <v/>
      </c>
      <c r="S25" s="10">
        <f>'Working Capital'!S7</f>
        <v/>
      </c>
      <c r="T25" s="10">
        <f>'Working Capital'!T7</f>
        <v/>
      </c>
      <c r="U25" s="10">
        <f>'Working Capital'!U7</f>
        <v/>
      </c>
      <c r="V25" s="10">
        <f>'Working Capital'!V7</f>
        <v/>
      </c>
      <c r="W25" s="10">
        <f>'Working Capital'!W7</f>
        <v/>
      </c>
      <c r="X25" s="10">
        <f>SUM(D25:G25)</f>
        <v/>
      </c>
      <c r="Y25" s="10">
        <f>SUM(H25:K25)</f>
        <v/>
      </c>
      <c r="Z25" s="10">
        <f>SUM(L25:O25)</f>
        <v/>
      </c>
      <c r="AA25" s="10">
        <f>SUM(P25:S25)</f>
        <v/>
      </c>
      <c r="AB25" s="10">
        <f>SUM(T25:W25)</f>
        <v/>
      </c>
    </row>
    <row r="26">
      <c r="A26" s="8" t="inlineStr">
        <is>
          <t>Inventory Days</t>
        </is>
      </c>
      <c r="B26" s="8" t="inlineStr">
        <is>
          <t>Working Capital schedule</t>
        </is>
      </c>
      <c r="C26" s="10">
        <f>'Working Capital'!C8</f>
        <v/>
      </c>
      <c r="D26" s="10">
        <f>'Working Capital'!D8</f>
        <v/>
      </c>
      <c r="E26" s="10">
        <f>'Working Capital'!E8</f>
        <v/>
      </c>
      <c r="F26" s="10">
        <f>'Working Capital'!F8</f>
        <v/>
      </c>
      <c r="G26" s="10">
        <f>'Working Capital'!G8</f>
        <v/>
      </c>
      <c r="H26" s="10">
        <f>'Working Capital'!H8</f>
        <v/>
      </c>
      <c r="I26" s="10">
        <f>'Working Capital'!I8</f>
        <v/>
      </c>
      <c r="J26" s="10">
        <f>'Working Capital'!J8</f>
        <v/>
      </c>
      <c r="K26" s="10">
        <f>'Working Capital'!K8</f>
        <v/>
      </c>
      <c r="L26" s="10">
        <f>'Working Capital'!L8</f>
        <v/>
      </c>
      <c r="M26" s="10">
        <f>'Working Capital'!M8</f>
        <v/>
      </c>
      <c r="N26" s="10">
        <f>'Working Capital'!N8</f>
        <v/>
      </c>
      <c r="O26" s="10">
        <f>'Working Capital'!O8</f>
        <v/>
      </c>
      <c r="P26" s="10">
        <f>'Working Capital'!P8</f>
        <v/>
      </c>
      <c r="Q26" s="10">
        <f>'Working Capital'!Q8</f>
        <v/>
      </c>
      <c r="R26" s="10">
        <f>'Working Capital'!R8</f>
        <v/>
      </c>
      <c r="S26" s="10">
        <f>'Working Capital'!S8</f>
        <v/>
      </c>
      <c r="T26" s="10">
        <f>'Working Capital'!T8</f>
        <v/>
      </c>
      <c r="U26" s="10">
        <f>'Working Capital'!U8</f>
        <v/>
      </c>
      <c r="V26" s="10">
        <f>'Working Capital'!V8</f>
        <v/>
      </c>
      <c r="W26" s="10">
        <f>'Working Capital'!W8</f>
        <v/>
      </c>
      <c r="X26" s="10">
        <f>SUM(D26:G26)</f>
        <v/>
      </c>
      <c r="Y26" s="10">
        <f>SUM(H26:K26)</f>
        <v/>
      </c>
      <c r="Z26" s="10">
        <f>SUM(L26:O26)</f>
        <v/>
      </c>
      <c r="AA26" s="10">
        <f>SUM(P26:S26)</f>
        <v/>
      </c>
      <c r="AB26" s="10">
        <f>SUM(T26:W26)</f>
        <v/>
      </c>
    </row>
    <row r="27">
      <c r="A27" s="8" t="inlineStr">
        <is>
          <t>Accounts Payable Days</t>
        </is>
      </c>
      <c r="B27" s="8" t="inlineStr">
        <is>
          <t>Working Capital schedule</t>
        </is>
      </c>
      <c r="C27" s="10">
        <f>'Working Capital'!C9</f>
        <v/>
      </c>
      <c r="D27" s="10">
        <f>'Working Capital'!D9</f>
        <v/>
      </c>
      <c r="E27" s="10">
        <f>'Working Capital'!E9</f>
        <v/>
      </c>
      <c r="F27" s="10">
        <f>'Working Capital'!F9</f>
        <v/>
      </c>
      <c r="G27" s="10">
        <f>'Working Capital'!G9</f>
        <v/>
      </c>
      <c r="H27" s="10">
        <f>'Working Capital'!H9</f>
        <v/>
      </c>
      <c r="I27" s="10">
        <f>'Working Capital'!I9</f>
        <v/>
      </c>
      <c r="J27" s="10">
        <f>'Working Capital'!J9</f>
        <v/>
      </c>
      <c r="K27" s="10">
        <f>'Working Capital'!K9</f>
        <v/>
      </c>
      <c r="L27" s="10">
        <f>'Working Capital'!L9</f>
        <v/>
      </c>
      <c r="M27" s="10">
        <f>'Working Capital'!M9</f>
        <v/>
      </c>
      <c r="N27" s="10">
        <f>'Working Capital'!N9</f>
        <v/>
      </c>
      <c r="O27" s="10">
        <f>'Working Capital'!O9</f>
        <v/>
      </c>
      <c r="P27" s="10">
        <f>'Working Capital'!P9</f>
        <v/>
      </c>
      <c r="Q27" s="10">
        <f>'Working Capital'!Q9</f>
        <v/>
      </c>
      <c r="R27" s="10">
        <f>'Working Capital'!R9</f>
        <v/>
      </c>
      <c r="S27" s="10">
        <f>'Working Capital'!S9</f>
        <v/>
      </c>
      <c r="T27" s="10">
        <f>'Working Capital'!T9</f>
        <v/>
      </c>
      <c r="U27" s="10">
        <f>'Working Capital'!U9</f>
        <v/>
      </c>
      <c r="V27" s="10">
        <f>'Working Capital'!V9</f>
        <v/>
      </c>
      <c r="W27" s="10">
        <f>'Working Capital'!W9</f>
        <v/>
      </c>
      <c r="X27" s="10">
        <f>SUM(D27:G27)</f>
        <v/>
      </c>
      <c r="Y27" s="10">
        <f>SUM(H27:K27)</f>
        <v/>
      </c>
      <c r="Z27" s="10">
        <f>SUM(L27:O27)</f>
        <v/>
      </c>
      <c r="AA27" s="10">
        <f>SUM(P27:S27)</f>
        <v/>
      </c>
      <c r="AB27" s="10">
        <f>SUM(T27:W27)</f>
        <v/>
      </c>
    </row>
    <row r="28">
      <c r="A28" s="8" t="inlineStr">
        <is>
          <t>Prepaid Expenses (% of Revenue)</t>
        </is>
      </c>
      <c r="B28" s="8" t="inlineStr">
        <is>
          <t>Working Capital schedule</t>
        </is>
      </c>
      <c r="C28" s="14">
        <f>'Working Capital'!C10</f>
        <v/>
      </c>
      <c r="D28" s="14">
        <f>'Working Capital'!D10</f>
        <v/>
      </c>
      <c r="E28" s="14">
        <f>'Working Capital'!E10</f>
        <v/>
      </c>
      <c r="F28" s="14">
        <f>'Working Capital'!F10</f>
        <v/>
      </c>
      <c r="G28" s="14">
        <f>'Working Capital'!G10</f>
        <v/>
      </c>
      <c r="H28" s="14">
        <f>'Working Capital'!H10</f>
        <v/>
      </c>
      <c r="I28" s="14">
        <f>'Working Capital'!I10</f>
        <v/>
      </c>
      <c r="J28" s="14">
        <f>'Working Capital'!J10</f>
        <v/>
      </c>
      <c r="K28" s="14">
        <f>'Working Capital'!K10</f>
        <v/>
      </c>
      <c r="L28" s="14">
        <f>'Working Capital'!L10</f>
        <v/>
      </c>
      <c r="M28" s="14">
        <f>'Working Capital'!M10</f>
        <v/>
      </c>
      <c r="N28" s="14">
        <f>'Working Capital'!N10</f>
        <v/>
      </c>
      <c r="O28" s="14">
        <f>'Working Capital'!O10</f>
        <v/>
      </c>
      <c r="P28" s="14">
        <f>'Working Capital'!P10</f>
        <v/>
      </c>
      <c r="Q28" s="14">
        <f>'Working Capital'!Q10</f>
        <v/>
      </c>
      <c r="R28" s="14">
        <f>'Working Capital'!R10</f>
        <v/>
      </c>
      <c r="S28" s="14">
        <f>'Working Capital'!S10</f>
        <v/>
      </c>
      <c r="T28" s="14">
        <f>'Working Capital'!T10</f>
        <v/>
      </c>
      <c r="U28" s="14">
        <f>'Working Capital'!U10</f>
        <v/>
      </c>
      <c r="V28" s="14">
        <f>'Working Capital'!V10</f>
        <v/>
      </c>
      <c r="W28" s="14">
        <f>'Working Capital'!W10</f>
        <v/>
      </c>
      <c r="X28" s="14">
        <f>SUM(D28:G28)</f>
        <v/>
      </c>
      <c r="Y28" s="14">
        <f>SUM(H28:K28)</f>
        <v/>
      </c>
      <c r="Z28" s="14">
        <f>SUM(L28:O28)</f>
        <v/>
      </c>
      <c r="AA28" s="14">
        <f>SUM(P28:S28)</f>
        <v/>
      </c>
      <c r="AB28" s="14">
        <f>SUM(T28:W28)</f>
        <v/>
      </c>
    </row>
    <row r="29">
      <c r="A29" s="8" t="inlineStr">
        <is>
          <t>Deferred Revenue (% of Revenue)</t>
        </is>
      </c>
      <c r="B29" s="8" t="inlineStr">
        <is>
          <t>Working Capital schedule</t>
        </is>
      </c>
      <c r="C29" s="14">
        <f>'Working Capital'!C11</f>
        <v/>
      </c>
      <c r="D29" s="14">
        <f>'Working Capital'!D11</f>
        <v/>
      </c>
      <c r="E29" s="14">
        <f>'Working Capital'!E11</f>
        <v/>
      </c>
      <c r="F29" s="14">
        <f>'Working Capital'!F11</f>
        <v/>
      </c>
      <c r="G29" s="14">
        <f>'Working Capital'!G11</f>
        <v/>
      </c>
      <c r="H29" s="14">
        <f>'Working Capital'!H11</f>
        <v/>
      </c>
      <c r="I29" s="14">
        <f>'Working Capital'!I11</f>
        <v/>
      </c>
      <c r="J29" s="14">
        <f>'Working Capital'!J11</f>
        <v/>
      </c>
      <c r="K29" s="14">
        <f>'Working Capital'!K11</f>
        <v/>
      </c>
      <c r="L29" s="14">
        <f>'Working Capital'!L11</f>
        <v/>
      </c>
      <c r="M29" s="14">
        <f>'Working Capital'!M11</f>
        <v/>
      </c>
      <c r="N29" s="14">
        <f>'Working Capital'!N11</f>
        <v/>
      </c>
      <c r="O29" s="14">
        <f>'Working Capital'!O11</f>
        <v/>
      </c>
      <c r="P29" s="14">
        <f>'Working Capital'!P11</f>
        <v/>
      </c>
      <c r="Q29" s="14">
        <f>'Working Capital'!Q11</f>
        <v/>
      </c>
      <c r="R29" s="14">
        <f>'Working Capital'!R11</f>
        <v/>
      </c>
      <c r="S29" s="14">
        <f>'Working Capital'!S11</f>
        <v/>
      </c>
      <c r="T29" s="14">
        <f>'Working Capital'!T11</f>
        <v/>
      </c>
      <c r="U29" s="14">
        <f>'Working Capital'!U11</f>
        <v/>
      </c>
      <c r="V29" s="14">
        <f>'Working Capital'!V11</f>
        <v/>
      </c>
      <c r="W29" s="14">
        <f>'Working Capital'!W11</f>
        <v/>
      </c>
      <c r="X29" s="14">
        <f>SUM(D29:G29)</f>
        <v/>
      </c>
      <c r="Y29" s="14">
        <f>SUM(H29:K29)</f>
        <v/>
      </c>
      <c r="Z29" s="14">
        <f>SUM(L29:O29)</f>
        <v/>
      </c>
      <c r="AA29" s="14">
        <f>SUM(P29:S29)</f>
        <v/>
      </c>
      <c r="AB29" s="14">
        <f>SUM(T29:W29)</f>
        <v/>
      </c>
    </row>
    <row r="30">
      <c r="A30" s="8" t="inlineStr">
        <is>
          <t>Short Term Debt (% of LTD)</t>
        </is>
      </c>
      <c r="B30" s="8" t="inlineStr">
        <is>
          <t>Working Capital schedule</t>
        </is>
      </c>
      <c r="C30" s="14">
        <f>'Working Capital'!C12</f>
        <v/>
      </c>
      <c r="D30" s="14">
        <f>'Working Capital'!D12</f>
        <v/>
      </c>
      <c r="E30" s="14">
        <f>'Working Capital'!E12</f>
        <v/>
      </c>
      <c r="F30" s="14">
        <f>'Working Capital'!F12</f>
        <v/>
      </c>
      <c r="G30" s="14">
        <f>'Working Capital'!G12</f>
        <v/>
      </c>
      <c r="H30" s="14">
        <f>'Working Capital'!H12</f>
        <v/>
      </c>
      <c r="I30" s="14">
        <f>'Working Capital'!I12</f>
        <v/>
      </c>
      <c r="J30" s="14">
        <f>'Working Capital'!J12</f>
        <v/>
      </c>
      <c r="K30" s="14">
        <f>'Working Capital'!K12</f>
        <v/>
      </c>
      <c r="L30" s="14">
        <f>'Working Capital'!L12</f>
        <v/>
      </c>
      <c r="M30" s="14">
        <f>'Working Capital'!M12</f>
        <v/>
      </c>
      <c r="N30" s="14">
        <f>'Working Capital'!N12</f>
        <v/>
      </c>
      <c r="O30" s="14">
        <f>'Working Capital'!O12</f>
        <v/>
      </c>
      <c r="P30" s="14">
        <f>'Working Capital'!P12</f>
        <v/>
      </c>
      <c r="Q30" s="14">
        <f>'Working Capital'!Q12</f>
        <v/>
      </c>
      <c r="R30" s="14">
        <f>'Working Capital'!R12</f>
        <v/>
      </c>
      <c r="S30" s="14">
        <f>'Working Capital'!S12</f>
        <v/>
      </c>
      <c r="T30" s="14">
        <f>'Working Capital'!T12</f>
        <v/>
      </c>
      <c r="U30" s="14">
        <f>'Working Capital'!U12</f>
        <v/>
      </c>
      <c r="V30" s="14">
        <f>'Working Capital'!V12</f>
        <v/>
      </c>
      <c r="W30" s="14">
        <f>'Working Capital'!W12</f>
        <v/>
      </c>
      <c r="X30" s="14">
        <f>SUM(D30:G30)</f>
        <v/>
      </c>
      <c r="Y30" s="14">
        <f>SUM(H30:K30)</f>
        <v/>
      </c>
      <c r="Z30" s="14">
        <f>SUM(L30:O30)</f>
        <v/>
      </c>
      <c r="AA30" s="14">
        <f>SUM(P30:S30)</f>
        <v/>
      </c>
      <c r="AB30" s="14">
        <f>SUM(T30:W30)</f>
        <v/>
      </c>
    </row>
    <row r="31">
      <c r="A31" s="34" t="inlineStr">
        <is>
          <t>Owner's Capital</t>
        </is>
      </c>
      <c r="B31" s="34" t="inlineStr">
        <is>
          <t>Cash Equity Schedule schedule</t>
        </is>
      </c>
      <c r="C31" s="35">
        <f>'Cash Equity Schedule'!C7</f>
        <v/>
      </c>
      <c r="D31" s="35">
        <f>'Cash Equity Schedule'!D7</f>
        <v/>
      </c>
      <c r="E31" s="35">
        <f>'Cash Equity Schedule'!E7</f>
        <v/>
      </c>
      <c r="F31" s="35">
        <f>'Cash Equity Schedule'!F7</f>
        <v/>
      </c>
      <c r="G31" s="35">
        <f>'Cash Equity Schedule'!G7</f>
        <v/>
      </c>
      <c r="H31" s="35">
        <f>'Cash Equity Schedule'!H7</f>
        <v/>
      </c>
      <c r="I31" s="35">
        <f>'Cash Equity Schedule'!I7</f>
        <v/>
      </c>
      <c r="J31" s="35">
        <f>'Cash Equity Schedule'!J7</f>
        <v/>
      </c>
      <c r="K31" s="35">
        <f>'Cash Equity Schedule'!K7</f>
        <v/>
      </c>
      <c r="L31" s="35">
        <f>'Cash Equity Schedule'!L7</f>
        <v/>
      </c>
      <c r="M31" s="35">
        <f>'Cash Equity Schedule'!M7</f>
        <v/>
      </c>
      <c r="N31" s="35">
        <f>'Cash Equity Schedule'!N7</f>
        <v/>
      </c>
      <c r="O31" s="35">
        <f>'Cash Equity Schedule'!O7</f>
        <v/>
      </c>
      <c r="P31" s="35">
        <f>'Cash Equity Schedule'!P7</f>
        <v/>
      </c>
      <c r="Q31" s="35">
        <f>'Cash Equity Schedule'!Q7</f>
        <v/>
      </c>
      <c r="R31" s="35">
        <f>'Cash Equity Schedule'!R7</f>
        <v/>
      </c>
      <c r="S31" s="35">
        <f>'Cash Equity Schedule'!S7</f>
        <v/>
      </c>
      <c r="T31" s="35">
        <f>'Cash Equity Schedule'!T7</f>
        <v/>
      </c>
      <c r="U31" s="35">
        <f>'Cash Equity Schedule'!U7</f>
        <v/>
      </c>
      <c r="V31" s="35">
        <f>'Cash Equity Schedule'!V7</f>
        <v/>
      </c>
      <c r="W31" s="35">
        <f>'Cash Equity Schedule'!W7</f>
        <v/>
      </c>
      <c r="X31" s="35">
        <f>G31</f>
        <v/>
      </c>
      <c r="Y31" s="35">
        <f>K31</f>
        <v/>
      </c>
      <c r="Z31" s="35">
        <f>O31</f>
        <v/>
      </c>
      <c r="AA31" s="35">
        <f>S31</f>
        <v/>
      </c>
      <c r="AB31" s="35">
        <f>W31</f>
        <v/>
      </c>
    </row>
    <row r="32">
      <c r="A32" s="34" t="inlineStr">
        <is>
          <t>Other Equity</t>
        </is>
      </c>
      <c r="B32" s="34" t="inlineStr">
        <is>
          <t>Cash Equity Schedule schedule</t>
        </is>
      </c>
      <c r="C32" s="35">
        <f>'Cash Equity Schedule'!C8</f>
        <v/>
      </c>
      <c r="D32" s="35">
        <f>'Cash Equity Schedule'!D8</f>
        <v/>
      </c>
      <c r="E32" s="35">
        <f>'Cash Equity Schedule'!E8</f>
        <v/>
      </c>
      <c r="F32" s="35">
        <f>'Cash Equity Schedule'!F8</f>
        <v/>
      </c>
      <c r="G32" s="35">
        <f>'Cash Equity Schedule'!G8</f>
        <v/>
      </c>
      <c r="H32" s="35">
        <f>'Cash Equity Schedule'!H8</f>
        <v/>
      </c>
      <c r="I32" s="35">
        <f>'Cash Equity Schedule'!I8</f>
        <v/>
      </c>
      <c r="J32" s="35">
        <f>'Cash Equity Schedule'!J8</f>
        <v/>
      </c>
      <c r="K32" s="35">
        <f>'Cash Equity Schedule'!K8</f>
        <v/>
      </c>
      <c r="L32" s="35">
        <f>'Cash Equity Schedule'!L8</f>
        <v/>
      </c>
      <c r="M32" s="35">
        <f>'Cash Equity Schedule'!M8</f>
        <v/>
      </c>
      <c r="N32" s="35">
        <f>'Cash Equity Schedule'!N8</f>
        <v/>
      </c>
      <c r="O32" s="35">
        <f>'Cash Equity Schedule'!O8</f>
        <v/>
      </c>
      <c r="P32" s="35">
        <f>'Cash Equity Schedule'!P8</f>
        <v/>
      </c>
      <c r="Q32" s="35">
        <f>'Cash Equity Schedule'!Q8</f>
        <v/>
      </c>
      <c r="R32" s="35">
        <f>'Cash Equity Schedule'!R8</f>
        <v/>
      </c>
      <c r="S32" s="35">
        <f>'Cash Equity Schedule'!S8</f>
        <v/>
      </c>
      <c r="T32" s="35">
        <f>'Cash Equity Schedule'!T8</f>
        <v/>
      </c>
      <c r="U32" s="35">
        <f>'Cash Equity Schedule'!U8</f>
        <v/>
      </c>
      <c r="V32" s="35">
        <f>'Cash Equity Schedule'!V8</f>
        <v/>
      </c>
      <c r="W32" s="35">
        <f>'Cash Equity Schedule'!W8</f>
        <v/>
      </c>
      <c r="X32" s="35">
        <f>G32</f>
        <v/>
      </c>
      <c r="Y32" s="35">
        <f>K32</f>
        <v/>
      </c>
      <c r="Z32" s="35">
        <f>O32</f>
        <v/>
      </c>
      <c r="AA32" s="35">
        <f>S32</f>
        <v/>
      </c>
      <c r="AB32" s="35">
        <f>W32</f>
        <v/>
      </c>
    </row>
    <row r="33">
      <c r="A33" s="34" t="inlineStr">
        <is>
          <t>Distributions</t>
        </is>
      </c>
      <c r="B33" s="34" t="inlineStr">
        <is>
          <t>Cash Equity Schedule schedule</t>
        </is>
      </c>
      <c r="C33" s="35">
        <f>'Cash Equity Schedule'!C9</f>
        <v/>
      </c>
      <c r="D33" s="35">
        <f>'Cash Equity Schedule'!D9</f>
        <v/>
      </c>
      <c r="E33" s="35">
        <f>'Cash Equity Schedule'!E9</f>
        <v/>
      </c>
      <c r="F33" s="35">
        <f>'Cash Equity Schedule'!F9</f>
        <v/>
      </c>
      <c r="G33" s="35">
        <f>'Cash Equity Schedule'!G9</f>
        <v/>
      </c>
      <c r="H33" s="35">
        <f>'Cash Equity Schedule'!H9</f>
        <v/>
      </c>
      <c r="I33" s="35">
        <f>'Cash Equity Schedule'!I9</f>
        <v/>
      </c>
      <c r="J33" s="35">
        <f>'Cash Equity Schedule'!J9</f>
        <v/>
      </c>
      <c r="K33" s="35">
        <f>'Cash Equity Schedule'!K9</f>
        <v/>
      </c>
      <c r="L33" s="35">
        <f>'Cash Equity Schedule'!L9</f>
        <v/>
      </c>
      <c r="M33" s="35">
        <f>'Cash Equity Schedule'!M9</f>
        <v/>
      </c>
      <c r="N33" s="35">
        <f>'Cash Equity Schedule'!N9</f>
        <v/>
      </c>
      <c r="O33" s="35">
        <f>'Cash Equity Schedule'!O9</f>
        <v/>
      </c>
      <c r="P33" s="35">
        <f>'Cash Equity Schedule'!P9</f>
        <v/>
      </c>
      <c r="Q33" s="35">
        <f>'Cash Equity Schedule'!Q9</f>
        <v/>
      </c>
      <c r="R33" s="35">
        <f>'Cash Equity Schedule'!R9</f>
        <v/>
      </c>
      <c r="S33" s="35">
        <f>'Cash Equity Schedule'!S9</f>
        <v/>
      </c>
      <c r="T33" s="35">
        <f>'Cash Equity Schedule'!T9</f>
        <v/>
      </c>
      <c r="U33" s="35">
        <f>'Cash Equity Schedule'!U9</f>
        <v/>
      </c>
      <c r="V33" s="35">
        <f>'Cash Equity Schedule'!V9</f>
        <v/>
      </c>
      <c r="W33" s="35">
        <f>'Cash Equity Schedule'!W9</f>
        <v/>
      </c>
      <c r="X33" s="35">
        <f>G33</f>
        <v/>
      </c>
      <c r="Y33" s="35">
        <f>K33</f>
        <v/>
      </c>
      <c r="Z33" s="35">
        <f>O33</f>
        <v/>
      </c>
      <c r="AA33" s="35">
        <f>S33</f>
        <v/>
      </c>
      <c r="AB33" s="35">
        <f>W33</f>
        <v/>
      </c>
    </row>
    <row r="35">
      <c r="A35" s="7" t="inlineStr">
        <is>
          <t>Cash Flow and Schedule Inputs</t>
        </is>
      </c>
    </row>
    <row r="36">
      <c r="A36" s="8" t="inlineStr">
        <is>
          <t>Cash Opening Balance</t>
        </is>
      </c>
      <c r="B36" s="8" t="inlineStr">
        <is>
          <t>Working Capital schedule</t>
        </is>
      </c>
      <c r="C36" s="12">
        <f>'Working Capital'!C15</f>
        <v/>
      </c>
      <c r="D36" s="12">
        <f>'Working Capital'!D15</f>
        <v/>
      </c>
      <c r="E36" s="12">
        <f>'Working Capital'!E15</f>
        <v/>
      </c>
      <c r="F36" s="12">
        <f>'Working Capital'!F15</f>
        <v/>
      </c>
      <c r="G36" s="12">
        <f>'Working Capital'!G15</f>
        <v/>
      </c>
      <c r="H36" s="12">
        <f>'Working Capital'!H15</f>
        <v/>
      </c>
      <c r="I36" s="12">
        <f>'Working Capital'!I15</f>
        <v/>
      </c>
      <c r="J36" s="12">
        <f>'Working Capital'!J15</f>
        <v/>
      </c>
      <c r="K36" s="12">
        <f>'Working Capital'!K15</f>
        <v/>
      </c>
      <c r="L36" s="12">
        <f>'Working Capital'!L15</f>
        <v/>
      </c>
      <c r="M36" s="12">
        <f>'Working Capital'!M15</f>
        <v/>
      </c>
      <c r="N36" s="12">
        <f>'Working Capital'!N15</f>
        <v/>
      </c>
      <c r="O36" s="12">
        <f>'Working Capital'!O15</f>
        <v/>
      </c>
      <c r="P36" s="12">
        <f>'Working Capital'!P15</f>
        <v/>
      </c>
      <c r="Q36" s="12">
        <f>'Working Capital'!Q15</f>
        <v/>
      </c>
      <c r="R36" s="12">
        <f>'Working Capital'!R15</f>
        <v/>
      </c>
      <c r="S36" s="12">
        <f>'Working Capital'!S15</f>
        <v/>
      </c>
      <c r="T36" s="12">
        <f>'Working Capital'!T15</f>
        <v/>
      </c>
      <c r="U36" s="12">
        <f>'Working Capital'!U15</f>
        <v/>
      </c>
      <c r="V36" s="12">
        <f>'Working Capital'!V15</f>
        <v/>
      </c>
      <c r="W36" s="12">
        <f>'Working Capital'!W15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Accounts Receivable Opening Balance</t>
        </is>
      </c>
      <c r="B37" s="8" t="inlineStr">
        <is>
          <t>Working Capital schedule</t>
        </is>
      </c>
      <c r="C37" s="12">
        <f>'Working Capital'!C16</f>
        <v/>
      </c>
      <c r="D37" s="12">
        <f>'Working Capital'!D16</f>
        <v/>
      </c>
      <c r="E37" s="12">
        <f>'Working Capital'!E16</f>
        <v/>
      </c>
      <c r="F37" s="12">
        <f>'Working Capital'!F16</f>
        <v/>
      </c>
      <c r="G37" s="12">
        <f>'Working Capital'!G16</f>
        <v/>
      </c>
      <c r="H37" s="12">
        <f>'Working Capital'!H16</f>
        <v/>
      </c>
      <c r="I37" s="12">
        <f>'Working Capital'!I16</f>
        <v/>
      </c>
      <c r="J37" s="12">
        <f>'Working Capital'!J16</f>
        <v/>
      </c>
      <c r="K37" s="12">
        <f>'Working Capital'!K16</f>
        <v/>
      </c>
      <c r="L37" s="12">
        <f>'Working Capital'!L16</f>
        <v/>
      </c>
      <c r="M37" s="12">
        <f>'Working Capital'!M16</f>
        <v/>
      </c>
      <c r="N37" s="12">
        <f>'Working Capital'!N16</f>
        <v/>
      </c>
      <c r="O37" s="12">
        <f>'Working Capital'!O16</f>
        <v/>
      </c>
      <c r="P37" s="12">
        <f>'Working Capital'!P16</f>
        <v/>
      </c>
      <c r="Q37" s="12">
        <f>'Working Capital'!Q16</f>
        <v/>
      </c>
      <c r="R37" s="12">
        <f>'Working Capital'!R16</f>
        <v/>
      </c>
      <c r="S37" s="12">
        <f>'Working Capital'!S16</f>
        <v/>
      </c>
      <c r="T37" s="12">
        <f>'Working Capital'!T16</f>
        <v/>
      </c>
      <c r="U37" s="12">
        <f>'Working Capital'!U16</f>
        <v/>
      </c>
      <c r="V37" s="12">
        <f>'Working Capital'!V16</f>
        <v/>
      </c>
      <c r="W37" s="12">
        <f>'Working Capital'!W16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8" t="inlineStr">
        <is>
          <t>Inventory Opening Balance</t>
        </is>
      </c>
      <c r="B38" s="8" t="inlineStr">
        <is>
          <t>Working Capital schedule</t>
        </is>
      </c>
      <c r="C38" s="12">
        <f>'Working Capital'!C17</f>
        <v/>
      </c>
      <c r="D38" s="12">
        <f>'Working Capital'!D17</f>
        <v/>
      </c>
      <c r="E38" s="12">
        <f>'Working Capital'!E17</f>
        <v/>
      </c>
      <c r="F38" s="12">
        <f>'Working Capital'!F17</f>
        <v/>
      </c>
      <c r="G38" s="12">
        <f>'Working Capital'!G17</f>
        <v/>
      </c>
      <c r="H38" s="12">
        <f>'Working Capital'!H17</f>
        <v/>
      </c>
      <c r="I38" s="12">
        <f>'Working Capital'!I17</f>
        <v/>
      </c>
      <c r="J38" s="12">
        <f>'Working Capital'!J17</f>
        <v/>
      </c>
      <c r="K38" s="12">
        <f>'Working Capital'!K17</f>
        <v/>
      </c>
      <c r="L38" s="12">
        <f>'Working Capital'!L17</f>
        <v/>
      </c>
      <c r="M38" s="12">
        <f>'Working Capital'!M17</f>
        <v/>
      </c>
      <c r="N38" s="12">
        <f>'Working Capital'!N17</f>
        <v/>
      </c>
      <c r="O38" s="12">
        <f>'Working Capital'!O17</f>
        <v/>
      </c>
      <c r="P38" s="12">
        <f>'Working Capital'!P17</f>
        <v/>
      </c>
      <c r="Q38" s="12">
        <f>'Working Capital'!Q17</f>
        <v/>
      </c>
      <c r="R38" s="12">
        <f>'Working Capital'!R17</f>
        <v/>
      </c>
      <c r="S38" s="12">
        <f>'Working Capital'!S17</f>
        <v/>
      </c>
      <c r="T38" s="12">
        <f>'Working Capital'!T17</f>
        <v/>
      </c>
      <c r="U38" s="12">
        <f>'Working Capital'!U17</f>
        <v/>
      </c>
      <c r="V38" s="12">
        <f>'Working Capital'!V17</f>
        <v/>
      </c>
      <c r="W38" s="12">
        <f>'Working Capital'!W17</f>
        <v/>
      </c>
      <c r="X38" s="12">
        <f>G38</f>
        <v/>
      </c>
      <c r="Y38" s="12">
        <f>K38</f>
        <v/>
      </c>
      <c r="Z38" s="12">
        <f>O38</f>
        <v/>
      </c>
      <c r="AA38" s="12">
        <f>S38</f>
        <v/>
      </c>
      <c r="AB38" s="12">
        <f>W38</f>
        <v/>
      </c>
    </row>
    <row r="39">
      <c r="A39" s="8" t="inlineStr">
        <is>
          <t>Accounts Payable Opening Balance</t>
        </is>
      </c>
      <c r="B39" s="8" t="inlineStr">
        <is>
          <t>Working Capital schedule</t>
        </is>
      </c>
      <c r="C39" s="12">
        <f>'Working Capital'!C18</f>
        <v/>
      </c>
      <c r="D39" s="12">
        <f>'Working Capital'!D18</f>
        <v/>
      </c>
      <c r="E39" s="12">
        <f>'Working Capital'!E18</f>
        <v/>
      </c>
      <c r="F39" s="12">
        <f>'Working Capital'!F18</f>
        <v/>
      </c>
      <c r="G39" s="12">
        <f>'Working Capital'!G18</f>
        <v/>
      </c>
      <c r="H39" s="12">
        <f>'Working Capital'!H18</f>
        <v/>
      </c>
      <c r="I39" s="12">
        <f>'Working Capital'!I18</f>
        <v/>
      </c>
      <c r="J39" s="12">
        <f>'Working Capital'!J18</f>
        <v/>
      </c>
      <c r="K39" s="12">
        <f>'Working Capital'!K18</f>
        <v/>
      </c>
      <c r="L39" s="12">
        <f>'Working Capital'!L18</f>
        <v/>
      </c>
      <c r="M39" s="12">
        <f>'Working Capital'!M18</f>
        <v/>
      </c>
      <c r="N39" s="12">
        <f>'Working Capital'!N18</f>
        <v/>
      </c>
      <c r="O39" s="12">
        <f>'Working Capital'!O18</f>
        <v/>
      </c>
      <c r="P39" s="12">
        <f>'Working Capital'!P18</f>
        <v/>
      </c>
      <c r="Q39" s="12">
        <f>'Working Capital'!Q18</f>
        <v/>
      </c>
      <c r="R39" s="12">
        <f>'Working Capital'!R18</f>
        <v/>
      </c>
      <c r="S39" s="12">
        <f>'Working Capital'!S18</f>
        <v/>
      </c>
      <c r="T39" s="12">
        <f>'Working Capital'!T18</f>
        <v/>
      </c>
      <c r="U39" s="12">
        <f>'Working Capital'!U18</f>
        <v/>
      </c>
      <c r="V39" s="12">
        <f>'Working Capital'!V18</f>
        <v/>
      </c>
      <c r="W39" s="12">
        <f>'Working Capital'!W18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Short Term Debt Opening Balance</t>
        </is>
      </c>
      <c r="B40" s="8" t="inlineStr">
        <is>
          <t>Working Capital schedule</t>
        </is>
      </c>
      <c r="C40" s="12">
        <f>'Working Capital'!C19</f>
        <v/>
      </c>
      <c r="D40" s="12">
        <f>'Working Capital'!D19</f>
        <v/>
      </c>
      <c r="E40" s="12">
        <f>'Working Capital'!E19</f>
        <v/>
      </c>
      <c r="F40" s="12">
        <f>'Working Capital'!F19</f>
        <v/>
      </c>
      <c r="G40" s="12">
        <f>'Working Capital'!G19</f>
        <v/>
      </c>
      <c r="H40" s="12">
        <f>'Working Capital'!H19</f>
        <v/>
      </c>
      <c r="I40" s="12">
        <f>'Working Capital'!I19</f>
        <v/>
      </c>
      <c r="J40" s="12">
        <f>'Working Capital'!J19</f>
        <v/>
      </c>
      <c r="K40" s="12">
        <f>'Working Capital'!K19</f>
        <v/>
      </c>
      <c r="L40" s="12">
        <f>'Working Capital'!L19</f>
        <v/>
      </c>
      <c r="M40" s="12">
        <f>'Working Capital'!M19</f>
        <v/>
      </c>
      <c r="N40" s="12">
        <f>'Working Capital'!N19</f>
        <v/>
      </c>
      <c r="O40" s="12">
        <f>'Working Capital'!O19</f>
        <v/>
      </c>
      <c r="P40" s="12">
        <f>'Working Capital'!P19</f>
        <v/>
      </c>
      <c r="Q40" s="12">
        <f>'Working Capital'!Q19</f>
        <v/>
      </c>
      <c r="R40" s="12">
        <f>'Working Capital'!R19</f>
        <v/>
      </c>
      <c r="S40" s="12">
        <f>'Working Capital'!S19</f>
        <v/>
      </c>
      <c r="T40" s="12">
        <f>'Working Capital'!T19</f>
        <v/>
      </c>
      <c r="U40" s="12">
        <f>'Working Capital'!U19</f>
        <v/>
      </c>
      <c r="V40" s="12">
        <f>'Working Capital'!V19</f>
        <v/>
      </c>
      <c r="W40" s="12">
        <f>'Working Capital'!W19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34" t="inlineStr">
        <is>
          <t>Debt Opening Balance</t>
        </is>
      </c>
      <c r="B41" s="34" t="inlineStr">
        <is>
          <t>Debt Schedule schedule</t>
        </is>
      </c>
      <c r="C41" s="35">
        <f>'Debt Schedule'!C7</f>
        <v/>
      </c>
      <c r="D41" s="35">
        <f>'Debt Schedule'!D7</f>
        <v/>
      </c>
      <c r="E41" s="35">
        <f>'Debt Schedule'!E7</f>
        <v/>
      </c>
      <c r="F41" s="35">
        <f>'Debt Schedule'!F7</f>
        <v/>
      </c>
      <c r="G41" s="35">
        <f>'Debt Schedule'!G7</f>
        <v/>
      </c>
      <c r="H41" s="35">
        <f>'Debt Schedule'!H7</f>
        <v/>
      </c>
      <c r="I41" s="35">
        <f>'Debt Schedule'!I7</f>
        <v/>
      </c>
      <c r="J41" s="35">
        <f>'Debt Schedule'!J7</f>
        <v/>
      </c>
      <c r="K41" s="35">
        <f>'Debt Schedule'!K7</f>
        <v/>
      </c>
      <c r="L41" s="35">
        <f>'Debt Schedule'!L7</f>
        <v/>
      </c>
      <c r="M41" s="35">
        <f>'Debt Schedule'!M7</f>
        <v/>
      </c>
      <c r="N41" s="35">
        <f>'Debt Schedule'!N7</f>
        <v/>
      </c>
      <c r="O41" s="35">
        <f>'Debt Schedule'!O7</f>
        <v/>
      </c>
      <c r="P41" s="35">
        <f>'Debt Schedule'!P7</f>
        <v/>
      </c>
      <c r="Q41" s="35">
        <f>'Debt Schedule'!Q7</f>
        <v/>
      </c>
      <c r="R41" s="35">
        <f>'Debt Schedule'!R7</f>
        <v/>
      </c>
      <c r="S41" s="35">
        <f>'Debt Schedule'!S7</f>
        <v/>
      </c>
      <c r="T41" s="35">
        <f>'Debt Schedule'!T7</f>
        <v/>
      </c>
      <c r="U41" s="35">
        <f>'Debt Schedule'!U7</f>
        <v/>
      </c>
      <c r="V41" s="35">
        <f>'Debt Schedule'!V7</f>
        <v/>
      </c>
      <c r="W41" s="35">
        <f>'Debt Schedule'!W7</f>
        <v/>
      </c>
      <c r="X41" s="35">
        <f>G41</f>
        <v/>
      </c>
      <c r="Y41" s="35">
        <f>K41</f>
        <v/>
      </c>
      <c r="Z41" s="35">
        <f>O41</f>
        <v/>
      </c>
      <c r="AA41" s="35">
        <f>S41</f>
        <v/>
      </c>
      <c r="AB41" s="35">
        <f>W41</f>
        <v/>
      </c>
    </row>
    <row r="42">
      <c r="A42" s="34" t="inlineStr">
        <is>
          <t>Debt Issuance</t>
        </is>
      </c>
      <c r="B42" s="34" t="inlineStr">
        <is>
          <t>Debt Schedule schedule</t>
        </is>
      </c>
      <c r="C42" s="35">
        <f>'Debt Schedule'!C8</f>
        <v/>
      </c>
      <c r="D42" s="35">
        <f>'Debt Schedule'!D8</f>
        <v/>
      </c>
      <c r="E42" s="35">
        <f>'Debt Schedule'!E8</f>
        <v/>
      </c>
      <c r="F42" s="35">
        <f>'Debt Schedule'!F8</f>
        <v/>
      </c>
      <c r="G42" s="35">
        <f>'Debt Schedule'!G8</f>
        <v/>
      </c>
      <c r="H42" s="35">
        <f>'Debt Schedule'!H8</f>
        <v/>
      </c>
      <c r="I42" s="35">
        <f>'Debt Schedule'!I8</f>
        <v/>
      </c>
      <c r="J42" s="35">
        <f>'Debt Schedule'!J8</f>
        <v/>
      </c>
      <c r="K42" s="35">
        <f>'Debt Schedule'!K8</f>
        <v/>
      </c>
      <c r="L42" s="35">
        <f>'Debt Schedule'!L8</f>
        <v/>
      </c>
      <c r="M42" s="35">
        <f>'Debt Schedule'!M8</f>
        <v/>
      </c>
      <c r="N42" s="35">
        <f>'Debt Schedule'!N8</f>
        <v/>
      </c>
      <c r="O42" s="35">
        <f>'Debt Schedule'!O8</f>
        <v/>
      </c>
      <c r="P42" s="35">
        <f>'Debt Schedule'!P8</f>
        <v/>
      </c>
      <c r="Q42" s="35">
        <f>'Debt Schedule'!Q8</f>
        <v/>
      </c>
      <c r="R42" s="35">
        <f>'Debt Schedule'!R8</f>
        <v/>
      </c>
      <c r="S42" s="35">
        <f>'Debt Schedule'!S8</f>
        <v/>
      </c>
      <c r="T42" s="35">
        <f>'Debt Schedule'!T8</f>
        <v/>
      </c>
      <c r="U42" s="35">
        <f>'Debt Schedule'!U8</f>
        <v/>
      </c>
      <c r="V42" s="35">
        <f>'Debt Schedule'!V8</f>
        <v/>
      </c>
      <c r="W42" s="35">
        <f>'Debt Schedule'!W8</f>
        <v/>
      </c>
      <c r="X42" s="35">
        <f>SUM(D42:G42)</f>
        <v/>
      </c>
      <c r="Y42" s="35">
        <f>SUM(H42:K42)</f>
        <v/>
      </c>
      <c r="Z42" s="35">
        <f>SUM(L42:O42)</f>
        <v/>
      </c>
      <c r="AA42" s="35">
        <f>SUM(P42:S42)</f>
        <v/>
      </c>
      <c r="AB42" s="35">
        <f>SUM(T42:W42)</f>
        <v/>
      </c>
    </row>
    <row r="43">
      <c r="A43" s="34" t="inlineStr">
        <is>
          <t>Debt Repayment</t>
        </is>
      </c>
      <c r="B43" s="34" t="inlineStr">
        <is>
          <t>Debt Schedule schedule</t>
        </is>
      </c>
      <c r="C43" s="35">
        <f>'Debt Schedule'!C10</f>
        <v/>
      </c>
      <c r="D43" s="35">
        <f>'Debt Schedule'!D10</f>
        <v/>
      </c>
      <c r="E43" s="35">
        <f>'Debt Schedule'!E10</f>
        <v/>
      </c>
      <c r="F43" s="35">
        <f>'Debt Schedule'!F10</f>
        <v/>
      </c>
      <c r="G43" s="35">
        <f>'Debt Schedule'!G10</f>
        <v/>
      </c>
      <c r="H43" s="35">
        <f>'Debt Schedule'!H10</f>
        <v/>
      </c>
      <c r="I43" s="35">
        <f>'Debt Schedule'!I10</f>
        <v/>
      </c>
      <c r="J43" s="35">
        <f>'Debt Schedule'!J10</f>
        <v/>
      </c>
      <c r="K43" s="35">
        <f>'Debt Schedule'!K10</f>
        <v/>
      </c>
      <c r="L43" s="35">
        <f>'Debt Schedule'!L10</f>
        <v/>
      </c>
      <c r="M43" s="35">
        <f>'Debt Schedule'!M10</f>
        <v/>
      </c>
      <c r="N43" s="35">
        <f>'Debt Schedule'!N10</f>
        <v/>
      </c>
      <c r="O43" s="35">
        <f>'Debt Schedule'!O10</f>
        <v/>
      </c>
      <c r="P43" s="35">
        <f>'Debt Schedule'!P10</f>
        <v/>
      </c>
      <c r="Q43" s="35">
        <f>'Debt Schedule'!Q10</f>
        <v/>
      </c>
      <c r="R43" s="35">
        <f>'Debt Schedule'!R10</f>
        <v/>
      </c>
      <c r="S43" s="35">
        <f>'Debt Schedule'!S10</f>
        <v/>
      </c>
      <c r="T43" s="35">
        <f>'Debt Schedule'!T10</f>
        <v/>
      </c>
      <c r="U43" s="35">
        <f>'Debt Schedule'!U10</f>
        <v/>
      </c>
      <c r="V43" s="35">
        <f>'Debt Schedule'!V10</f>
        <v/>
      </c>
      <c r="W43" s="35">
        <f>'Debt Schedule'!W10</f>
        <v/>
      </c>
      <c r="X43" s="35">
        <f>SUM(D43:G43)</f>
        <v/>
      </c>
      <c r="Y43" s="35">
        <f>SUM(H43:K43)</f>
        <v/>
      </c>
      <c r="Z43" s="35">
        <f>SUM(L43:O43)</f>
        <v/>
      </c>
      <c r="AA43" s="35">
        <f>SUM(P43:S43)</f>
        <v/>
      </c>
      <c r="AB43" s="35">
        <f>SUM(T43:W43)</f>
        <v/>
      </c>
    </row>
    <row r="44">
      <c r="A44" s="34" t="inlineStr">
        <is>
          <t>Debt Closing Balance</t>
        </is>
      </c>
      <c r="B44" s="34" t="inlineStr">
        <is>
          <t>Debt Schedule schedule</t>
        </is>
      </c>
      <c r="C44" s="35">
        <f>'Debt Schedule'!C11</f>
        <v/>
      </c>
      <c r="D44" s="35">
        <f>'Debt Schedule'!D11</f>
        <v/>
      </c>
      <c r="E44" s="35">
        <f>'Debt Schedule'!E11</f>
        <v/>
      </c>
      <c r="F44" s="35">
        <f>'Debt Schedule'!F11</f>
        <v/>
      </c>
      <c r="G44" s="35">
        <f>'Debt Schedule'!G11</f>
        <v/>
      </c>
      <c r="H44" s="35">
        <f>'Debt Schedule'!H11</f>
        <v/>
      </c>
      <c r="I44" s="35">
        <f>'Debt Schedule'!I11</f>
        <v/>
      </c>
      <c r="J44" s="35">
        <f>'Debt Schedule'!J11</f>
        <v/>
      </c>
      <c r="K44" s="35">
        <f>'Debt Schedule'!K11</f>
        <v/>
      </c>
      <c r="L44" s="35">
        <f>'Debt Schedule'!L11</f>
        <v/>
      </c>
      <c r="M44" s="35">
        <f>'Debt Schedule'!M11</f>
        <v/>
      </c>
      <c r="N44" s="35">
        <f>'Debt Schedule'!N11</f>
        <v/>
      </c>
      <c r="O44" s="35">
        <f>'Debt Schedule'!O11</f>
        <v/>
      </c>
      <c r="P44" s="35">
        <f>'Debt Schedule'!P11</f>
        <v/>
      </c>
      <c r="Q44" s="35">
        <f>'Debt Schedule'!Q11</f>
        <v/>
      </c>
      <c r="R44" s="35">
        <f>'Debt Schedule'!R11</f>
        <v/>
      </c>
      <c r="S44" s="35">
        <f>'Debt Schedule'!S11</f>
        <v/>
      </c>
      <c r="T44" s="35">
        <f>'Debt Schedule'!T11</f>
        <v/>
      </c>
      <c r="U44" s="35">
        <f>'Debt Schedule'!U11</f>
        <v/>
      </c>
      <c r="V44" s="35">
        <f>'Debt Schedule'!V11</f>
        <v/>
      </c>
      <c r="W44" s="35">
        <f>'Debt Schedule'!W11</f>
        <v/>
      </c>
      <c r="X44" s="35">
        <f>G44</f>
        <v/>
      </c>
      <c r="Y44" s="35">
        <f>K44</f>
        <v/>
      </c>
      <c r="Z44" s="35">
        <f>O44</f>
        <v/>
      </c>
      <c r="AA44" s="35">
        <f>S44</f>
        <v/>
      </c>
      <c r="AB44" s="35">
        <f>W44</f>
        <v/>
      </c>
    </row>
    <row r="45">
      <c r="A45" s="34" t="inlineStr">
        <is>
          <t>Lease Opening Balance</t>
        </is>
      </c>
      <c r="B45" s="34" t="inlineStr">
        <is>
          <t>Debt Schedule schedule</t>
        </is>
      </c>
      <c r="C45" s="35">
        <f>'Debt Schedule'!C18</f>
        <v/>
      </c>
      <c r="D45" s="35">
        <f>'Debt Schedule'!D18</f>
        <v/>
      </c>
      <c r="E45" s="35">
        <f>'Debt Schedule'!E18</f>
        <v/>
      </c>
      <c r="F45" s="35">
        <f>'Debt Schedule'!F18</f>
        <v/>
      </c>
      <c r="G45" s="35">
        <f>'Debt Schedule'!G18</f>
        <v/>
      </c>
      <c r="H45" s="35">
        <f>'Debt Schedule'!H18</f>
        <v/>
      </c>
      <c r="I45" s="35">
        <f>'Debt Schedule'!I18</f>
        <v/>
      </c>
      <c r="J45" s="35">
        <f>'Debt Schedule'!J18</f>
        <v/>
      </c>
      <c r="K45" s="35">
        <f>'Debt Schedule'!K18</f>
        <v/>
      </c>
      <c r="L45" s="35">
        <f>'Debt Schedule'!L18</f>
        <v/>
      </c>
      <c r="M45" s="35">
        <f>'Debt Schedule'!M18</f>
        <v/>
      </c>
      <c r="N45" s="35">
        <f>'Debt Schedule'!N18</f>
        <v/>
      </c>
      <c r="O45" s="35">
        <f>'Debt Schedule'!O18</f>
        <v/>
      </c>
      <c r="P45" s="35">
        <f>'Debt Schedule'!P18</f>
        <v/>
      </c>
      <c r="Q45" s="35">
        <f>'Debt Schedule'!Q18</f>
        <v/>
      </c>
      <c r="R45" s="35">
        <f>'Debt Schedule'!R18</f>
        <v/>
      </c>
      <c r="S45" s="35">
        <f>'Debt Schedule'!S18</f>
        <v/>
      </c>
      <c r="T45" s="35">
        <f>'Debt Schedule'!T18</f>
        <v/>
      </c>
      <c r="U45" s="35">
        <f>'Debt Schedule'!U18</f>
        <v/>
      </c>
      <c r="V45" s="35">
        <f>'Debt Schedule'!V18</f>
        <v/>
      </c>
      <c r="W45" s="35">
        <f>'Debt Schedule'!W18</f>
        <v/>
      </c>
      <c r="X45" s="35">
        <f>G45</f>
        <v/>
      </c>
      <c r="Y45" s="35">
        <f>K45</f>
        <v/>
      </c>
      <c r="Z45" s="35">
        <f>O45</f>
        <v/>
      </c>
      <c r="AA45" s="35">
        <f>S45</f>
        <v/>
      </c>
      <c r="AB45" s="35">
        <f>W45</f>
        <v/>
      </c>
    </row>
    <row r="46">
      <c r="A46" s="34" t="inlineStr">
        <is>
          <t>Lease Principal Repayments</t>
        </is>
      </c>
      <c r="B46" s="34" t="inlineStr">
        <is>
          <t>Debt Schedule schedule</t>
        </is>
      </c>
      <c r="C46" s="35">
        <f>'Debt Schedule'!C20</f>
        <v/>
      </c>
      <c r="D46" s="35">
        <f>'Debt Schedule'!D20</f>
        <v/>
      </c>
      <c r="E46" s="35">
        <f>'Debt Schedule'!E20</f>
        <v/>
      </c>
      <c r="F46" s="35">
        <f>'Debt Schedule'!F20</f>
        <v/>
      </c>
      <c r="G46" s="35">
        <f>'Debt Schedule'!G20</f>
        <v/>
      </c>
      <c r="H46" s="35">
        <f>'Debt Schedule'!H20</f>
        <v/>
      </c>
      <c r="I46" s="35">
        <f>'Debt Schedule'!I20</f>
        <v/>
      </c>
      <c r="J46" s="35">
        <f>'Debt Schedule'!J20</f>
        <v/>
      </c>
      <c r="K46" s="35">
        <f>'Debt Schedule'!K20</f>
        <v/>
      </c>
      <c r="L46" s="35">
        <f>'Debt Schedule'!L20</f>
        <v/>
      </c>
      <c r="M46" s="35">
        <f>'Debt Schedule'!M20</f>
        <v/>
      </c>
      <c r="N46" s="35">
        <f>'Debt Schedule'!N20</f>
        <v/>
      </c>
      <c r="O46" s="35">
        <f>'Debt Schedule'!O20</f>
        <v/>
      </c>
      <c r="P46" s="35">
        <f>'Debt Schedule'!P20</f>
        <v/>
      </c>
      <c r="Q46" s="35">
        <f>'Debt Schedule'!Q20</f>
        <v/>
      </c>
      <c r="R46" s="35">
        <f>'Debt Schedule'!R20</f>
        <v/>
      </c>
      <c r="S46" s="35">
        <f>'Debt Schedule'!S20</f>
        <v/>
      </c>
      <c r="T46" s="35">
        <f>'Debt Schedule'!T20</f>
        <v/>
      </c>
      <c r="U46" s="35">
        <f>'Debt Schedule'!U20</f>
        <v/>
      </c>
      <c r="V46" s="35">
        <f>'Debt Schedule'!V20</f>
        <v/>
      </c>
      <c r="W46" s="35">
        <f>'Debt Schedule'!W20</f>
        <v/>
      </c>
      <c r="X46" s="35">
        <f>SUM(D46:G46)</f>
        <v/>
      </c>
      <c r="Y46" s="35">
        <f>SUM(H46:K46)</f>
        <v/>
      </c>
      <c r="Z46" s="35">
        <f>SUM(L46:O46)</f>
        <v/>
      </c>
      <c r="AA46" s="35">
        <f>SUM(P46:S46)</f>
        <v/>
      </c>
      <c r="AB46" s="35">
        <f>SUM(T46:W46)</f>
        <v/>
      </c>
    </row>
    <row r="47">
      <c r="A47" s="34" t="inlineStr">
        <is>
          <t>Lease Net Additions</t>
        </is>
      </c>
      <c r="B47" s="34" t="inlineStr">
        <is>
          <t>Debt Schedule schedule</t>
        </is>
      </c>
      <c r="C47" s="35">
        <f>'Debt Schedule'!C21</f>
        <v/>
      </c>
      <c r="D47" s="35">
        <f>'Debt Schedule'!D21</f>
        <v/>
      </c>
      <c r="E47" s="35">
        <f>'Debt Schedule'!E21</f>
        <v/>
      </c>
      <c r="F47" s="35">
        <f>'Debt Schedule'!F21</f>
        <v/>
      </c>
      <c r="G47" s="35">
        <f>'Debt Schedule'!G21</f>
        <v/>
      </c>
      <c r="H47" s="35">
        <f>'Debt Schedule'!H21</f>
        <v/>
      </c>
      <c r="I47" s="35">
        <f>'Debt Schedule'!I21</f>
        <v/>
      </c>
      <c r="J47" s="35">
        <f>'Debt Schedule'!J21</f>
        <v/>
      </c>
      <c r="K47" s="35">
        <f>'Debt Schedule'!K21</f>
        <v/>
      </c>
      <c r="L47" s="35">
        <f>'Debt Schedule'!L21</f>
        <v/>
      </c>
      <c r="M47" s="35">
        <f>'Debt Schedule'!M21</f>
        <v/>
      </c>
      <c r="N47" s="35">
        <f>'Debt Schedule'!N21</f>
        <v/>
      </c>
      <c r="O47" s="35">
        <f>'Debt Schedule'!O21</f>
        <v/>
      </c>
      <c r="P47" s="35">
        <f>'Debt Schedule'!P21</f>
        <v/>
      </c>
      <c r="Q47" s="35">
        <f>'Debt Schedule'!Q21</f>
        <v/>
      </c>
      <c r="R47" s="35">
        <f>'Debt Schedule'!R21</f>
        <v/>
      </c>
      <c r="S47" s="35">
        <f>'Debt Schedule'!S21</f>
        <v/>
      </c>
      <c r="T47" s="35">
        <f>'Debt Schedule'!T21</f>
        <v/>
      </c>
      <c r="U47" s="35">
        <f>'Debt Schedule'!U21</f>
        <v/>
      </c>
      <c r="V47" s="35">
        <f>'Debt Schedule'!V21</f>
        <v/>
      </c>
      <c r="W47" s="35">
        <f>'Debt Schedule'!W21</f>
        <v/>
      </c>
      <c r="X47" s="35">
        <f>SUM(D47:G47)</f>
        <v/>
      </c>
      <c r="Y47" s="35">
        <f>SUM(H47:K47)</f>
        <v/>
      </c>
      <c r="Z47" s="35">
        <f>SUM(L47:O47)</f>
        <v/>
      </c>
      <c r="AA47" s="35">
        <f>SUM(P47:S47)</f>
        <v/>
      </c>
      <c r="AB47" s="35">
        <f>SUM(T47:W47)</f>
        <v/>
      </c>
    </row>
    <row r="48">
      <c r="A48" s="34" t="inlineStr">
        <is>
          <t>Lease Interest Expense</t>
        </is>
      </c>
      <c r="B48" s="34" t="inlineStr">
        <is>
          <t>Debt Schedule schedule</t>
        </is>
      </c>
      <c r="C48" s="35">
        <f>'Debt Schedule'!C22</f>
        <v/>
      </c>
      <c r="D48" s="35">
        <f>'Debt Schedule'!D22</f>
        <v/>
      </c>
      <c r="E48" s="35">
        <f>'Debt Schedule'!E22</f>
        <v/>
      </c>
      <c r="F48" s="35">
        <f>'Debt Schedule'!F22</f>
        <v/>
      </c>
      <c r="G48" s="35">
        <f>'Debt Schedule'!G22</f>
        <v/>
      </c>
      <c r="H48" s="35">
        <f>'Debt Schedule'!H22</f>
        <v/>
      </c>
      <c r="I48" s="35">
        <f>'Debt Schedule'!I22</f>
        <v/>
      </c>
      <c r="J48" s="35">
        <f>'Debt Schedule'!J22</f>
        <v/>
      </c>
      <c r="K48" s="35">
        <f>'Debt Schedule'!K22</f>
        <v/>
      </c>
      <c r="L48" s="35">
        <f>'Debt Schedule'!L22</f>
        <v/>
      </c>
      <c r="M48" s="35">
        <f>'Debt Schedule'!M22</f>
        <v/>
      </c>
      <c r="N48" s="35">
        <f>'Debt Schedule'!N22</f>
        <v/>
      </c>
      <c r="O48" s="35">
        <f>'Debt Schedule'!O22</f>
        <v/>
      </c>
      <c r="P48" s="35">
        <f>'Debt Schedule'!P22</f>
        <v/>
      </c>
      <c r="Q48" s="35">
        <f>'Debt Schedule'!Q22</f>
        <v/>
      </c>
      <c r="R48" s="35">
        <f>'Debt Schedule'!R22</f>
        <v/>
      </c>
      <c r="S48" s="35">
        <f>'Debt Schedule'!S22</f>
        <v/>
      </c>
      <c r="T48" s="35">
        <f>'Debt Schedule'!T22</f>
        <v/>
      </c>
      <c r="U48" s="35">
        <f>'Debt Schedule'!U22</f>
        <v/>
      </c>
      <c r="V48" s="35">
        <f>'Debt Schedule'!V22</f>
        <v/>
      </c>
      <c r="W48" s="35">
        <f>'Debt Schedule'!W22</f>
        <v/>
      </c>
      <c r="X48" s="35">
        <f>SUM(D48:G48)</f>
        <v/>
      </c>
      <c r="Y48" s="35">
        <f>SUM(H48:K48)</f>
        <v/>
      </c>
      <c r="Z48" s="35">
        <f>SUM(L48:O48)</f>
        <v/>
      </c>
      <c r="AA48" s="35">
        <f>SUM(P48:S48)</f>
        <v/>
      </c>
      <c r="AB48" s="35">
        <f>SUM(T48:W48)</f>
        <v/>
      </c>
    </row>
    <row r="49">
      <c r="A49" s="34" t="inlineStr">
        <is>
          <t>Lease Closing Balance</t>
        </is>
      </c>
      <c r="B49" s="34" t="inlineStr">
        <is>
          <t>Debt Schedule schedule</t>
        </is>
      </c>
      <c r="C49" s="35">
        <f>'Debt Schedule'!C23</f>
        <v/>
      </c>
      <c r="D49" s="35">
        <f>'Debt Schedule'!D23</f>
        <v/>
      </c>
      <c r="E49" s="35">
        <f>'Debt Schedule'!E23</f>
        <v/>
      </c>
      <c r="F49" s="35">
        <f>'Debt Schedule'!F23</f>
        <v/>
      </c>
      <c r="G49" s="35">
        <f>'Debt Schedule'!G23</f>
        <v/>
      </c>
      <c r="H49" s="35">
        <f>'Debt Schedule'!H23</f>
        <v/>
      </c>
      <c r="I49" s="35">
        <f>'Debt Schedule'!I23</f>
        <v/>
      </c>
      <c r="J49" s="35">
        <f>'Debt Schedule'!J23</f>
        <v/>
      </c>
      <c r="K49" s="35">
        <f>'Debt Schedule'!K23</f>
        <v/>
      </c>
      <c r="L49" s="35">
        <f>'Debt Schedule'!L23</f>
        <v/>
      </c>
      <c r="M49" s="35">
        <f>'Debt Schedule'!M23</f>
        <v/>
      </c>
      <c r="N49" s="35">
        <f>'Debt Schedule'!N23</f>
        <v/>
      </c>
      <c r="O49" s="35">
        <f>'Debt Schedule'!O23</f>
        <v/>
      </c>
      <c r="P49" s="35">
        <f>'Debt Schedule'!P23</f>
        <v/>
      </c>
      <c r="Q49" s="35">
        <f>'Debt Schedule'!Q23</f>
        <v/>
      </c>
      <c r="R49" s="35">
        <f>'Debt Schedule'!R23</f>
        <v/>
      </c>
      <c r="S49" s="35">
        <f>'Debt Schedule'!S23</f>
        <v/>
      </c>
      <c r="T49" s="35">
        <f>'Debt Schedule'!T23</f>
        <v/>
      </c>
      <c r="U49" s="35">
        <f>'Debt Schedule'!U23</f>
        <v/>
      </c>
      <c r="V49" s="35">
        <f>'Debt Schedule'!V23</f>
        <v/>
      </c>
      <c r="W49" s="35">
        <f>'Debt Schedule'!W23</f>
        <v/>
      </c>
      <c r="X49" s="35">
        <f>G49</f>
        <v/>
      </c>
      <c r="Y49" s="35">
        <f>K49</f>
        <v/>
      </c>
      <c r="Z49" s="35">
        <f>O49</f>
        <v/>
      </c>
      <c r="AA49" s="35">
        <f>S49</f>
        <v/>
      </c>
      <c r="AB49" s="35">
        <f>W49</f>
        <v/>
      </c>
    </row>
    <row r="50">
      <c r="A50" s="34" t="inlineStr">
        <is>
          <t>Right-of-Use Asset</t>
        </is>
      </c>
      <c r="B50" s="34" t="inlineStr">
        <is>
          <t>Debt Schedule schedule</t>
        </is>
      </c>
      <c r="C50" s="35">
        <f>'Debt Schedule'!C26</f>
        <v/>
      </c>
      <c r="D50" s="35">
        <f>'Debt Schedule'!D26</f>
        <v/>
      </c>
      <c r="E50" s="35">
        <f>'Debt Schedule'!E26</f>
        <v/>
      </c>
      <c r="F50" s="35">
        <f>'Debt Schedule'!F26</f>
        <v/>
      </c>
      <c r="G50" s="35">
        <f>'Debt Schedule'!G26</f>
        <v/>
      </c>
      <c r="H50" s="35">
        <f>'Debt Schedule'!H26</f>
        <v/>
      </c>
      <c r="I50" s="35">
        <f>'Debt Schedule'!I26</f>
        <v/>
      </c>
      <c r="J50" s="35">
        <f>'Debt Schedule'!J26</f>
        <v/>
      </c>
      <c r="K50" s="35">
        <f>'Debt Schedule'!K26</f>
        <v/>
      </c>
      <c r="L50" s="35">
        <f>'Debt Schedule'!L26</f>
        <v/>
      </c>
      <c r="M50" s="35">
        <f>'Debt Schedule'!M26</f>
        <v/>
      </c>
      <c r="N50" s="35">
        <f>'Debt Schedule'!N26</f>
        <v/>
      </c>
      <c r="O50" s="35">
        <f>'Debt Schedule'!O26</f>
        <v/>
      </c>
      <c r="P50" s="35">
        <f>'Debt Schedule'!P26</f>
        <v/>
      </c>
      <c r="Q50" s="35">
        <f>'Debt Schedule'!Q26</f>
        <v/>
      </c>
      <c r="R50" s="35">
        <f>'Debt Schedule'!R26</f>
        <v/>
      </c>
      <c r="S50" s="35">
        <f>'Debt Schedule'!S26</f>
        <v/>
      </c>
      <c r="T50" s="35">
        <f>'Debt Schedule'!T26</f>
        <v/>
      </c>
      <c r="U50" s="35">
        <f>'Debt Schedule'!U26</f>
        <v/>
      </c>
      <c r="V50" s="35">
        <f>'Debt Schedule'!V26</f>
        <v/>
      </c>
      <c r="W50" s="35">
        <f>'Debt Schedule'!W26</f>
        <v/>
      </c>
      <c r="X50" s="35">
        <f>G50</f>
        <v/>
      </c>
      <c r="Y50" s="35">
        <f>K50</f>
        <v/>
      </c>
      <c r="Z50" s="35">
        <f>O50</f>
        <v/>
      </c>
      <c r="AA50" s="35">
        <f>S50</f>
        <v/>
      </c>
      <c r="AB50" s="35">
        <f>W50</f>
        <v/>
      </c>
    </row>
    <row r="51">
      <c r="A51" s="34" t="inlineStr">
        <is>
          <t>Lease Asset Depreciation</t>
        </is>
      </c>
      <c r="B51" s="34" t="inlineStr">
        <is>
          <t>Debt Schedule schedule</t>
        </is>
      </c>
      <c r="C51" s="35">
        <f>'Debt Schedule'!C25</f>
        <v/>
      </c>
      <c r="D51" s="35">
        <f>'Debt Schedule'!D25</f>
        <v/>
      </c>
      <c r="E51" s="35">
        <f>'Debt Schedule'!E25</f>
        <v/>
      </c>
      <c r="F51" s="35">
        <f>'Debt Schedule'!F25</f>
        <v/>
      </c>
      <c r="G51" s="35">
        <f>'Debt Schedule'!G25</f>
        <v/>
      </c>
      <c r="H51" s="35">
        <f>'Debt Schedule'!H25</f>
        <v/>
      </c>
      <c r="I51" s="35">
        <f>'Debt Schedule'!I25</f>
        <v/>
      </c>
      <c r="J51" s="35">
        <f>'Debt Schedule'!J25</f>
        <v/>
      </c>
      <c r="K51" s="35">
        <f>'Debt Schedule'!K25</f>
        <v/>
      </c>
      <c r="L51" s="35">
        <f>'Debt Schedule'!L25</f>
        <v/>
      </c>
      <c r="M51" s="35">
        <f>'Debt Schedule'!M25</f>
        <v/>
      </c>
      <c r="N51" s="35">
        <f>'Debt Schedule'!N25</f>
        <v/>
      </c>
      <c r="O51" s="35">
        <f>'Debt Schedule'!O25</f>
        <v/>
      </c>
      <c r="P51" s="35">
        <f>'Debt Schedule'!P25</f>
        <v/>
      </c>
      <c r="Q51" s="35">
        <f>'Debt Schedule'!Q25</f>
        <v/>
      </c>
      <c r="R51" s="35">
        <f>'Debt Schedule'!R25</f>
        <v/>
      </c>
      <c r="S51" s="35">
        <f>'Debt Schedule'!S25</f>
        <v/>
      </c>
      <c r="T51" s="35">
        <f>'Debt Schedule'!T25</f>
        <v/>
      </c>
      <c r="U51" s="35">
        <f>'Debt Schedule'!U25</f>
        <v/>
      </c>
      <c r="V51" s="35">
        <f>'Debt Schedule'!V25</f>
        <v/>
      </c>
      <c r="W51" s="35">
        <f>'Debt Schedule'!W25</f>
        <v/>
      </c>
      <c r="X51" s="35">
        <f>SUM(D51:G51)</f>
        <v/>
      </c>
      <c r="Y51" s="35">
        <f>SUM(H51:K51)</f>
        <v/>
      </c>
      <c r="Z51" s="35">
        <f>SUM(L51:O51)</f>
        <v/>
      </c>
      <c r="AA51" s="35">
        <f>SUM(P51:S51)</f>
        <v/>
      </c>
      <c r="AB51" s="35">
        <f>SUM(T51:W51)</f>
        <v/>
      </c>
    </row>
    <row r="52">
      <c r="A52" s="8" t="inlineStr">
        <is>
          <t>Capital Expenditures</t>
        </is>
      </c>
      <c r="B52" s="8" t="inlineStr">
        <is>
          <t>CapEx Depreciation schedule</t>
        </is>
      </c>
      <c r="C52" s="12">
        <f>'CapEx Depreciation'!C8</f>
        <v/>
      </c>
      <c r="D52" s="12">
        <f>'CapEx Depreciation'!D8</f>
        <v/>
      </c>
      <c r="E52" s="12">
        <f>'CapEx Depreciation'!E8</f>
        <v/>
      </c>
      <c r="F52" s="12">
        <f>'CapEx Depreciation'!F8</f>
        <v/>
      </c>
      <c r="G52" s="12">
        <f>'CapEx Depreciation'!G8</f>
        <v/>
      </c>
      <c r="H52" s="12">
        <f>'CapEx Depreciation'!H8</f>
        <v/>
      </c>
      <c r="I52" s="12">
        <f>'CapEx Depreciation'!I8</f>
        <v/>
      </c>
      <c r="J52" s="12">
        <f>'CapEx Depreciation'!J8</f>
        <v/>
      </c>
      <c r="K52" s="12">
        <f>'CapEx Depreciation'!K8</f>
        <v/>
      </c>
      <c r="L52" s="12">
        <f>'CapEx Depreciation'!L8</f>
        <v/>
      </c>
      <c r="M52" s="12">
        <f>'CapEx Depreciation'!M8</f>
        <v/>
      </c>
      <c r="N52" s="12">
        <f>'CapEx Depreciation'!N8</f>
        <v/>
      </c>
      <c r="O52" s="12">
        <f>'CapEx Depreciation'!O8</f>
        <v/>
      </c>
      <c r="P52" s="12">
        <f>'CapEx Depreciation'!P8</f>
        <v/>
      </c>
      <c r="Q52" s="12">
        <f>'CapEx Depreciation'!Q8</f>
        <v/>
      </c>
      <c r="R52" s="12">
        <f>'CapEx Depreciation'!R8</f>
        <v/>
      </c>
      <c r="S52" s="12">
        <f>'CapEx Depreciation'!S8</f>
        <v/>
      </c>
      <c r="T52" s="12">
        <f>'CapEx Depreciation'!T8</f>
        <v/>
      </c>
      <c r="U52" s="12">
        <f>'CapEx Depreciation'!U8</f>
        <v/>
      </c>
      <c r="V52" s="12">
        <f>'CapEx Depreciation'!V8</f>
        <v/>
      </c>
      <c r="W52" s="12">
        <f>'CapEx Depreciation'!W8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8" t="inlineStr">
        <is>
          <t>PPE Closing Balance</t>
        </is>
      </c>
      <c r="B53" s="8" t="inlineStr">
        <is>
          <t>CapEx Depreciation schedule</t>
        </is>
      </c>
      <c r="C53" s="12">
        <f>'CapEx Depreciation'!C12</f>
        <v/>
      </c>
      <c r="D53" s="12">
        <f>'CapEx Depreciation'!D12</f>
        <v/>
      </c>
      <c r="E53" s="12">
        <f>'CapEx Depreciation'!E12</f>
        <v/>
      </c>
      <c r="F53" s="12">
        <f>'CapEx Depreciation'!F12</f>
        <v/>
      </c>
      <c r="G53" s="12">
        <f>'CapEx Depreciation'!G12</f>
        <v/>
      </c>
      <c r="H53" s="12">
        <f>'CapEx Depreciation'!H12</f>
        <v/>
      </c>
      <c r="I53" s="12">
        <f>'CapEx Depreciation'!I12</f>
        <v/>
      </c>
      <c r="J53" s="12">
        <f>'CapEx Depreciation'!J12</f>
        <v/>
      </c>
      <c r="K53" s="12">
        <f>'CapEx Depreciation'!K12</f>
        <v/>
      </c>
      <c r="L53" s="12">
        <f>'CapEx Depreciation'!L12</f>
        <v/>
      </c>
      <c r="M53" s="12">
        <f>'CapEx Depreciation'!M12</f>
        <v/>
      </c>
      <c r="N53" s="12">
        <f>'CapEx Depreciation'!N12</f>
        <v/>
      </c>
      <c r="O53" s="12">
        <f>'CapEx Depreciation'!O12</f>
        <v/>
      </c>
      <c r="P53" s="12">
        <f>'CapEx Depreciation'!P12</f>
        <v/>
      </c>
      <c r="Q53" s="12">
        <f>'CapEx Depreciation'!Q12</f>
        <v/>
      </c>
      <c r="R53" s="12">
        <f>'CapEx Depreciation'!R12</f>
        <v/>
      </c>
      <c r="S53" s="12">
        <f>'CapEx Depreciation'!S12</f>
        <v/>
      </c>
      <c r="T53" s="12">
        <f>'CapEx Depreciation'!T12</f>
        <v/>
      </c>
      <c r="U53" s="12">
        <f>'CapEx Depreciation'!U12</f>
        <v/>
      </c>
      <c r="V53" s="12">
        <f>'CapEx Depreciation'!V12</f>
        <v/>
      </c>
      <c r="W53" s="12">
        <f>'CapEx Depreciation'!W12</f>
        <v/>
      </c>
      <c r="X53" s="12">
        <f>G53</f>
        <v/>
      </c>
      <c r="Y53" s="12">
        <f>K53</f>
        <v/>
      </c>
      <c r="Z53" s="12">
        <f>O53</f>
        <v/>
      </c>
      <c r="AA53" s="12">
        <f>S53</f>
        <v/>
      </c>
      <c r="AB53" s="12">
        <f>W53</f>
        <v/>
      </c>
    </row>
    <row r="54">
      <c r="A54" s="8" t="inlineStr">
        <is>
          <t>Accumulated Depreciation</t>
        </is>
      </c>
      <c r="B54" s="8" t="inlineStr">
        <is>
          <t>CapEx Depreciation schedule</t>
        </is>
      </c>
      <c r="C54" s="12">
        <f>'CapEx Depreciation'!C14</f>
        <v/>
      </c>
      <c r="D54" s="12">
        <f>'CapEx Depreciation'!D14</f>
        <v/>
      </c>
      <c r="E54" s="12">
        <f>'CapEx Depreciation'!E14</f>
        <v/>
      </c>
      <c r="F54" s="12">
        <f>'CapEx Depreciation'!F14</f>
        <v/>
      </c>
      <c r="G54" s="12">
        <f>'CapEx Depreciation'!G14</f>
        <v/>
      </c>
      <c r="H54" s="12">
        <f>'CapEx Depreciation'!H14</f>
        <v/>
      </c>
      <c r="I54" s="12">
        <f>'CapEx Depreciation'!I14</f>
        <v/>
      </c>
      <c r="J54" s="12">
        <f>'CapEx Depreciation'!J14</f>
        <v/>
      </c>
      <c r="K54" s="12">
        <f>'CapEx Depreciation'!K14</f>
        <v/>
      </c>
      <c r="L54" s="12">
        <f>'CapEx Depreciation'!L14</f>
        <v/>
      </c>
      <c r="M54" s="12">
        <f>'CapEx Depreciation'!M14</f>
        <v/>
      </c>
      <c r="N54" s="12">
        <f>'CapEx Depreciation'!N14</f>
        <v/>
      </c>
      <c r="O54" s="12">
        <f>'CapEx Depreciation'!O14</f>
        <v/>
      </c>
      <c r="P54" s="12">
        <f>'CapEx Depreciation'!P14</f>
        <v/>
      </c>
      <c r="Q54" s="12">
        <f>'CapEx Depreciation'!Q14</f>
        <v/>
      </c>
      <c r="R54" s="12">
        <f>'CapEx Depreciation'!R14</f>
        <v/>
      </c>
      <c r="S54" s="12">
        <f>'CapEx Depreciation'!S14</f>
        <v/>
      </c>
      <c r="T54" s="12">
        <f>'CapEx Depreciation'!T14</f>
        <v/>
      </c>
      <c r="U54" s="12">
        <f>'CapEx Depreciation'!U14</f>
        <v/>
      </c>
      <c r="V54" s="12">
        <f>'CapEx Depreciation'!V14</f>
        <v/>
      </c>
      <c r="W54" s="12">
        <f>'CapEx Depreciation'!W14</f>
        <v/>
      </c>
      <c r="X54" s="12">
        <f>G54</f>
        <v/>
      </c>
      <c r="Y54" s="12">
        <f>K54</f>
        <v/>
      </c>
      <c r="Z54" s="12">
        <f>O54</f>
        <v/>
      </c>
      <c r="AA54" s="12">
        <f>S54</f>
        <v/>
      </c>
      <c r="AB54" s="12">
        <f>W54</f>
        <v/>
      </c>
    </row>
  </sheetData>
  <mergeCells count="3">
    <mergeCell ref="A24:AB24"/>
    <mergeCell ref="A6:AB6"/>
    <mergeCell ref="A35:AB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AB6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FINMO</t>
        </is>
      </c>
    </row>
    <row r="2">
      <c r="A2" s="2" t="inlineStr">
        <is>
          <t>Three-statement financial model. All formulas reference Model Inputs and in-sheet statement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t="inlineStr">
        <is>
          <t>Days in Quarter</t>
        </is>
      </c>
      <c r="C6" t="n">
        <v>0</v>
      </c>
      <c r="D6" t="n">
        <v>92</v>
      </c>
      <c r="E6" t="n">
        <v>92</v>
      </c>
      <c r="F6" t="n">
        <v>90</v>
      </c>
      <c r="G6" t="n">
        <v>91</v>
      </c>
      <c r="H6" t="n">
        <v>92</v>
      </c>
      <c r="I6" t="n">
        <v>92</v>
      </c>
      <c r="J6" t="n">
        <v>91</v>
      </c>
      <c r="K6" t="n">
        <v>91</v>
      </c>
      <c r="L6" t="n">
        <v>92</v>
      </c>
      <c r="M6" t="n">
        <v>92</v>
      </c>
      <c r="N6" t="n">
        <v>90</v>
      </c>
      <c r="O6" t="n">
        <v>91</v>
      </c>
      <c r="P6" t="n">
        <v>92</v>
      </c>
      <c r="Q6" t="n">
        <v>92</v>
      </c>
      <c r="R6" t="n">
        <v>90</v>
      </c>
      <c r="S6" t="n">
        <v>91</v>
      </c>
      <c r="T6" t="n">
        <v>92</v>
      </c>
      <c r="U6" t="n">
        <v>92</v>
      </c>
      <c r="V6" t="n">
        <v>90</v>
      </c>
      <c r="W6" t="n">
        <v>91</v>
      </c>
    </row>
    <row r="7">
      <c r="A7" s="7" t="inlineStr">
        <is>
          <t>Income Statement</t>
        </is>
      </c>
    </row>
    <row r="8">
      <c r="A8" s="19" t="inlineStr">
        <is>
          <t>Revenue</t>
        </is>
      </c>
      <c r="B8" s="19" t="inlineStr">
        <is>
          <t>Formula</t>
        </is>
      </c>
      <c r="C8" s="20">
        <f>'Model Inputs'!C11</f>
        <v/>
      </c>
      <c r="D8" s="20">
        <f>'Model Inputs'!D11</f>
        <v/>
      </c>
      <c r="E8" s="20">
        <f>'Model Inputs'!E11</f>
        <v/>
      </c>
      <c r="F8" s="20">
        <f>'Model Inputs'!F11</f>
        <v/>
      </c>
      <c r="G8" s="20">
        <f>'Model Inputs'!G11</f>
        <v/>
      </c>
      <c r="H8" s="20">
        <f>'Model Inputs'!H11</f>
        <v/>
      </c>
      <c r="I8" s="20">
        <f>'Model Inputs'!I11</f>
        <v/>
      </c>
      <c r="J8" s="20">
        <f>'Model Inputs'!J11</f>
        <v/>
      </c>
      <c r="K8" s="20">
        <f>'Model Inputs'!K11</f>
        <v/>
      </c>
      <c r="L8" s="20">
        <f>'Model Inputs'!L11</f>
        <v/>
      </c>
      <c r="M8" s="20">
        <f>'Model Inputs'!M11</f>
        <v/>
      </c>
      <c r="N8" s="20">
        <f>'Model Inputs'!N11</f>
        <v/>
      </c>
      <c r="O8" s="20">
        <f>'Model Inputs'!O11</f>
        <v/>
      </c>
      <c r="P8" s="20">
        <f>'Model Inputs'!P11</f>
        <v/>
      </c>
      <c r="Q8" s="20">
        <f>'Model Inputs'!Q11</f>
        <v/>
      </c>
      <c r="R8" s="20">
        <f>'Model Inputs'!R11</f>
        <v/>
      </c>
      <c r="S8" s="20">
        <f>'Model Inputs'!S11</f>
        <v/>
      </c>
      <c r="T8" s="20">
        <f>'Model Inputs'!T11</f>
        <v/>
      </c>
      <c r="U8" s="20">
        <f>'Model Inputs'!U11</f>
        <v/>
      </c>
      <c r="V8" s="20">
        <f>'Model Inputs'!V11</f>
        <v/>
      </c>
      <c r="W8" s="20">
        <f>'Model Inputs'!W11</f>
        <v/>
      </c>
      <c r="X8" s="20">
        <f>SUM(D8:G8)</f>
        <v/>
      </c>
      <c r="Y8" s="20">
        <f>SUM(H8:K8)</f>
        <v/>
      </c>
      <c r="Z8" s="20">
        <f>SUM(L8:O8)</f>
        <v/>
      </c>
      <c r="AA8" s="20">
        <f>SUM(P8:S8)</f>
        <v/>
      </c>
      <c r="AB8" s="20">
        <f>SUM(T8:W8)</f>
        <v/>
      </c>
    </row>
    <row r="9">
      <c r="A9" s="8" t="inlineStr">
        <is>
          <t>Cost of Goods Sold</t>
        </is>
      </c>
      <c r="B9" s="8" t="inlineStr">
        <is>
          <t>Formula</t>
        </is>
      </c>
      <c r="C9" s="12">
        <f>C8*'Model Inputs'!C12</f>
        <v/>
      </c>
      <c r="D9" s="12">
        <f>D8*'Model Inputs'!D12</f>
        <v/>
      </c>
      <c r="E9" s="12">
        <f>E8*'Model Inputs'!E12</f>
        <v/>
      </c>
      <c r="F9" s="12">
        <f>F8*'Model Inputs'!F12</f>
        <v/>
      </c>
      <c r="G9" s="12">
        <f>G8*'Model Inputs'!G12</f>
        <v/>
      </c>
      <c r="H9" s="12">
        <f>H8*'Model Inputs'!H12</f>
        <v/>
      </c>
      <c r="I9" s="12">
        <f>I8*'Model Inputs'!I12</f>
        <v/>
      </c>
      <c r="J9" s="12">
        <f>J8*'Model Inputs'!J12</f>
        <v/>
      </c>
      <c r="K9" s="12">
        <f>K8*'Model Inputs'!K12</f>
        <v/>
      </c>
      <c r="L9" s="12">
        <f>L8*'Model Inputs'!L12</f>
        <v/>
      </c>
      <c r="M9" s="12">
        <f>M8*'Model Inputs'!M12</f>
        <v/>
      </c>
      <c r="N9" s="12">
        <f>N8*'Model Inputs'!N12</f>
        <v/>
      </c>
      <c r="O9" s="12">
        <f>O8*'Model Inputs'!O12</f>
        <v/>
      </c>
      <c r="P9" s="12">
        <f>P8*'Model Inputs'!P12</f>
        <v/>
      </c>
      <c r="Q9" s="12">
        <f>Q8*'Model Inputs'!Q12</f>
        <v/>
      </c>
      <c r="R9" s="12">
        <f>R8*'Model Inputs'!R12</f>
        <v/>
      </c>
      <c r="S9" s="12">
        <f>S8*'Model Inputs'!S12</f>
        <v/>
      </c>
      <c r="T9" s="12">
        <f>T8*'Model Inputs'!T12</f>
        <v/>
      </c>
      <c r="U9" s="12">
        <f>U8*'Model Inputs'!U12</f>
        <v/>
      </c>
      <c r="V9" s="12">
        <f>V8*'Model Inputs'!V12</f>
        <v/>
      </c>
      <c r="W9" s="12">
        <f>W8*'Model Inputs'!W12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19" t="inlineStr">
        <is>
          <t>Gross Profit</t>
        </is>
      </c>
      <c r="B10" s="19" t="inlineStr">
        <is>
          <t>Formula</t>
        </is>
      </c>
      <c r="C10" s="20">
        <f>C8-C9</f>
        <v/>
      </c>
      <c r="D10" s="20">
        <f>D8-D9</f>
        <v/>
      </c>
      <c r="E10" s="20">
        <f>E8-E9</f>
        <v/>
      </c>
      <c r="F10" s="20">
        <f>F8-F9</f>
        <v/>
      </c>
      <c r="G10" s="20">
        <f>G8-G9</f>
        <v/>
      </c>
      <c r="H10" s="20">
        <f>H8-H9</f>
        <v/>
      </c>
      <c r="I10" s="20">
        <f>I8-I9</f>
        <v/>
      </c>
      <c r="J10" s="20">
        <f>J8-J9</f>
        <v/>
      </c>
      <c r="K10" s="20">
        <f>K8-K9</f>
        <v/>
      </c>
      <c r="L10" s="20">
        <f>L8-L9</f>
        <v/>
      </c>
      <c r="M10" s="20">
        <f>M8-M9</f>
        <v/>
      </c>
      <c r="N10" s="20">
        <f>N8-N9</f>
        <v/>
      </c>
      <c r="O10" s="20">
        <f>O8-O9</f>
        <v/>
      </c>
      <c r="P10" s="20">
        <f>P8-P9</f>
        <v/>
      </c>
      <c r="Q10" s="20">
        <f>Q8-Q9</f>
        <v/>
      </c>
      <c r="R10" s="20">
        <f>R8-R9</f>
        <v/>
      </c>
      <c r="S10" s="20">
        <f>S8-S9</f>
        <v/>
      </c>
      <c r="T10" s="20">
        <f>T8-T9</f>
        <v/>
      </c>
      <c r="U10" s="20">
        <f>U8-U9</f>
        <v/>
      </c>
      <c r="V10" s="20">
        <f>V8-V9</f>
        <v/>
      </c>
      <c r="W10" s="20">
        <f>W8-W9</f>
        <v/>
      </c>
      <c r="X10" s="20">
        <f>SUM(D10:G10)</f>
        <v/>
      </c>
      <c r="Y10" s="20">
        <f>SUM(H10:K10)</f>
        <v/>
      </c>
      <c r="Z10" s="20">
        <f>SUM(L10:O10)</f>
        <v/>
      </c>
      <c r="AA10" s="20">
        <f>SUM(P10:S10)</f>
        <v/>
      </c>
      <c r="AB10" s="20">
        <f>SUM(T10:W10)</f>
        <v/>
      </c>
    </row>
    <row r="11">
      <c r="A11" s="8" t="inlineStr">
        <is>
          <t>Marketing</t>
        </is>
      </c>
      <c r="B11" s="8" t="inlineStr">
        <is>
          <t>Formula</t>
        </is>
      </c>
      <c r="C11" s="12">
        <f>C8*'Model Inputs'!C13</f>
        <v/>
      </c>
      <c r="D11" s="12">
        <f>D8*'Model Inputs'!D13</f>
        <v/>
      </c>
      <c r="E11" s="12">
        <f>E8*'Model Inputs'!E13</f>
        <v/>
      </c>
      <c r="F11" s="12">
        <f>F8*'Model Inputs'!F13</f>
        <v/>
      </c>
      <c r="G11" s="12">
        <f>G8*'Model Inputs'!G13</f>
        <v/>
      </c>
      <c r="H11" s="12">
        <f>H8*'Model Inputs'!H13</f>
        <v/>
      </c>
      <c r="I11" s="12">
        <f>I8*'Model Inputs'!I13</f>
        <v/>
      </c>
      <c r="J11" s="12">
        <f>J8*'Model Inputs'!J13</f>
        <v/>
      </c>
      <c r="K11" s="12">
        <f>K8*'Model Inputs'!K13</f>
        <v/>
      </c>
      <c r="L11" s="12">
        <f>L8*'Model Inputs'!L13</f>
        <v/>
      </c>
      <c r="M11" s="12">
        <f>M8*'Model Inputs'!M13</f>
        <v/>
      </c>
      <c r="N11" s="12">
        <f>N8*'Model Inputs'!N13</f>
        <v/>
      </c>
      <c r="O11" s="12">
        <f>O8*'Model Inputs'!O13</f>
        <v/>
      </c>
      <c r="P11" s="12">
        <f>P8*'Model Inputs'!P13</f>
        <v/>
      </c>
      <c r="Q11" s="12">
        <f>Q8*'Model Inputs'!Q13</f>
        <v/>
      </c>
      <c r="R11" s="12">
        <f>R8*'Model Inputs'!R13</f>
        <v/>
      </c>
      <c r="S11" s="12">
        <f>S8*'Model Inputs'!S13</f>
        <v/>
      </c>
      <c r="T11" s="12">
        <f>T8*'Model Inputs'!T13</f>
        <v/>
      </c>
      <c r="U11" s="12">
        <f>U8*'Model Inputs'!U13</f>
        <v/>
      </c>
      <c r="V11" s="12">
        <f>V8*'Model Inputs'!V13</f>
        <v/>
      </c>
      <c r="W11" s="12">
        <f>W8*'Model Inputs'!W13</f>
        <v/>
      </c>
      <c r="X11" s="12">
        <f>SUM(D11:G11)</f>
        <v/>
      </c>
      <c r="Y11" s="12">
        <f>SUM(H11:K11)</f>
        <v/>
      </c>
      <c r="Z11" s="12">
        <f>SUM(L11:O11)</f>
        <v/>
      </c>
      <c r="AA11" s="12">
        <f>SUM(P11:S11)</f>
        <v/>
      </c>
      <c r="AB11" s="12">
        <f>SUM(T11:W11)</f>
        <v/>
      </c>
    </row>
    <row r="12">
      <c r="A12" s="8" t="inlineStr">
        <is>
          <t>Research &amp; Development</t>
        </is>
      </c>
      <c r="B12" s="8" t="inlineStr">
        <is>
          <t>Formula</t>
        </is>
      </c>
      <c r="C12" s="12">
        <f>C8*'Model Inputs'!C14</f>
        <v/>
      </c>
      <c r="D12" s="12">
        <f>D8*'Model Inputs'!D14</f>
        <v/>
      </c>
      <c r="E12" s="12">
        <f>E8*'Model Inputs'!E14</f>
        <v/>
      </c>
      <c r="F12" s="12">
        <f>F8*'Model Inputs'!F14</f>
        <v/>
      </c>
      <c r="G12" s="12">
        <f>G8*'Model Inputs'!G14</f>
        <v/>
      </c>
      <c r="H12" s="12">
        <f>H8*'Model Inputs'!H14</f>
        <v/>
      </c>
      <c r="I12" s="12">
        <f>I8*'Model Inputs'!I14</f>
        <v/>
      </c>
      <c r="J12" s="12">
        <f>J8*'Model Inputs'!J14</f>
        <v/>
      </c>
      <c r="K12" s="12">
        <f>K8*'Model Inputs'!K14</f>
        <v/>
      </c>
      <c r="L12" s="12">
        <f>L8*'Model Inputs'!L14</f>
        <v/>
      </c>
      <c r="M12" s="12">
        <f>M8*'Model Inputs'!M14</f>
        <v/>
      </c>
      <c r="N12" s="12">
        <f>N8*'Model Inputs'!N14</f>
        <v/>
      </c>
      <c r="O12" s="12">
        <f>O8*'Model Inputs'!O14</f>
        <v/>
      </c>
      <c r="P12" s="12">
        <f>P8*'Model Inputs'!P14</f>
        <v/>
      </c>
      <c r="Q12" s="12">
        <f>Q8*'Model Inputs'!Q14</f>
        <v/>
      </c>
      <c r="R12" s="12">
        <f>R8*'Model Inputs'!R14</f>
        <v/>
      </c>
      <c r="S12" s="12">
        <f>S8*'Model Inputs'!S14</f>
        <v/>
      </c>
      <c r="T12" s="12">
        <f>T8*'Model Inputs'!T14</f>
        <v/>
      </c>
      <c r="U12" s="12">
        <f>U8*'Model Inputs'!U14</f>
        <v/>
      </c>
      <c r="V12" s="12">
        <f>V8*'Model Inputs'!V14</f>
        <v/>
      </c>
      <c r="W12" s="12">
        <f>W8*'Model Inputs'!W14</f>
        <v/>
      </c>
      <c r="X12" s="12">
        <f>SUM(D12:G12)</f>
        <v/>
      </c>
      <c r="Y12" s="12">
        <f>SUM(H12:K12)</f>
        <v/>
      </c>
      <c r="Z12" s="12">
        <f>SUM(L12:O12)</f>
        <v/>
      </c>
      <c r="AA12" s="12">
        <f>SUM(P12:S12)</f>
        <v/>
      </c>
      <c r="AB12" s="12">
        <f>SUM(T12:W12)</f>
        <v/>
      </c>
    </row>
    <row r="13">
      <c r="A13" s="8" t="inlineStr">
        <is>
          <t>Lease/Rent</t>
        </is>
      </c>
      <c r="B13" s="8" t="inlineStr">
        <is>
          <t>Formula</t>
        </is>
      </c>
      <c r="C13" s="12">
        <f>'Model Inputs'!C15</f>
        <v/>
      </c>
      <c r="D13" s="12">
        <f>'Model Inputs'!D15</f>
        <v/>
      </c>
      <c r="E13" s="12">
        <f>'Model Inputs'!E15</f>
        <v/>
      </c>
      <c r="F13" s="12">
        <f>'Model Inputs'!F15</f>
        <v/>
      </c>
      <c r="G13" s="12">
        <f>'Model Inputs'!G15</f>
        <v/>
      </c>
      <c r="H13" s="12">
        <f>'Model Inputs'!H15</f>
        <v/>
      </c>
      <c r="I13" s="12">
        <f>'Model Inputs'!I15</f>
        <v/>
      </c>
      <c r="J13" s="12">
        <f>'Model Inputs'!J15</f>
        <v/>
      </c>
      <c r="K13" s="12">
        <f>'Model Inputs'!K15</f>
        <v/>
      </c>
      <c r="L13" s="12">
        <f>'Model Inputs'!L15</f>
        <v/>
      </c>
      <c r="M13" s="12">
        <f>'Model Inputs'!M15</f>
        <v/>
      </c>
      <c r="N13" s="12">
        <f>'Model Inputs'!N15</f>
        <v/>
      </c>
      <c r="O13" s="12">
        <f>'Model Inputs'!O15</f>
        <v/>
      </c>
      <c r="P13" s="12">
        <f>'Model Inputs'!P15</f>
        <v/>
      </c>
      <c r="Q13" s="12">
        <f>'Model Inputs'!Q15</f>
        <v/>
      </c>
      <c r="R13" s="12">
        <f>'Model Inputs'!R15</f>
        <v/>
      </c>
      <c r="S13" s="12">
        <f>'Model Inputs'!S15</f>
        <v/>
      </c>
      <c r="T13" s="12">
        <f>'Model Inputs'!T15</f>
        <v/>
      </c>
      <c r="U13" s="12">
        <f>'Model Inputs'!U15</f>
        <v/>
      </c>
      <c r="V13" s="12">
        <f>'Model Inputs'!V15</f>
        <v/>
      </c>
      <c r="W13" s="12">
        <f>'Model Inputs'!W15</f>
        <v/>
      </c>
      <c r="X13" s="12">
        <f>SUM(D13:G13)</f>
        <v/>
      </c>
      <c r="Y13" s="12">
        <f>SUM(H13:K13)</f>
        <v/>
      </c>
      <c r="Z13" s="12">
        <f>SUM(L13:O13)</f>
        <v/>
      </c>
      <c r="AA13" s="12">
        <f>SUM(P13:S13)</f>
        <v/>
      </c>
      <c r="AB13" s="12">
        <f>SUM(T13:W13)</f>
        <v/>
      </c>
    </row>
    <row r="14">
      <c r="A14" s="8" t="inlineStr">
        <is>
          <t>Payroll</t>
        </is>
      </c>
      <c r="B14" s="8" t="inlineStr">
        <is>
          <t>Formula</t>
        </is>
      </c>
      <c r="C14" s="12">
        <f>'Model Inputs'!C16</f>
        <v/>
      </c>
      <c r="D14" s="12">
        <f>'Model Inputs'!D16</f>
        <v/>
      </c>
      <c r="E14" s="12">
        <f>'Model Inputs'!E16</f>
        <v/>
      </c>
      <c r="F14" s="12">
        <f>'Model Inputs'!F16</f>
        <v/>
      </c>
      <c r="G14" s="12">
        <f>'Model Inputs'!G16</f>
        <v/>
      </c>
      <c r="H14" s="12">
        <f>'Model Inputs'!H16</f>
        <v/>
      </c>
      <c r="I14" s="12">
        <f>'Model Inputs'!I16</f>
        <v/>
      </c>
      <c r="J14" s="12">
        <f>'Model Inputs'!J16</f>
        <v/>
      </c>
      <c r="K14" s="12">
        <f>'Model Inputs'!K16</f>
        <v/>
      </c>
      <c r="L14" s="12">
        <f>'Model Inputs'!L16</f>
        <v/>
      </c>
      <c r="M14" s="12">
        <f>'Model Inputs'!M16</f>
        <v/>
      </c>
      <c r="N14" s="12">
        <f>'Model Inputs'!N16</f>
        <v/>
      </c>
      <c r="O14" s="12">
        <f>'Model Inputs'!O16</f>
        <v/>
      </c>
      <c r="P14" s="12">
        <f>'Model Inputs'!P16</f>
        <v/>
      </c>
      <c r="Q14" s="12">
        <f>'Model Inputs'!Q16</f>
        <v/>
      </c>
      <c r="R14" s="12">
        <f>'Model Inputs'!R16</f>
        <v/>
      </c>
      <c r="S14" s="12">
        <f>'Model Inputs'!S16</f>
        <v/>
      </c>
      <c r="T14" s="12">
        <f>'Model Inputs'!T16</f>
        <v/>
      </c>
      <c r="U14" s="12">
        <f>'Model Inputs'!U16</f>
        <v/>
      </c>
      <c r="V14" s="12">
        <f>'Model Inputs'!V16</f>
        <v/>
      </c>
      <c r="W14" s="12">
        <f>'Model Inputs'!W16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5">
      <c r="A15" s="8" t="inlineStr">
        <is>
          <t>General &amp; Administrative</t>
        </is>
      </c>
      <c r="B15" s="8" t="inlineStr">
        <is>
          <t>Formula</t>
        </is>
      </c>
      <c r="C15" s="12">
        <f>C8*'Model Inputs'!C17</f>
        <v/>
      </c>
      <c r="D15" s="12">
        <f>D8*'Model Inputs'!D17</f>
        <v/>
      </c>
      <c r="E15" s="12">
        <f>E8*'Model Inputs'!E17</f>
        <v/>
      </c>
      <c r="F15" s="12">
        <f>F8*'Model Inputs'!F17</f>
        <v/>
      </c>
      <c r="G15" s="12">
        <f>G8*'Model Inputs'!G17</f>
        <v/>
      </c>
      <c r="H15" s="12">
        <f>H8*'Model Inputs'!H17</f>
        <v/>
      </c>
      <c r="I15" s="12">
        <f>I8*'Model Inputs'!I17</f>
        <v/>
      </c>
      <c r="J15" s="12">
        <f>J8*'Model Inputs'!J17</f>
        <v/>
      </c>
      <c r="K15" s="12">
        <f>K8*'Model Inputs'!K17</f>
        <v/>
      </c>
      <c r="L15" s="12">
        <f>L8*'Model Inputs'!L17</f>
        <v/>
      </c>
      <c r="M15" s="12">
        <f>M8*'Model Inputs'!M17</f>
        <v/>
      </c>
      <c r="N15" s="12">
        <f>N8*'Model Inputs'!N17</f>
        <v/>
      </c>
      <c r="O15" s="12">
        <f>O8*'Model Inputs'!O17</f>
        <v/>
      </c>
      <c r="P15" s="12">
        <f>P8*'Model Inputs'!P17</f>
        <v/>
      </c>
      <c r="Q15" s="12">
        <f>Q8*'Model Inputs'!Q17</f>
        <v/>
      </c>
      <c r="R15" s="12">
        <f>R8*'Model Inputs'!R17</f>
        <v/>
      </c>
      <c r="S15" s="12">
        <f>S8*'Model Inputs'!S17</f>
        <v/>
      </c>
      <c r="T15" s="12">
        <f>T8*'Model Inputs'!T17</f>
        <v/>
      </c>
      <c r="U15" s="12">
        <f>U8*'Model Inputs'!U17</f>
        <v/>
      </c>
      <c r="V15" s="12">
        <f>V8*'Model Inputs'!V17</f>
        <v/>
      </c>
      <c r="W15" s="12">
        <f>W8*'Model Inputs'!W17</f>
        <v/>
      </c>
      <c r="X15" s="12">
        <f>SUM(D15:G15)</f>
        <v/>
      </c>
      <c r="Y15" s="12">
        <f>SUM(H15:K15)</f>
        <v/>
      </c>
      <c r="Z15" s="12">
        <f>SUM(L15:O15)</f>
        <v/>
      </c>
      <c r="AA15" s="12">
        <f>SUM(P15:S15)</f>
        <v/>
      </c>
      <c r="AB15" s="12">
        <f>SUM(T15:W15)</f>
        <v/>
      </c>
    </row>
    <row r="16">
      <c r="A16" s="19" t="inlineStr">
        <is>
          <t>EBITDA</t>
        </is>
      </c>
      <c r="B16" s="19" t="inlineStr">
        <is>
          <t>Formula</t>
        </is>
      </c>
      <c r="C16" s="20">
        <f>C10-SUM(C11:C15)</f>
        <v/>
      </c>
      <c r="D16" s="20">
        <f>D10-SUM(D11:D15)</f>
        <v/>
      </c>
      <c r="E16" s="20">
        <f>E10-SUM(E11:E15)</f>
        <v/>
      </c>
      <c r="F16" s="20">
        <f>F10-SUM(F11:F15)</f>
        <v/>
      </c>
      <c r="G16" s="20">
        <f>G10-SUM(G11:G15)</f>
        <v/>
      </c>
      <c r="H16" s="20">
        <f>H10-SUM(H11:H15)</f>
        <v/>
      </c>
      <c r="I16" s="20">
        <f>I10-SUM(I11:I15)</f>
        <v/>
      </c>
      <c r="J16" s="20">
        <f>J10-SUM(J11:J15)</f>
        <v/>
      </c>
      <c r="K16" s="20">
        <f>K10-SUM(K11:K15)</f>
        <v/>
      </c>
      <c r="L16" s="20">
        <f>L10-SUM(L11:L15)</f>
        <v/>
      </c>
      <c r="M16" s="20">
        <f>M10-SUM(M11:M15)</f>
        <v/>
      </c>
      <c r="N16" s="20">
        <f>N10-SUM(N11:N15)</f>
        <v/>
      </c>
      <c r="O16" s="20">
        <f>O10-SUM(O11:O15)</f>
        <v/>
      </c>
      <c r="P16" s="20">
        <f>P10-SUM(P11:P15)</f>
        <v/>
      </c>
      <c r="Q16" s="20">
        <f>Q10-SUM(Q11:Q15)</f>
        <v/>
      </c>
      <c r="R16" s="20">
        <f>R10-SUM(R11:R15)</f>
        <v/>
      </c>
      <c r="S16" s="20">
        <f>S10-SUM(S11:S15)</f>
        <v/>
      </c>
      <c r="T16" s="20">
        <f>T10-SUM(T11:T15)</f>
        <v/>
      </c>
      <c r="U16" s="20">
        <f>U10-SUM(U11:U15)</f>
        <v/>
      </c>
      <c r="V16" s="20">
        <f>V10-SUM(V11:V15)</f>
        <v/>
      </c>
      <c r="W16" s="20">
        <f>W10-SUM(W11:W15)</f>
        <v/>
      </c>
      <c r="X16" s="20">
        <f>SUM(D16:G16)</f>
        <v/>
      </c>
      <c r="Y16" s="20">
        <f>SUM(H16:K16)</f>
        <v/>
      </c>
      <c r="Z16" s="20">
        <f>SUM(L16:O16)</f>
        <v/>
      </c>
      <c r="AA16" s="20">
        <f>SUM(P16:S16)</f>
        <v/>
      </c>
      <c r="AB16" s="20">
        <f>SUM(T16:W16)</f>
        <v/>
      </c>
    </row>
    <row r="17">
      <c r="A17" s="8" t="inlineStr">
        <is>
          <t>Interest</t>
        </is>
      </c>
      <c r="B17" s="8" t="inlineStr">
        <is>
          <t>Formula</t>
        </is>
      </c>
      <c r="C17" s="12">
        <f>'Model Inputs'!C19+'Model Inputs'!C48</f>
        <v/>
      </c>
      <c r="D17" s="12">
        <f>'Model Inputs'!D19+'Model Inputs'!D48</f>
        <v/>
      </c>
      <c r="E17" s="12">
        <f>'Model Inputs'!E19+'Model Inputs'!E48</f>
        <v/>
      </c>
      <c r="F17" s="12">
        <f>'Model Inputs'!F19+'Model Inputs'!F48</f>
        <v/>
      </c>
      <c r="G17" s="12">
        <f>'Model Inputs'!G19+'Model Inputs'!G48</f>
        <v/>
      </c>
      <c r="H17" s="12">
        <f>'Model Inputs'!H19+'Model Inputs'!H48</f>
        <v/>
      </c>
      <c r="I17" s="12">
        <f>'Model Inputs'!I19+'Model Inputs'!I48</f>
        <v/>
      </c>
      <c r="J17" s="12">
        <f>'Model Inputs'!J19+'Model Inputs'!J48</f>
        <v/>
      </c>
      <c r="K17" s="12">
        <f>'Model Inputs'!K19+'Model Inputs'!K48</f>
        <v/>
      </c>
      <c r="L17" s="12">
        <f>'Model Inputs'!L19+'Model Inputs'!L48</f>
        <v/>
      </c>
      <c r="M17" s="12">
        <f>'Model Inputs'!M19+'Model Inputs'!M48</f>
        <v/>
      </c>
      <c r="N17" s="12">
        <f>'Model Inputs'!N19+'Model Inputs'!N48</f>
        <v/>
      </c>
      <c r="O17" s="12">
        <f>'Model Inputs'!O19+'Model Inputs'!O48</f>
        <v/>
      </c>
      <c r="P17" s="12">
        <f>'Model Inputs'!P19+'Model Inputs'!P48</f>
        <v/>
      </c>
      <c r="Q17" s="12">
        <f>'Model Inputs'!Q19+'Model Inputs'!Q48</f>
        <v/>
      </c>
      <c r="R17" s="12">
        <f>'Model Inputs'!R19+'Model Inputs'!R48</f>
        <v/>
      </c>
      <c r="S17" s="12">
        <f>'Model Inputs'!S19+'Model Inputs'!S48</f>
        <v/>
      </c>
      <c r="T17" s="12">
        <f>'Model Inputs'!T19+'Model Inputs'!T48</f>
        <v/>
      </c>
      <c r="U17" s="12">
        <f>'Model Inputs'!U19+'Model Inputs'!U48</f>
        <v/>
      </c>
      <c r="V17" s="12">
        <f>'Model Inputs'!V19+'Model Inputs'!V48</f>
        <v/>
      </c>
      <c r="W17" s="12">
        <f>'Model Inputs'!W19+'Model Inputs'!W48</f>
        <v/>
      </c>
      <c r="X17" s="12">
        <f>SUM(D17:G17)</f>
        <v/>
      </c>
      <c r="Y17" s="12">
        <f>SUM(H17:K17)</f>
        <v/>
      </c>
      <c r="Z17" s="12">
        <f>SUM(L17:O17)</f>
        <v/>
      </c>
      <c r="AA17" s="12">
        <f>SUM(P17:S17)</f>
        <v/>
      </c>
      <c r="AB17" s="12">
        <f>SUM(T17:W17)</f>
        <v/>
      </c>
    </row>
    <row r="18">
      <c r="A18" s="8" t="inlineStr">
        <is>
          <t>Depreciation</t>
        </is>
      </c>
      <c r="B18" s="8" t="inlineStr">
        <is>
          <t>Formula</t>
        </is>
      </c>
      <c r="C18" s="12">
        <f>'Model Inputs'!C21+'Model Inputs'!C51</f>
        <v/>
      </c>
      <c r="D18" s="12">
        <f>'Model Inputs'!D21+'Model Inputs'!D51</f>
        <v/>
      </c>
      <c r="E18" s="12">
        <f>'Model Inputs'!E21+'Model Inputs'!E51</f>
        <v/>
      </c>
      <c r="F18" s="12">
        <f>'Model Inputs'!F21+'Model Inputs'!F51</f>
        <v/>
      </c>
      <c r="G18" s="12">
        <f>'Model Inputs'!G21+'Model Inputs'!G51</f>
        <v/>
      </c>
      <c r="H18" s="12">
        <f>'Model Inputs'!H21+'Model Inputs'!H51</f>
        <v/>
      </c>
      <c r="I18" s="12">
        <f>'Model Inputs'!I21+'Model Inputs'!I51</f>
        <v/>
      </c>
      <c r="J18" s="12">
        <f>'Model Inputs'!J21+'Model Inputs'!J51</f>
        <v/>
      </c>
      <c r="K18" s="12">
        <f>'Model Inputs'!K21+'Model Inputs'!K51</f>
        <v/>
      </c>
      <c r="L18" s="12">
        <f>'Model Inputs'!L21+'Model Inputs'!L51</f>
        <v/>
      </c>
      <c r="M18" s="12">
        <f>'Model Inputs'!M21+'Model Inputs'!M51</f>
        <v/>
      </c>
      <c r="N18" s="12">
        <f>'Model Inputs'!N21+'Model Inputs'!N51</f>
        <v/>
      </c>
      <c r="O18" s="12">
        <f>'Model Inputs'!O21+'Model Inputs'!O51</f>
        <v/>
      </c>
      <c r="P18" s="12">
        <f>'Model Inputs'!P21+'Model Inputs'!P51</f>
        <v/>
      </c>
      <c r="Q18" s="12">
        <f>'Model Inputs'!Q21+'Model Inputs'!Q51</f>
        <v/>
      </c>
      <c r="R18" s="12">
        <f>'Model Inputs'!R21+'Model Inputs'!R51</f>
        <v/>
      </c>
      <c r="S18" s="12">
        <f>'Model Inputs'!S21+'Model Inputs'!S51</f>
        <v/>
      </c>
      <c r="T18" s="12">
        <f>'Model Inputs'!T21+'Model Inputs'!T51</f>
        <v/>
      </c>
      <c r="U18" s="12">
        <f>'Model Inputs'!U21+'Model Inputs'!U51</f>
        <v/>
      </c>
      <c r="V18" s="12">
        <f>'Model Inputs'!V21+'Model Inputs'!V51</f>
        <v/>
      </c>
      <c r="W18" s="12">
        <f>'Model Inputs'!W21+'Model Inputs'!W51</f>
        <v/>
      </c>
      <c r="X18" s="12">
        <f>SUM(D18:G18)</f>
        <v/>
      </c>
      <c r="Y18" s="12">
        <f>SUM(H18:K18)</f>
        <v/>
      </c>
      <c r="Z18" s="12">
        <f>SUM(L18:O18)</f>
        <v/>
      </c>
      <c r="AA18" s="12">
        <f>SUM(P18:S18)</f>
        <v/>
      </c>
      <c r="AB18" s="12">
        <f>SUM(T18:W18)</f>
        <v/>
      </c>
    </row>
    <row r="19">
      <c r="A19" s="8" t="inlineStr">
        <is>
          <t>Taxes</t>
        </is>
      </c>
      <c r="B19" s="8" t="inlineStr">
        <is>
          <t>Formula</t>
        </is>
      </c>
      <c r="C19" s="12">
        <f>MAX(0,C16-C17-C18)*'Model Inputs'!C22</f>
        <v/>
      </c>
      <c r="D19" s="12">
        <f>MAX(0,D16-D17-D18)*'Model Inputs'!D22</f>
        <v/>
      </c>
      <c r="E19" s="12">
        <f>MAX(0,E16-E17-E18)*'Model Inputs'!E22</f>
        <v/>
      </c>
      <c r="F19" s="12">
        <f>MAX(0,F16-F17-F18)*'Model Inputs'!F22</f>
        <v/>
      </c>
      <c r="G19" s="12">
        <f>MAX(0,G16-G17-G18)*'Model Inputs'!G22</f>
        <v/>
      </c>
      <c r="H19" s="12">
        <f>MAX(0,H16-H17-H18)*'Model Inputs'!H22</f>
        <v/>
      </c>
      <c r="I19" s="12">
        <f>MAX(0,I16-I17-I18)*'Model Inputs'!I22</f>
        <v/>
      </c>
      <c r="J19" s="12">
        <f>MAX(0,J16-J17-J18)*'Model Inputs'!J22</f>
        <v/>
      </c>
      <c r="K19" s="12">
        <f>MAX(0,K16-K17-K18)*'Model Inputs'!K22</f>
        <v/>
      </c>
      <c r="L19" s="12">
        <f>MAX(0,L16-L17-L18)*'Model Inputs'!L22</f>
        <v/>
      </c>
      <c r="M19" s="12">
        <f>MAX(0,M16-M17-M18)*'Model Inputs'!M22</f>
        <v/>
      </c>
      <c r="N19" s="12">
        <f>MAX(0,N16-N17-N18)*'Model Inputs'!N22</f>
        <v/>
      </c>
      <c r="O19" s="12">
        <f>MAX(0,O16-O17-O18)*'Model Inputs'!O22</f>
        <v/>
      </c>
      <c r="P19" s="12">
        <f>MAX(0,P16-P17-P18)*'Model Inputs'!P22</f>
        <v/>
      </c>
      <c r="Q19" s="12">
        <f>MAX(0,Q16-Q17-Q18)*'Model Inputs'!Q22</f>
        <v/>
      </c>
      <c r="R19" s="12">
        <f>MAX(0,R16-R17-R18)*'Model Inputs'!R22</f>
        <v/>
      </c>
      <c r="S19" s="12">
        <f>MAX(0,S16-S17-S18)*'Model Inputs'!S22</f>
        <v/>
      </c>
      <c r="T19" s="12">
        <f>MAX(0,T16-T17-T18)*'Model Inputs'!T22</f>
        <v/>
      </c>
      <c r="U19" s="12">
        <f>MAX(0,U16-U17-U18)*'Model Inputs'!U22</f>
        <v/>
      </c>
      <c r="V19" s="12">
        <f>MAX(0,V16-V17-V18)*'Model Inputs'!V22</f>
        <v/>
      </c>
      <c r="W19" s="12">
        <f>MAX(0,W16-W17-W18)*'Model Inputs'!W22</f>
        <v/>
      </c>
      <c r="X19" s="12">
        <f>SUM(D19:G19)</f>
        <v/>
      </c>
      <c r="Y19" s="12">
        <f>SUM(H19:K19)</f>
        <v/>
      </c>
      <c r="Z19" s="12">
        <f>SUM(L19:O19)</f>
        <v/>
      </c>
      <c r="AA19" s="12">
        <f>SUM(P19:S19)</f>
        <v/>
      </c>
      <c r="AB19" s="12">
        <f>SUM(T19:W19)</f>
        <v/>
      </c>
    </row>
    <row r="20">
      <c r="A20" s="19" t="inlineStr">
        <is>
          <t>Net Income</t>
        </is>
      </c>
      <c r="B20" s="19" t="inlineStr">
        <is>
          <t>Formula</t>
        </is>
      </c>
      <c r="C20" s="20">
        <f>C16-SUM(C17:C19)</f>
        <v/>
      </c>
      <c r="D20" s="20">
        <f>D16-SUM(D17:D19)</f>
        <v/>
      </c>
      <c r="E20" s="20">
        <f>E16-SUM(E17:E19)</f>
        <v/>
      </c>
      <c r="F20" s="20">
        <f>F16-SUM(F17:F19)</f>
        <v/>
      </c>
      <c r="G20" s="20">
        <f>G16-SUM(G17:G19)</f>
        <v/>
      </c>
      <c r="H20" s="20">
        <f>H16-SUM(H17:H19)</f>
        <v/>
      </c>
      <c r="I20" s="20">
        <f>I16-SUM(I17:I19)</f>
        <v/>
      </c>
      <c r="J20" s="20">
        <f>J16-SUM(J17:J19)</f>
        <v/>
      </c>
      <c r="K20" s="20">
        <f>K16-SUM(K17:K19)</f>
        <v/>
      </c>
      <c r="L20" s="20">
        <f>L16-SUM(L17:L19)</f>
        <v/>
      </c>
      <c r="M20" s="20">
        <f>M16-SUM(M17:M19)</f>
        <v/>
      </c>
      <c r="N20" s="20">
        <f>N16-SUM(N17:N19)</f>
        <v/>
      </c>
      <c r="O20" s="20">
        <f>O16-SUM(O17:O19)</f>
        <v/>
      </c>
      <c r="P20" s="20">
        <f>P16-SUM(P17:P19)</f>
        <v/>
      </c>
      <c r="Q20" s="20">
        <f>Q16-SUM(Q17:Q19)</f>
        <v/>
      </c>
      <c r="R20" s="20">
        <f>R16-SUM(R17:R19)</f>
        <v/>
      </c>
      <c r="S20" s="20">
        <f>S16-SUM(S17:S19)</f>
        <v/>
      </c>
      <c r="T20" s="20">
        <f>T16-SUM(T17:T19)</f>
        <v/>
      </c>
      <c r="U20" s="20">
        <f>U16-SUM(U17:U19)</f>
        <v/>
      </c>
      <c r="V20" s="20">
        <f>V16-SUM(V17:V19)</f>
        <v/>
      </c>
      <c r="W20" s="20">
        <f>W16-SUM(W17:W19)</f>
        <v/>
      </c>
      <c r="X20" s="20">
        <f>SUM(D20:G20)</f>
        <v/>
      </c>
      <c r="Y20" s="20">
        <f>SUM(H20:K20)</f>
        <v/>
      </c>
      <c r="Z20" s="20">
        <f>SUM(L20:O20)</f>
        <v/>
      </c>
      <c r="AA20" s="20">
        <f>SUM(P20:S20)</f>
        <v/>
      </c>
      <c r="AB20" s="20">
        <f>SUM(T20:W20)</f>
        <v/>
      </c>
    </row>
    <row r="22">
      <c r="A22" s="7" t="inlineStr">
        <is>
          <t>Balance Sheet</t>
        </is>
      </c>
    </row>
    <row r="23">
      <c r="A23" s="8" t="inlineStr">
        <is>
          <t>Cash</t>
        </is>
      </c>
      <c r="B23" s="8" t="inlineStr">
        <is>
          <t>Formula</t>
        </is>
      </c>
      <c r="C23" s="12">
        <f>C61</f>
        <v/>
      </c>
      <c r="D23" s="12">
        <f>D61</f>
        <v/>
      </c>
      <c r="E23" s="12">
        <f>E61</f>
        <v/>
      </c>
      <c r="F23" s="12">
        <f>F61</f>
        <v/>
      </c>
      <c r="G23" s="12">
        <f>G61</f>
        <v/>
      </c>
      <c r="H23" s="12">
        <f>H61</f>
        <v/>
      </c>
      <c r="I23" s="12">
        <f>I61</f>
        <v/>
      </c>
      <c r="J23" s="12">
        <f>J61</f>
        <v/>
      </c>
      <c r="K23" s="12">
        <f>K61</f>
        <v/>
      </c>
      <c r="L23" s="12">
        <f>L61</f>
        <v/>
      </c>
      <c r="M23" s="12">
        <f>M61</f>
        <v/>
      </c>
      <c r="N23" s="12">
        <f>N61</f>
        <v/>
      </c>
      <c r="O23" s="12">
        <f>O61</f>
        <v/>
      </c>
      <c r="P23" s="12">
        <f>P61</f>
        <v/>
      </c>
      <c r="Q23" s="12">
        <f>Q61</f>
        <v/>
      </c>
      <c r="R23" s="12">
        <f>R61</f>
        <v/>
      </c>
      <c r="S23" s="12">
        <f>S61</f>
        <v/>
      </c>
      <c r="T23" s="12">
        <f>T61</f>
        <v/>
      </c>
      <c r="U23" s="12">
        <f>U61</f>
        <v/>
      </c>
      <c r="V23" s="12">
        <f>V61</f>
        <v/>
      </c>
      <c r="W23" s="12">
        <f>W61</f>
        <v/>
      </c>
      <c r="X23" s="12">
        <f>G23</f>
        <v/>
      </c>
      <c r="Y23" s="12">
        <f>K23</f>
        <v/>
      </c>
      <c r="Z23" s="12">
        <f>O23</f>
        <v/>
      </c>
      <c r="AA23" s="12">
        <f>S23</f>
        <v/>
      </c>
      <c r="AB23" s="12">
        <f>W23</f>
        <v/>
      </c>
    </row>
    <row r="24">
      <c r="A24" s="8" t="inlineStr">
        <is>
          <t>Accounts Receivable</t>
        </is>
      </c>
      <c r="B24" s="8" t="inlineStr">
        <is>
          <t>Formula</t>
        </is>
      </c>
      <c r="C24" s="12">
        <f>'Model Inputs'!C37</f>
        <v/>
      </c>
      <c r="D24" s="12">
        <f>('Model Inputs'!D25/D6)*D8</f>
        <v/>
      </c>
      <c r="E24" s="12">
        <f>('Model Inputs'!E25/E6)*E8</f>
        <v/>
      </c>
      <c r="F24" s="12">
        <f>('Model Inputs'!F25/F6)*F8</f>
        <v/>
      </c>
      <c r="G24" s="12">
        <f>('Model Inputs'!G25/G6)*G8</f>
        <v/>
      </c>
      <c r="H24" s="12">
        <f>('Model Inputs'!H25/H6)*H8</f>
        <v/>
      </c>
      <c r="I24" s="12">
        <f>('Model Inputs'!I25/I6)*I8</f>
        <v/>
      </c>
      <c r="J24" s="12">
        <f>('Model Inputs'!J25/J6)*J8</f>
        <v/>
      </c>
      <c r="K24" s="12">
        <f>('Model Inputs'!K25/K6)*K8</f>
        <v/>
      </c>
      <c r="L24" s="12">
        <f>('Model Inputs'!L25/L6)*L8</f>
        <v/>
      </c>
      <c r="M24" s="12">
        <f>('Model Inputs'!M25/M6)*M8</f>
        <v/>
      </c>
      <c r="N24" s="12">
        <f>('Model Inputs'!N25/N6)*N8</f>
        <v/>
      </c>
      <c r="O24" s="12">
        <f>('Model Inputs'!O25/O6)*O8</f>
        <v/>
      </c>
      <c r="P24" s="12">
        <f>('Model Inputs'!P25/P6)*P8</f>
        <v/>
      </c>
      <c r="Q24" s="12">
        <f>('Model Inputs'!Q25/Q6)*Q8</f>
        <v/>
      </c>
      <c r="R24" s="12">
        <f>('Model Inputs'!R25/R6)*R8</f>
        <v/>
      </c>
      <c r="S24" s="12">
        <f>('Model Inputs'!S25/S6)*S8</f>
        <v/>
      </c>
      <c r="T24" s="12">
        <f>('Model Inputs'!T25/T6)*T8</f>
        <v/>
      </c>
      <c r="U24" s="12">
        <f>('Model Inputs'!U25/U6)*U8</f>
        <v/>
      </c>
      <c r="V24" s="12">
        <f>('Model Inputs'!V25/V6)*V8</f>
        <v/>
      </c>
      <c r="W24" s="12">
        <f>('Model Inputs'!W25/W6)*W8</f>
        <v/>
      </c>
      <c r="X24" s="12">
        <f>G24</f>
        <v/>
      </c>
      <c r="Y24" s="12">
        <f>K24</f>
        <v/>
      </c>
      <c r="Z24" s="12">
        <f>O24</f>
        <v/>
      </c>
      <c r="AA24" s="12">
        <f>S24</f>
        <v/>
      </c>
      <c r="AB24" s="12">
        <f>W24</f>
        <v/>
      </c>
    </row>
    <row r="25">
      <c r="A25" s="8" t="inlineStr">
        <is>
          <t>Inventory</t>
        </is>
      </c>
      <c r="B25" s="8" t="inlineStr">
        <is>
          <t>Formula</t>
        </is>
      </c>
      <c r="C25" s="12">
        <f>'Model Inputs'!C38</f>
        <v/>
      </c>
      <c r="D25" s="12">
        <f>('Model Inputs'!D26/D6)*D9</f>
        <v/>
      </c>
      <c r="E25" s="12">
        <f>('Model Inputs'!E26/E6)*E9</f>
        <v/>
      </c>
      <c r="F25" s="12">
        <f>('Model Inputs'!F26/F6)*F9</f>
        <v/>
      </c>
      <c r="G25" s="12">
        <f>('Model Inputs'!G26/G6)*G9</f>
        <v/>
      </c>
      <c r="H25" s="12">
        <f>('Model Inputs'!H26/H6)*H9</f>
        <v/>
      </c>
      <c r="I25" s="12">
        <f>('Model Inputs'!I26/I6)*I9</f>
        <v/>
      </c>
      <c r="J25" s="12">
        <f>('Model Inputs'!J26/J6)*J9</f>
        <v/>
      </c>
      <c r="K25" s="12">
        <f>('Model Inputs'!K26/K6)*K9</f>
        <v/>
      </c>
      <c r="L25" s="12">
        <f>('Model Inputs'!L26/L6)*L9</f>
        <v/>
      </c>
      <c r="M25" s="12">
        <f>('Model Inputs'!M26/M6)*M9</f>
        <v/>
      </c>
      <c r="N25" s="12">
        <f>('Model Inputs'!N26/N6)*N9</f>
        <v/>
      </c>
      <c r="O25" s="12">
        <f>('Model Inputs'!O26/O6)*O9</f>
        <v/>
      </c>
      <c r="P25" s="12">
        <f>('Model Inputs'!P26/P6)*P9</f>
        <v/>
      </c>
      <c r="Q25" s="12">
        <f>('Model Inputs'!Q26/Q6)*Q9</f>
        <v/>
      </c>
      <c r="R25" s="12">
        <f>('Model Inputs'!R26/R6)*R9</f>
        <v/>
      </c>
      <c r="S25" s="12">
        <f>('Model Inputs'!S26/S6)*S9</f>
        <v/>
      </c>
      <c r="T25" s="12">
        <f>('Model Inputs'!T26/T6)*T9</f>
        <v/>
      </c>
      <c r="U25" s="12">
        <f>('Model Inputs'!U26/U6)*U9</f>
        <v/>
      </c>
      <c r="V25" s="12">
        <f>('Model Inputs'!V26/V6)*V9</f>
        <v/>
      </c>
      <c r="W25" s="12">
        <f>('Model Inputs'!W26/W6)*W9</f>
        <v/>
      </c>
      <c r="X25" s="12">
        <f>G25</f>
        <v/>
      </c>
      <c r="Y25" s="12">
        <f>K25</f>
        <v/>
      </c>
      <c r="Z25" s="12">
        <f>O25</f>
        <v/>
      </c>
      <c r="AA25" s="12">
        <f>S25</f>
        <v/>
      </c>
      <c r="AB25" s="12">
        <f>W25</f>
        <v/>
      </c>
    </row>
    <row r="26">
      <c r="A26" s="8" t="inlineStr">
        <is>
          <t>Prepaid Expenses</t>
        </is>
      </c>
      <c r="B26" s="8" t="inlineStr">
        <is>
          <t>Formula</t>
        </is>
      </c>
      <c r="C26" s="12">
        <f>0</f>
        <v/>
      </c>
      <c r="D26" s="12">
        <f>D8*'Model Inputs'!D28</f>
        <v/>
      </c>
      <c r="E26" s="12">
        <f>E8*'Model Inputs'!E28</f>
        <v/>
      </c>
      <c r="F26" s="12">
        <f>F8*'Model Inputs'!F28</f>
        <v/>
      </c>
      <c r="G26" s="12">
        <f>G8*'Model Inputs'!G28</f>
        <v/>
      </c>
      <c r="H26" s="12">
        <f>H8*'Model Inputs'!H28</f>
        <v/>
      </c>
      <c r="I26" s="12">
        <f>I8*'Model Inputs'!I28</f>
        <v/>
      </c>
      <c r="J26" s="12">
        <f>J8*'Model Inputs'!J28</f>
        <v/>
      </c>
      <c r="K26" s="12">
        <f>K8*'Model Inputs'!K28</f>
        <v/>
      </c>
      <c r="L26" s="12">
        <f>L8*'Model Inputs'!L28</f>
        <v/>
      </c>
      <c r="M26" s="12">
        <f>M8*'Model Inputs'!M28</f>
        <v/>
      </c>
      <c r="N26" s="12">
        <f>N8*'Model Inputs'!N28</f>
        <v/>
      </c>
      <c r="O26" s="12">
        <f>O8*'Model Inputs'!O28</f>
        <v/>
      </c>
      <c r="P26" s="12">
        <f>P8*'Model Inputs'!P28</f>
        <v/>
      </c>
      <c r="Q26" s="12">
        <f>Q8*'Model Inputs'!Q28</f>
        <v/>
      </c>
      <c r="R26" s="12">
        <f>R8*'Model Inputs'!R28</f>
        <v/>
      </c>
      <c r="S26" s="12">
        <f>S8*'Model Inputs'!S28</f>
        <v/>
      </c>
      <c r="T26" s="12">
        <f>T8*'Model Inputs'!T28</f>
        <v/>
      </c>
      <c r="U26" s="12">
        <f>U8*'Model Inputs'!U28</f>
        <v/>
      </c>
      <c r="V26" s="12">
        <f>V8*'Model Inputs'!V28</f>
        <v/>
      </c>
      <c r="W26" s="12">
        <f>W8*'Model Inputs'!W28</f>
        <v/>
      </c>
      <c r="X26" s="12">
        <f>G26</f>
        <v/>
      </c>
      <c r="Y26" s="12">
        <f>K26</f>
        <v/>
      </c>
      <c r="Z26" s="12">
        <f>O26</f>
        <v/>
      </c>
      <c r="AA26" s="12">
        <f>S26</f>
        <v/>
      </c>
      <c r="AB26" s="12">
        <f>W26</f>
        <v/>
      </c>
    </row>
    <row r="27">
      <c r="A27" s="19" t="inlineStr">
        <is>
          <t>Current Assets</t>
        </is>
      </c>
      <c r="B27" s="19" t="inlineStr">
        <is>
          <t>Formula</t>
        </is>
      </c>
      <c r="C27" s="20">
        <f>SUM(C23:C26)</f>
        <v/>
      </c>
      <c r="D27" s="20">
        <f>SUM(D23:D26)</f>
        <v/>
      </c>
      <c r="E27" s="20">
        <f>SUM(E23:E26)</f>
        <v/>
      </c>
      <c r="F27" s="20">
        <f>SUM(F23:F26)</f>
        <v/>
      </c>
      <c r="G27" s="20">
        <f>SUM(G23:G26)</f>
        <v/>
      </c>
      <c r="H27" s="20">
        <f>SUM(H23:H26)</f>
        <v/>
      </c>
      <c r="I27" s="20">
        <f>SUM(I23:I26)</f>
        <v/>
      </c>
      <c r="J27" s="20">
        <f>SUM(J23:J26)</f>
        <v/>
      </c>
      <c r="K27" s="20">
        <f>SUM(K23:K26)</f>
        <v/>
      </c>
      <c r="L27" s="20">
        <f>SUM(L23:L26)</f>
        <v/>
      </c>
      <c r="M27" s="20">
        <f>SUM(M23:M26)</f>
        <v/>
      </c>
      <c r="N27" s="20">
        <f>SUM(N23:N26)</f>
        <v/>
      </c>
      <c r="O27" s="20">
        <f>SUM(O23:O26)</f>
        <v/>
      </c>
      <c r="P27" s="20">
        <f>SUM(P23:P26)</f>
        <v/>
      </c>
      <c r="Q27" s="20">
        <f>SUM(Q23:Q26)</f>
        <v/>
      </c>
      <c r="R27" s="20">
        <f>SUM(R23:R26)</f>
        <v/>
      </c>
      <c r="S27" s="20">
        <f>SUM(S23:S26)</f>
        <v/>
      </c>
      <c r="T27" s="20">
        <f>SUM(T23:T26)</f>
        <v/>
      </c>
      <c r="U27" s="20">
        <f>SUM(U23:U26)</f>
        <v/>
      </c>
      <c r="V27" s="20">
        <f>SUM(V23:V26)</f>
        <v/>
      </c>
      <c r="W27" s="20">
        <f>SUM(W23:W26)</f>
        <v/>
      </c>
      <c r="X27" s="20">
        <f>G27</f>
        <v/>
      </c>
      <c r="Y27" s="20">
        <f>K27</f>
        <v/>
      </c>
      <c r="Z27" s="20">
        <f>O27</f>
        <v/>
      </c>
      <c r="AA27" s="20">
        <f>S27</f>
        <v/>
      </c>
      <c r="AB27" s="20">
        <f>W27</f>
        <v/>
      </c>
    </row>
    <row r="28">
      <c r="A28" s="8" t="inlineStr">
        <is>
          <t>PPE</t>
        </is>
      </c>
      <c r="B28" s="8" t="inlineStr">
        <is>
          <t>Formula</t>
        </is>
      </c>
      <c r="C28" s="12">
        <f>'Model Inputs'!C53</f>
        <v/>
      </c>
      <c r="D28" s="12">
        <f>'Model Inputs'!D53</f>
        <v/>
      </c>
      <c r="E28" s="12">
        <f>'Model Inputs'!E53</f>
        <v/>
      </c>
      <c r="F28" s="12">
        <f>'Model Inputs'!F53</f>
        <v/>
      </c>
      <c r="G28" s="12">
        <f>'Model Inputs'!G53</f>
        <v/>
      </c>
      <c r="H28" s="12">
        <f>'Model Inputs'!H53</f>
        <v/>
      </c>
      <c r="I28" s="12">
        <f>'Model Inputs'!I53</f>
        <v/>
      </c>
      <c r="J28" s="12">
        <f>'Model Inputs'!J53</f>
        <v/>
      </c>
      <c r="K28" s="12">
        <f>'Model Inputs'!K53</f>
        <v/>
      </c>
      <c r="L28" s="12">
        <f>'Model Inputs'!L53</f>
        <v/>
      </c>
      <c r="M28" s="12">
        <f>'Model Inputs'!M53</f>
        <v/>
      </c>
      <c r="N28" s="12">
        <f>'Model Inputs'!N53</f>
        <v/>
      </c>
      <c r="O28" s="12">
        <f>'Model Inputs'!O53</f>
        <v/>
      </c>
      <c r="P28" s="12">
        <f>'Model Inputs'!P53</f>
        <v/>
      </c>
      <c r="Q28" s="12">
        <f>'Model Inputs'!Q53</f>
        <v/>
      </c>
      <c r="R28" s="12">
        <f>'Model Inputs'!R53</f>
        <v/>
      </c>
      <c r="S28" s="12">
        <f>'Model Inputs'!S53</f>
        <v/>
      </c>
      <c r="T28" s="12">
        <f>'Model Inputs'!T53</f>
        <v/>
      </c>
      <c r="U28" s="12">
        <f>'Model Inputs'!U53</f>
        <v/>
      </c>
      <c r="V28" s="12">
        <f>'Model Inputs'!V53</f>
        <v/>
      </c>
      <c r="W28" s="12">
        <f>'Model Inputs'!W53</f>
        <v/>
      </c>
      <c r="X28" s="12">
        <f>G28</f>
        <v/>
      </c>
      <c r="Y28" s="12">
        <f>K28</f>
        <v/>
      </c>
      <c r="Z28" s="12">
        <f>O28</f>
        <v/>
      </c>
      <c r="AA28" s="12">
        <f>S28</f>
        <v/>
      </c>
      <c r="AB28" s="12">
        <f>W28</f>
        <v/>
      </c>
    </row>
    <row r="29">
      <c r="A29" s="8" t="inlineStr">
        <is>
          <t>Right-of-Use Asset (Capital Lease)</t>
        </is>
      </c>
      <c r="B29" s="8" t="inlineStr">
        <is>
          <t>Formula</t>
        </is>
      </c>
      <c r="C29" s="12">
        <f>'Model Inputs'!C50</f>
        <v/>
      </c>
      <c r="D29" s="12">
        <f>'Model Inputs'!D50</f>
        <v/>
      </c>
      <c r="E29" s="12">
        <f>'Model Inputs'!E50</f>
        <v/>
      </c>
      <c r="F29" s="12">
        <f>'Model Inputs'!F50</f>
        <v/>
      </c>
      <c r="G29" s="12">
        <f>'Model Inputs'!G50</f>
        <v/>
      </c>
      <c r="H29" s="12">
        <f>'Model Inputs'!H50</f>
        <v/>
      </c>
      <c r="I29" s="12">
        <f>'Model Inputs'!I50</f>
        <v/>
      </c>
      <c r="J29" s="12">
        <f>'Model Inputs'!J50</f>
        <v/>
      </c>
      <c r="K29" s="12">
        <f>'Model Inputs'!K50</f>
        <v/>
      </c>
      <c r="L29" s="12">
        <f>'Model Inputs'!L50</f>
        <v/>
      </c>
      <c r="M29" s="12">
        <f>'Model Inputs'!M50</f>
        <v/>
      </c>
      <c r="N29" s="12">
        <f>'Model Inputs'!N50</f>
        <v/>
      </c>
      <c r="O29" s="12">
        <f>'Model Inputs'!O50</f>
        <v/>
      </c>
      <c r="P29" s="12">
        <f>'Model Inputs'!P50</f>
        <v/>
      </c>
      <c r="Q29" s="12">
        <f>'Model Inputs'!Q50</f>
        <v/>
      </c>
      <c r="R29" s="12">
        <f>'Model Inputs'!R50</f>
        <v/>
      </c>
      <c r="S29" s="12">
        <f>'Model Inputs'!S50</f>
        <v/>
      </c>
      <c r="T29" s="12">
        <f>'Model Inputs'!T50</f>
        <v/>
      </c>
      <c r="U29" s="12">
        <f>'Model Inputs'!U50</f>
        <v/>
      </c>
      <c r="V29" s="12">
        <f>'Model Inputs'!V50</f>
        <v/>
      </c>
      <c r="W29" s="12">
        <f>'Model Inputs'!W50</f>
        <v/>
      </c>
      <c r="X29" s="12">
        <f>G29</f>
        <v/>
      </c>
      <c r="Y29" s="12">
        <f>K29</f>
        <v/>
      </c>
      <c r="Z29" s="12">
        <f>O29</f>
        <v/>
      </c>
      <c r="AA29" s="12">
        <f>S29</f>
        <v/>
      </c>
      <c r="AB29" s="12">
        <f>W29</f>
        <v/>
      </c>
    </row>
    <row r="30">
      <c r="A30" s="8" t="inlineStr">
        <is>
          <t>Accumulated Depreciation</t>
        </is>
      </c>
      <c r="B30" s="8" t="inlineStr">
        <is>
          <t>Formula</t>
        </is>
      </c>
      <c r="C30" s="12">
        <f>'Model Inputs'!C54</f>
        <v/>
      </c>
      <c r="D30" s="12">
        <f>'Model Inputs'!D54</f>
        <v/>
      </c>
      <c r="E30" s="12">
        <f>'Model Inputs'!E54</f>
        <v/>
      </c>
      <c r="F30" s="12">
        <f>'Model Inputs'!F54</f>
        <v/>
      </c>
      <c r="G30" s="12">
        <f>'Model Inputs'!G54</f>
        <v/>
      </c>
      <c r="H30" s="12">
        <f>'Model Inputs'!H54</f>
        <v/>
      </c>
      <c r="I30" s="12">
        <f>'Model Inputs'!I54</f>
        <v/>
      </c>
      <c r="J30" s="12">
        <f>'Model Inputs'!J54</f>
        <v/>
      </c>
      <c r="K30" s="12">
        <f>'Model Inputs'!K54</f>
        <v/>
      </c>
      <c r="L30" s="12">
        <f>'Model Inputs'!L54</f>
        <v/>
      </c>
      <c r="M30" s="12">
        <f>'Model Inputs'!M54</f>
        <v/>
      </c>
      <c r="N30" s="12">
        <f>'Model Inputs'!N54</f>
        <v/>
      </c>
      <c r="O30" s="12">
        <f>'Model Inputs'!O54</f>
        <v/>
      </c>
      <c r="P30" s="12">
        <f>'Model Inputs'!P54</f>
        <v/>
      </c>
      <c r="Q30" s="12">
        <f>'Model Inputs'!Q54</f>
        <v/>
      </c>
      <c r="R30" s="12">
        <f>'Model Inputs'!R54</f>
        <v/>
      </c>
      <c r="S30" s="12">
        <f>'Model Inputs'!S54</f>
        <v/>
      </c>
      <c r="T30" s="12">
        <f>'Model Inputs'!T54</f>
        <v/>
      </c>
      <c r="U30" s="12">
        <f>'Model Inputs'!U54</f>
        <v/>
      </c>
      <c r="V30" s="12">
        <f>'Model Inputs'!V54</f>
        <v/>
      </c>
      <c r="W30" s="12">
        <f>'Model Inputs'!W54</f>
        <v/>
      </c>
      <c r="X30" s="12">
        <f>G30</f>
        <v/>
      </c>
      <c r="Y30" s="12">
        <f>K30</f>
        <v/>
      </c>
      <c r="Z30" s="12">
        <f>O30</f>
        <v/>
      </c>
      <c r="AA30" s="12">
        <f>S30</f>
        <v/>
      </c>
      <c r="AB30" s="12">
        <f>W30</f>
        <v/>
      </c>
    </row>
    <row r="31">
      <c r="A31" s="19" t="inlineStr">
        <is>
          <t>Total Assets</t>
        </is>
      </c>
      <c r="B31" s="19" t="inlineStr">
        <is>
          <t>Formula</t>
        </is>
      </c>
      <c r="C31" s="20">
        <f>C27+C28+C29</f>
        <v/>
      </c>
      <c r="D31" s="20">
        <f>D27+D28+D29</f>
        <v/>
      </c>
      <c r="E31" s="20">
        <f>E27+E28+E29</f>
        <v/>
      </c>
      <c r="F31" s="20">
        <f>F27+F28+F29</f>
        <v/>
      </c>
      <c r="G31" s="20">
        <f>G27+G28+G29</f>
        <v/>
      </c>
      <c r="H31" s="20">
        <f>H27+H28+H29</f>
        <v/>
      </c>
      <c r="I31" s="20">
        <f>I27+I28+I29</f>
        <v/>
      </c>
      <c r="J31" s="20">
        <f>J27+J28+J29</f>
        <v/>
      </c>
      <c r="K31" s="20">
        <f>K27+K28+K29</f>
        <v/>
      </c>
      <c r="L31" s="20">
        <f>L27+L28+L29</f>
        <v/>
      </c>
      <c r="M31" s="20">
        <f>M27+M28+M29</f>
        <v/>
      </c>
      <c r="N31" s="20">
        <f>N27+N28+N29</f>
        <v/>
      </c>
      <c r="O31" s="20">
        <f>O27+O28+O29</f>
        <v/>
      </c>
      <c r="P31" s="20">
        <f>P27+P28+P29</f>
        <v/>
      </c>
      <c r="Q31" s="20">
        <f>Q27+Q28+Q29</f>
        <v/>
      </c>
      <c r="R31" s="20">
        <f>R27+R28+R29</f>
        <v/>
      </c>
      <c r="S31" s="20">
        <f>S27+S28+S29</f>
        <v/>
      </c>
      <c r="T31" s="20">
        <f>T27+T28+T29</f>
        <v/>
      </c>
      <c r="U31" s="20">
        <f>U27+U28+U29</f>
        <v/>
      </c>
      <c r="V31" s="20">
        <f>V27+V28+V29</f>
        <v/>
      </c>
      <c r="W31" s="20">
        <f>W27+W28+W29</f>
        <v/>
      </c>
      <c r="X31" s="20">
        <f>G31</f>
        <v/>
      </c>
      <c r="Y31" s="20">
        <f>K31</f>
        <v/>
      </c>
      <c r="Z31" s="20">
        <f>O31</f>
        <v/>
      </c>
      <c r="AA31" s="20">
        <f>S31</f>
        <v/>
      </c>
      <c r="AB31" s="20">
        <f>W31</f>
        <v/>
      </c>
    </row>
    <row r="32">
      <c r="A32" s="8" t="inlineStr">
        <is>
          <t>Accounts Payable</t>
        </is>
      </c>
      <c r="B32" s="8" t="inlineStr">
        <is>
          <t>Formula</t>
        </is>
      </c>
      <c r="C32" s="12">
        <f>'Model Inputs'!C39</f>
        <v/>
      </c>
      <c r="D32" s="12">
        <f>('Model Inputs'!D27/D6)*SUM(D11:D15)</f>
        <v/>
      </c>
      <c r="E32" s="12">
        <f>('Model Inputs'!E27/E6)*SUM(E11:E15)</f>
        <v/>
      </c>
      <c r="F32" s="12">
        <f>('Model Inputs'!F27/F6)*SUM(F11:F15)</f>
        <v/>
      </c>
      <c r="G32" s="12">
        <f>('Model Inputs'!G27/G6)*SUM(G11:G15)</f>
        <v/>
      </c>
      <c r="H32" s="12">
        <f>('Model Inputs'!H27/H6)*SUM(H11:H15)</f>
        <v/>
      </c>
      <c r="I32" s="12">
        <f>('Model Inputs'!I27/I6)*SUM(I11:I15)</f>
        <v/>
      </c>
      <c r="J32" s="12">
        <f>('Model Inputs'!J27/J6)*SUM(J11:J15)</f>
        <v/>
      </c>
      <c r="K32" s="12">
        <f>('Model Inputs'!K27/K6)*SUM(K11:K15)</f>
        <v/>
      </c>
      <c r="L32" s="12">
        <f>('Model Inputs'!L27/L6)*SUM(L11:L15)</f>
        <v/>
      </c>
      <c r="M32" s="12">
        <f>('Model Inputs'!M27/M6)*SUM(M11:M15)</f>
        <v/>
      </c>
      <c r="N32" s="12">
        <f>('Model Inputs'!N27/N6)*SUM(N11:N15)</f>
        <v/>
      </c>
      <c r="O32" s="12">
        <f>('Model Inputs'!O27/O6)*SUM(O11:O15)</f>
        <v/>
      </c>
      <c r="P32" s="12">
        <f>('Model Inputs'!P27/P6)*SUM(P11:P15)</f>
        <v/>
      </c>
      <c r="Q32" s="12">
        <f>('Model Inputs'!Q27/Q6)*SUM(Q11:Q15)</f>
        <v/>
      </c>
      <c r="R32" s="12">
        <f>('Model Inputs'!R27/R6)*SUM(R11:R15)</f>
        <v/>
      </c>
      <c r="S32" s="12">
        <f>('Model Inputs'!S27/S6)*SUM(S11:S15)</f>
        <v/>
      </c>
      <c r="T32" s="12">
        <f>('Model Inputs'!T27/T6)*SUM(T11:T15)</f>
        <v/>
      </c>
      <c r="U32" s="12">
        <f>('Model Inputs'!U27/U6)*SUM(U11:U15)</f>
        <v/>
      </c>
      <c r="V32" s="12">
        <f>('Model Inputs'!V27/V6)*SUM(V11:V15)</f>
        <v/>
      </c>
      <c r="W32" s="12">
        <f>('Model Inputs'!W27/W6)*SUM(W11:W15)</f>
        <v/>
      </c>
      <c r="X32" s="12">
        <f>G32</f>
        <v/>
      </c>
      <c r="Y32" s="12">
        <f>K32</f>
        <v/>
      </c>
      <c r="Z32" s="12">
        <f>O32</f>
        <v/>
      </c>
      <c r="AA32" s="12">
        <f>S32</f>
        <v/>
      </c>
      <c r="AB32" s="12">
        <f>W32</f>
        <v/>
      </c>
    </row>
    <row r="33">
      <c r="A33" s="8" t="inlineStr">
        <is>
          <t>Short Term Debt</t>
        </is>
      </c>
      <c r="B33" s="8" t="inlineStr">
        <is>
          <t>Formula</t>
        </is>
      </c>
      <c r="C33" s="12">
        <f>'Model Inputs'!C40</f>
        <v/>
      </c>
      <c r="D33" s="12">
        <f>SUM('Debt Schedule'!E10:H10)</f>
        <v/>
      </c>
      <c r="E33" s="12">
        <f>SUM('Debt Schedule'!F10:I10)</f>
        <v/>
      </c>
      <c r="F33" s="12">
        <f>SUM('Debt Schedule'!G10:J10)</f>
        <v/>
      </c>
      <c r="G33" s="12">
        <f>SUM('Debt Schedule'!H10:K10)</f>
        <v/>
      </c>
      <c r="H33" s="12">
        <f>SUM('Debt Schedule'!I10:L10)</f>
        <v/>
      </c>
      <c r="I33" s="12">
        <f>SUM('Debt Schedule'!J10:M10)</f>
        <v/>
      </c>
      <c r="J33" s="12">
        <f>SUM('Debt Schedule'!K10:N10)</f>
        <v/>
      </c>
      <c r="K33" s="12">
        <f>SUM('Debt Schedule'!L10:O10)</f>
        <v/>
      </c>
      <c r="L33" s="12">
        <f>SUM('Debt Schedule'!M10:P10)</f>
        <v/>
      </c>
      <c r="M33" s="12">
        <f>SUM('Debt Schedule'!N10:Q10)</f>
        <v/>
      </c>
      <c r="N33" s="12">
        <f>SUM('Debt Schedule'!O10:R10)</f>
        <v/>
      </c>
      <c r="O33" s="12">
        <f>SUM('Debt Schedule'!P10:S10)</f>
        <v/>
      </c>
      <c r="P33" s="12">
        <f>SUM('Debt Schedule'!Q10:T10)</f>
        <v/>
      </c>
      <c r="Q33" s="12">
        <f>SUM('Debt Schedule'!R10:U10)</f>
        <v/>
      </c>
      <c r="R33" s="12">
        <f>SUM('Debt Schedule'!S10:V10)</f>
        <v/>
      </c>
      <c r="S33" s="12">
        <f>SUM('Debt Schedule'!T10:W10)</f>
        <v/>
      </c>
      <c r="T33" s="12">
        <f>SUM('Debt Schedule'!U10:W10)</f>
        <v/>
      </c>
      <c r="U33" s="12">
        <f>SUM('Debt Schedule'!V10:W10)</f>
        <v/>
      </c>
      <c r="V33" s="12">
        <f>SUM('Debt Schedule'!W10:W10)</f>
        <v/>
      </c>
      <c r="W33" s="12">
        <f>0</f>
        <v/>
      </c>
      <c r="X33" s="12">
        <f>G33</f>
        <v/>
      </c>
      <c r="Y33" s="12">
        <f>K33</f>
        <v/>
      </c>
      <c r="Z33" s="12">
        <f>O33</f>
        <v/>
      </c>
      <c r="AA33" s="12">
        <f>S33</f>
        <v/>
      </c>
      <c r="AB33" s="12">
        <f>W33</f>
        <v/>
      </c>
    </row>
    <row r="34">
      <c r="A34" s="8" t="inlineStr">
        <is>
          <t>Deferred Revenue</t>
        </is>
      </c>
      <c r="B34" s="8" t="inlineStr">
        <is>
          <t>Formula</t>
        </is>
      </c>
      <c r="C34" s="12">
        <f>0</f>
        <v/>
      </c>
      <c r="D34" s="12">
        <f>'Model Inputs'!D29*D8</f>
        <v/>
      </c>
      <c r="E34" s="12">
        <f>'Model Inputs'!E29*E8</f>
        <v/>
      </c>
      <c r="F34" s="12">
        <f>'Model Inputs'!F29*F8</f>
        <v/>
      </c>
      <c r="G34" s="12">
        <f>'Model Inputs'!G29*G8</f>
        <v/>
      </c>
      <c r="H34" s="12">
        <f>'Model Inputs'!H29*H8</f>
        <v/>
      </c>
      <c r="I34" s="12">
        <f>'Model Inputs'!I29*I8</f>
        <v/>
      </c>
      <c r="J34" s="12">
        <f>'Model Inputs'!J29*J8</f>
        <v/>
      </c>
      <c r="K34" s="12">
        <f>'Model Inputs'!K29*K8</f>
        <v/>
      </c>
      <c r="L34" s="12">
        <f>'Model Inputs'!L29*L8</f>
        <v/>
      </c>
      <c r="M34" s="12">
        <f>'Model Inputs'!M29*M8</f>
        <v/>
      </c>
      <c r="N34" s="12">
        <f>'Model Inputs'!N29*N8</f>
        <v/>
      </c>
      <c r="O34" s="12">
        <f>'Model Inputs'!O29*O8</f>
        <v/>
      </c>
      <c r="P34" s="12">
        <f>'Model Inputs'!P29*P8</f>
        <v/>
      </c>
      <c r="Q34" s="12">
        <f>'Model Inputs'!Q29*Q8</f>
        <v/>
      </c>
      <c r="R34" s="12">
        <f>'Model Inputs'!R29*R8</f>
        <v/>
      </c>
      <c r="S34" s="12">
        <f>'Model Inputs'!S29*S8</f>
        <v/>
      </c>
      <c r="T34" s="12">
        <f>'Model Inputs'!T29*T8</f>
        <v/>
      </c>
      <c r="U34" s="12">
        <f>'Model Inputs'!U29*U8</f>
        <v/>
      </c>
      <c r="V34" s="12">
        <f>'Model Inputs'!V29*V8</f>
        <v/>
      </c>
      <c r="W34" s="12">
        <f>'Model Inputs'!W29*W8</f>
        <v/>
      </c>
      <c r="X34" s="12">
        <f>G34</f>
        <v/>
      </c>
      <c r="Y34" s="12">
        <f>K34</f>
        <v/>
      </c>
      <c r="Z34" s="12">
        <f>O34</f>
        <v/>
      </c>
      <c r="AA34" s="12">
        <f>S34</f>
        <v/>
      </c>
      <c r="AB34" s="12">
        <f>W34</f>
        <v/>
      </c>
    </row>
    <row r="35">
      <c r="A35" s="19" t="inlineStr">
        <is>
          <t>Current Liabilities</t>
        </is>
      </c>
      <c r="B35" s="19" t="inlineStr">
        <is>
          <t>Formula</t>
        </is>
      </c>
      <c r="C35" s="20">
        <f>SUM(C32:C34)</f>
        <v/>
      </c>
      <c r="D35" s="20">
        <f>SUM(D32:D34)</f>
        <v/>
      </c>
      <c r="E35" s="20">
        <f>SUM(E32:E34)</f>
        <v/>
      </c>
      <c r="F35" s="20">
        <f>SUM(F32:F34)</f>
        <v/>
      </c>
      <c r="G35" s="20">
        <f>SUM(G32:G34)</f>
        <v/>
      </c>
      <c r="H35" s="20">
        <f>SUM(H32:H34)</f>
        <v/>
      </c>
      <c r="I35" s="20">
        <f>SUM(I32:I34)</f>
        <v/>
      </c>
      <c r="J35" s="20">
        <f>SUM(J32:J34)</f>
        <v/>
      </c>
      <c r="K35" s="20">
        <f>SUM(K32:K34)</f>
        <v/>
      </c>
      <c r="L35" s="20">
        <f>SUM(L32:L34)</f>
        <v/>
      </c>
      <c r="M35" s="20">
        <f>SUM(M32:M34)</f>
        <v/>
      </c>
      <c r="N35" s="20">
        <f>SUM(N32:N34)</f>
        <v/>
      </c>
      <c r="O35" s="20">
        <f>SUM(O32:O34)</f>
        <v/>
      </c>
      <c r="P35" s="20">
        <f>SUM(P32:P34)</f>
        <v/>
      </c>
      <c r="Q35" s="20">
        <f>SUM(Q32:Q34)</f>
        <v/>
      </c>
      <c r="R35" s="20">
        <f>SUM(R32:R34)</f>
        <v/>
      </c>
      <c r="S35" s="20">
        <f>SUM(S32:S34)</f>
        <v/>
      </c>
      <c r="T35" s="20">
        <f>SUM(T32:T34)</f>
        <v/>
      </c>
      <c r="U35" s="20">
        <f>SUM(U32:U34)</f>
        <v/>
      </c>
      <c r="V35" s="20">
        <f>SUM(V32:V34)</f>
        <v/>
      </c>
      <c r="W35" s="20">
        <f>SUM(W32:W34)</f>
        <v/>
      </c>
      <c r="X35" s="20">
        <f>G35</f>
        <v/>
      </c>
      <c r="Y35" s="20">
        <f>K35</f>
        <v/>
      </c>
      <c r="Z35" s="20">
        <f>O35</f>
        <v/>
      </c>
      <c r="AA35" s="20">
        <f>S35</f>
        <v/>
      </c>
      <c r="AB35" s="20">
        <f>W35</f>
        <v/>
      </c>
    </row>
    <row r="36">
      <c r="A36" s="8" t="inlineStr">
        <is>
          <t>Long Term Debt</t>
        </is>
      </c>
      <c r="B36" s="8" t="inlineStr">
        <is>
          <t>Formula</t>
        </is>
      </c>
      <c r="C36" s="12">
        <f>MAX(0,'Model Inputs'!C41-C33)</f>
        <v/>
      </c>
      <c r="D36" s="12">
        <f>MAX(0,'Model Inputs'!D44-D33)</f>
        <v/>
      </c>
      <c r="E36" s="12">
        <f>MAX(0,'Model Inputs'!E44-E33)</f>
        <v/>
      </c>
      <c r="F36" s="12">
        <f>MAX(0,'Model Inputs'!F44-F33)</f>
        <v/>
      </c>
      <c r="G36" s="12">
        <f>MAX(0,'Model Inputs'!G44-G33)</f>
        <v/>
      </c>
      <c r="H36" s="12">
        <f>MAX(0,'Model Inputs'!H44-H33)</f>
        <v/>
      </c>
      <c r="I36" s="12">
        <f>MAX(0,'Model Inputs'!I44-I33)</f>
        <v/>
      </c>
      <c r="J36" s="12">
        <f>MAX(0,'Model Inputs'!J44-J33)</f>
        <v/>
      </c>
      <c r="K36" s="12">
        <f>MAX(0,'Model Inputs'!K44-K33)</f>
        <v/>
      </c>
      <c r="L36" s="12">
        <f>MAX(0,'Model Inputs'!L44-L33)</f>
        <v/>
      </c>
      <c r="M36" s="12">
        <f>MAX(0,'Model Inputs'!M44-M33)</f>
        <v/>
      </c>
      <c r="N36" s="12">
        <f>MAX(0,'Model Inputs'!N44-N33)</f>
        <v/>
      </c>
      <c r="O36" s="12">
        <f>MAX(0,'Model Inputs'!O44-O33)</f>
        <v/>
      </c>
      <c r="P36" s="12">
        <f>MAX(0,'Model Inputs'!P44-P33)</f>
        <v/>
      </c>
      <c r="Q36" s="12">
        <f>MAX(0,'Model Inputs'!Q44-Q33)</f>
        <v/>
      </c>
      <c r="R36" s="12">
        <f>MAX(0,'Model Inputs'!R44-R33)</f>
        <v/>
      </c>
      <c r="S36" s="12">
        <f>MAX(0,'Model Inputs'!S44-S33)</f>
        <v/>
      </c>
      <c r="T36" s="12">
        <f>MAX(0,'Model Inputs'!T44-T33)</f>
        <v/>
      </c>
      <c r="U36" s="12">
        <f>MAX(0,'Model Inputs'!U44-U33)</f>
        <v/>
      </c>
      <c r="V36" s="12">
        <f>MAX(0,'Model Inputs'!V44-V33)</f>
        <v/>
      </c>
      <c r="W36" s="12">
        <f>MAX(0,'Model Inputs'!W44-W33)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Capital Lease Obligation</t>
        </is>
      </c>
      <c r="B37" s="8" t="inlineStr">
        <is>
          <t>Formula</t>
        </is>
      </c>
      <c r="C37" s="12">
        <f>'Model Inputs'!C49</f>
        <v/>
      </c>
      <c r="D37" s="12">
        <f>'Model Inputs'!D49</f>
        <v/>
      </c>
      <c r="E37" s="12">
        <f>'Model Inputs'!E49</f>
        <v/>
      </c>
      <c r="F37" s="12">
        <f>'Model Inputs'!F49</f>
        <v/>
      </c>
      <c r="G37" s="12">
        <f>'Model Inputs'!G49</f>
        <v/>
      </c>
      <c r="H37" s="12">
        <f>'Model Inputs'!H49</f>
        <v/>
      </c>
      <c r="I37" s="12">
        <f>'Model Inputs'!I49</f>
        <v/>
      </c>
      <c r="J37" s="12">
        <f>'Model Inputs'!J49</f>
        <v/>
      </c>
      <c r="K37" s="12">
        <f>'Model Inputs'!K49</f>
        <v/>
      </c>
      <c r="L37" s="12">
        <f>'Model Inputs'!L49</f>
        <v/>
      </c>
      <c r="M37" s="12">
        <f>'Model Inputs'!M49</f>
        <v/>
      </c>
      <c r="N37" s="12">
        <f>'Model Inputs'!N49</f>
        <v/>
      </c>
      <c r="O37" s="12">
        <f>'Model Inputs'!O49</f>
        <v/>
      </c>
      <c r="P37" s="12">
        <f>'Model Inputs'!P49</f>
        <v/>
      </c>
      <c r="Q37" s="12">
        <f>'Model Inputs'!Q49</f>
        <v/>
      </c>
      <c r="R37" s="12">
        <f>'Model Inputs'!R49</f>
        <v/>
      </c>
      <c r="S37" s="12">
        <f>'Model Inputs'!S49</f>
        <v/>
      </c>
      <c r="T37" s="12">
        <f>'Model Inputs'!T49</f>
        <v/>
      </c>
      <c r="U37" s="12">
        <f>'Model Inputs'!U49</f>
        <v/>
      </c>
      <c r="V37" s="12">
        <f>'Model Inputs'!V49</f>
        <v/>
      </c>
      <c r="W37" s="12">
        <f>'Model Inputs'!W49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19" t="inlineStr">
        <is>
          <t>Total Liabilities</t>
        </is>
      </c>
      <c r="B38" s="19" t="inlineStr">
        <is>
          <t>Formula</t>
        </is>
      </c>
      <c r="C38" s="20">
        <f>C35+C36+C37</f>
        <v/>
      </c>
      <c r="D38" s="20">
        <f>D35+D36+D37</f>
        <v/>
      </c>
      <c r="E38" s="20">
        <f>E35+E36+E37</f>
        <v/>
      </c>
      <c r="F38" s="20">
        <f>F35+F36+F37</f>
        <v/>
      </c>
      <c r="G38" s="20">
        <f>G35+G36+G37</f>
        <v/>
      </c>
      <c r="H38" s="20">
        <f>H35+H36+H37</f>
        <v/>
      </c>
      <c r="I38" s="20">
        <f>I35+I36+I37</f>
        <v/>
      </c>
      <c r="J38" s="20">
        <f>J35+J36+J37</f>
        <v/>
      </c>
      <c r="K38" s="20">
        <f>K35+K36+K37</f>
        <v/>
      </c>
      <c r="L38" s="20">
        <f>L35+L36+L37</f>
        <v/>
      </c>
      <c r="M38" s="20">
        <f>M35+M36+M37</f>
        <v/>
      </c>
      <c r="N38" s="20">
        <f>N35+N36+N37</f>
        <v/>
      </c>
      <c r="O38" s="20">
        <f>O35+O36+O37</f>
        <v/>
      </c>
      <c r="P38" s="20">
        <f>P35+P36+P37</f>
        <v/>
      </c>
      <c r="Q38" s="20">
        <f>Q35+Q36+Q37</f>
        <v/>
      </c>
      <c r="R38" s="20">
        <f>R35+R36+R37</f>
        <v/>
      </c>
      <c r="S38" s="20">
        <f>S35+S36+S37</f>
        <v/>
      </c>
      <c r="T38" s="20">
        <f>T35+T36+T37</f>
        <v/>
      </c>
      <c r="U38" s="20">
        <f>U35+U36+U37</f>
        <v/>
      </c>
      <c r="V38" s="20">
        <f>V35+V36+V37</f>
        <v/>
      </c>
      <c r="W38" s="20">
        <f>W35+W36+W37</f>
        <v/>
      </c>
      <c r="X38" s="20">
        <f>G38</f>
        <v/>
      </c>
      <c r="Y38" s="20">
        <f>K38</f>
        <v/>
      </c>
      <c r="Z38" s="20">
        <f>O38</f>
        <v/>
      </c>
      <c r="AA38" s="20">
        <f>S38</f>
        <v/>
      </c>
      <c r="AB38" s="20">
        <f>W38</f>
        <v/>
      </c>
    </row>
    <row r="39">
      <c r="A39" s="8" t="inlineStr">
        <is>
          <t>Owner's Capital</t>
        </is>
      </c>
      <c r="B39" s="8" t="inlineStr">
        <is>
          <t>Formula</t>
        </is>
      </c>
      <c r="C39" s="12">
        <f>'Model Inputs'!C31</f>
        <v/>
      </c>
      <c r="D39" s="12">
        <f>'Model Inputs'!D31</f>
        <v/>
      </c>
      <c r="E39" s="12">
        <f>'Model Inputs'!E31</f>
        <v/>
      </c>
      <c r="F39" s="12">
        <f>'Model Inputs'!F31</f>
        <v/>
      </c>
      <c r="G39" s="12">
        <f>'Model Inputs'!G31</f>
        <v/>
      </c>
      <c r="H39" s="12">
        <f>'Model Inputs'!H31</f>
        <v/>
      </c>
      <c r="I39" s="12">
        <f>'Model Inputs'!I31</f>
        <v/>
      </c>
      <c r="J39" s="12">
        <f>'Model Inputs'!J31</f>
        <v/>
      </c>
      <c r="K39" s="12">
        <f>'Model Inputs'!K31</f>
        <v/>
      </c>
      <c r="L39" s="12">
        <f>'Model Inputs'!L31</f>
        <v/>
      </c>
      <c r="M39" s="12">
        <f>'Model Inputs'!M31</f>
        <v/>
      </c>
      <c r="N39" s="12">
        <f>'Model Inputs'!N31</f>
        <v/>
      </c>
      <c r="O39" s="12">
        <f>'Model Inputs'!O31</f>
        <v/>
      </c>
      <c r="P39" s="12">
        <f>'Model Inputs'!P31</f>
        <v/>
      </c>
      <c r="Q39" s="12">
        <f>'Model Inputs'!Q31</f>
        <v/>
      </c>
      <c r="R39" s="12">
        <f>'Model Inputs'!R31</f>
        <v/>
      </c>
      <c r="S39" s="12">
        <f>'Model Inputs'!S31</f>
        <v/>
      </c>
      <c r="T39" s="12">
        <f>'Model Inputs'!T31</f>
        <v/>
      </c>
      <c r="U39" s="12">
        <f>'Model Inputs'!U31</f>
        <v/>
      </c>
      <c r="V39" s="12">
        <f>'Model Inputs'!V31</f>
        <v/>
      </c>
      <c r="W39" s="12">
        <f>'Model Inputs'!W31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Retained Earnings</t>
        </is>
      </c>
      <c r="B40" s="8" t="inlineStr">
        <is>
          <t>Formula</t>
        </is>
      </c>
      <c r="C40" s="12">
        <f>C31-C38-C39-C41</f>
        <v/>
      </c>
      <c r="D40" s="12">
        <f>C40+D20-'Model Inputs'!D33</f>
        <v/>
      </c>
      <c r="E40" s="12">
        <f>D40+E20-'Model Inputs'!E33</f>
        <v/>
      </c>
      <c r="F40" s="12">
        <f>E40+F20-'Model Inputs'!F33</f>
        <v/>
      </c>
      <c r="G40" s="12">
        <f>F40+G20-'Model Inputs'!G33</f>
        <v/>
      </c>
      <c r="H40" s="12">
        <f>G40+H20-'Model Inputs'!H33</f>
        <v/>
      </c>
      <c r="I40" s="12">
        <f>H40+I20-'Model Inputs'!I33</f>
        <v/>
      </c>
      <c r="J40" s="12">
        <f>I40+J20-'Model Inputs'!J33</f>
        <v/>
      </c>
      <c r="K40" s="12">
        <f>J40+K20-'Model Inputs'!K33</f>
        <v/>
      </c>
      <c r="L40" s="12">
        <f>K40+L20-'Model Inputs'!L33</f>
        <v/>
      </c>
      <c r="M40" s="12">
        <f>L40+M20-'Model Inputs'!M33</f>
        <v/>
      </c>
      <c r="N40" s="12">
        <f>M40+N20-'Model Inputs'!N33</f>
        <v/>
      </c>
      <c r="O40" s="12">
        <f>N40+O20-'Model Inputs'!O33</f>
        <v/>
      </c>
      <c r="P40" s="12">
        <f>O40+P20-'Model Inputs'!P33</f>
        <v/>
      </c>
      <c r="Q40" s="12">
        <f>P40+Q20-'Model Inputs'!Q33</f>
        <v/>
      </c>
      <c r="R40" s="12">
        <f>Q40+R20-'Model Inputs'!R33</f>
        <v/>
      </c>
      <c r="S40" s="12">
        <f>R40+S20-'Model Inputs'!S33</f>
        <v/>
      </c>
      <c r="T40" s="12">
        <f>S40+T20-'Model Inputs'!T33</f>
        <v/>
      </c>
      <c r="U40" s="12">
        <f>T40+U20-'Model Inputs'!U33</f>
        <v/>
      </c>
      <c r="V40" s="12">
        <f>U40+V20-'Model Inputs'!V33</f>
        <v/>
      </c>
      <c r="W40" s="12">
        <f>V40+W20-'Model Inputs'!W33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8" t="inlineStr">
        <is>
          <t>Other Equity</t>
        </is>
      </c>
      <c r="B41" s="8" t="inlineStr">
        <is>
          <t>Formula</t>
        </is>
      </c>
      <c r="C41" s="12">
        <f>'Model Inputs'!C32</f>
        <v/>
      </c>
      <c r="D41" s="12">
        <f>'Model Inputs'!D32</f>
        <v/>
      </c>
      <c r="E41" s="12">
        <f>'Model Inputs'!E32</f>
        <v/>
      </c>
      <c r="F41" s="12">
        <f>'Model Inputs'!F32</f>
        <v/>
      </c>
      <c r="G41" s="12">
        <f>'Model Inputs'!G32</f>
        <v/>
      </c>
      <c r="H41" s="12">
        <f>'Model Inputs'!H32</f>
        <v/>
      </c>
      <c r="I41" s="12">
        <f>'Model Inputs'!I32</f>
        <v/>
      </c>
      <c r="J41" s="12">
        <f>'Model Inputs'!J32</f>
        <v/>
      </c>
      <c r="K41" s="12">
        <f>'Model Inputs'!K32</f>
        <v/>
      </c>
      <c r="L41" s="12">
        <f>'Model Inputs'!L32</f>
        <v/>
      </c>
      <c r="M41" s="12">
        <f>'Model Inputs'!M32</f>
        <v/>
      </c>
      <c r="N41" s="12">
        <f>'Model Inputs'!N32</f>
        <v/>
      </c>
      <c r="O41" s="12">
        <f>'Model Inputs'!O32</f>
        <v/>
      </c>
      <c r="P41" s="12">
        <f>'Model Inputs'!P32</f>
        <v/>
      </c>
      <c r="Q41" s="12">
        <f>'Model Inputs'!Q32</f>
        <v/>
      </c>
      <c r="R41" s="12">
        <f>'Model Inputs'!R32</f>
        <v/>
      </c>
      <c r="S41" s="12">
        <f>'Model Inputs'!S32</f>
        <v/>
      </c>
      <c r="T41" s="12">
        <f>'Model Inputs'!T32</f>
        <v/>
      </c>
      <c r="U41" s="12">
        <f>'Model Inputs'!U32</f>
        <v/>
      </c>
      <c r="V41" s="12">
        <f>'Model Inputs'!V32</f>
        <v/>
      </c>
      <c r="W41" s="12">
        <f>'Model Inputs'!W32</f>
        <v/>
      </c>
      <c r="X41" s="12">
        <f>G41</f>
        <v/>
      </c>
      <c r="Y41" s="12">
        <f>K41</f>
        <v/>
      </c>
      <c r="Z41" s="12">
        <f>O41</f>
        <v/>
      </c>
      <c r="AA41" s="12">
        <f>S41</f>
        <v/>
      </c>
      <c r="AB41" s="12">
        <f>W41</f>
        <v/>
      </c>
    </row>
    <row r="42">
      <c r="A42" s="19" t="inlineStr">
        <is>
          <t>Total Equity</t>
        </is>
      </c>
      <c r="B42" s="19" t="inlineStr">
        <is>
          <t>Formula</t>
        </is>
      </c>
      <c r="C42" s="20">
        <f>C39+C40+C41</f>
        <v/>
      </c>
      <c r="D42" s="20">
        <f>D39+D40+D41</f>
        <v/>
      </c>
      <c r="E42" s="20">
        <f>E39+E40+E41</f>
        <v/>
      </c>
      <c r="F42" s="20">
        <f>F39+F40+F41</f>
        <v/>
      </c>
      <c r="G42" s="20">
        <f>G39+G40+G41</f>
        <v/>
      </c>
      <c r="H42" s="20">
        <f>H39+H40+H41</f>
        <v/>
      </c>
      <c r="I42" s="20">
        <f>I39+I40+I41</f>
        <v/>
      </c>
      <c r="J42" s="20">
        <f>J39+J40+J41</f>
        <v/>
      </c>
      <c r="K42" s="20">
        <f>K39+K40+K41</f>
        <v/>
      </c>
      <c r="L42" s="20">
        <f>L39+L40+L41</f>
        <v/>
      </c>
      <c r="M42" s="20">
        <f>M39+M40+M41</f>
        <v/>
      </c>
      <c r="N42" s="20">
        <f>N39+N40+N41</f>
        <v/>
      </c>
      <c r="O42" s="20">
        <f>O39+O40+O41</f>
        <v/>
      </c>
      <c r="P42" s="20">
        <f>P39+P40+P41</f>
        <v/>
      </c>
      <c r="Q42" s="20">
        <f>Q39+Q40+Q41</f>
        <v/>
      </c>
      <c r="R42" s="20">
        <f>R39+R40+R41</f>
        <v/>
      </c>
      <c r="S42" s="20">
        <f>S39+S40+S41</f>
        <v/>
      </c>
      <c r="T42" s="20">
        <f>T39+T40+T41</f>
        <v/>
      </c>
      <c r="U42" s="20">
        <f>U39+U40+U41</f>
        <v/>
      </c>
      <c r="V42" s="20">
        <f>V39+V40+V41</f>
        <v/>
      </c>
      <c r="W42" s="20">
        <f>W39+W40+W41</f>
        <v/>
      </c>
      <c r="X42" s="20">
        <f>G42</f>
        <v/>
      </c>
      <c r="Y42" s="20">
        <f>K42</f>
        <v/>
      </c>
      <c r="Z42" s="20">
        <f>O42</f>
        <v/>
      </c>
      <c r="AA42" s="20">
        <f>S42</f>
        <v/>
      </c>
      <c r="AB42" s="20">
        <f>W42</f>
        <v/>
      </c>
    </row>
    <row r="43">
      <c r="A43" s="19" t="inlineStr">
        <is>
          <t>Total Liabilities &amp; Equity</t>
        </is>
      </c>
      <c r="B43" s="19" t="inlineStr">
        <is>
          <t>Formula</t>
        </is>
      </c>
      <c r="C43" s="20">
        <f>C38+C42</f>
        <v/>
      </c>
      <c r="D43" s="20">
        <f>D38+D42</f>
        <v/>
      </c>
      <c r="E43" s="20">
        <f>E38+E42</f>
        <v/>
      </c>
      <c r="F43" s="20">
        <f>F38+F42</f>
        <v/>
      </c>
      <c r="G43" s="20">
        <f>G38+G42</f>
        <v/>
      </c>
      <c r="H43" s="20">
        <f>H38+H42</f>
        <v/>
      </c>
      <c r="I43" s="20">
        <f>I38+I42</f>
        <v/>
      </c>
      <c r="J43" s="20">
        <f>J38+J42</f>
        <v/>
      </c>
      <c r="K43" s="20">
        <f>K38+K42</f>
        <v/>
      </c>
      <c r="L43" s="20">
        <f>L38+L42</f>
        <v/>
      </c>
      <c r="M43" s="20">
        <f>M38+M42</f>
        <v/>
      </c>
      <c r="N43" s="20">
        <f>N38+N42</f>
        <v/>
      </c>
      <c r="O43" s="20">
        <f>O38+O42</f>
        <v/>
      </c>
      <c r="P43" s="20">
        <f>P38+P42</f>
        <v/>
      </c>
      <c r="Q43" s="20">
        <f>Q38+Q42</f>
        <v/>
      </c>
      <c r="R43" s="20">
        <f>R38+R42</f>
        <v/>
      </c>
      <c r="S43" s="20">
        <f>S38+S42</f>
        <v/>
      </c>
      <c r="T43" s="20">
        <f>T38+T42</f>
        <v/>
      </c>
      <c r="U43" s="20">
        <f>U38+U42</f>
        <v/>
      </c>
      <c r="V43" s="20">
        <f>V38+V42</f>
        <v/>
      </c>
      <c r="W43" s="20">
        <f>W38+W42</f>
        <v/>
      </c>
      <c r="X43" s="20">
        <f>G43</f>
        <v/>
      </c>
      <c r="Y43" s="20">
        <f>K43</f>
        <v/>
      </c>
      <c r="Z43" s="20">
        <f>O43</f>
        <v/>
      </c>
      <c r="AA43" s="20">
        <f>S43</f>
        <v/>
      </c>
      <c r="AB43" s="20">
        <f>W43</f>
        <v/>
      </c>
    </row>
    <row r="45">
      <c r="A45" s="7" t="inlineStr">
        <is>
          <t>Cash Flow</t>
        </is>
      </c>
    </row>
    <row r="46">
      <c r="A46" s="8" t="inlineStr">
        <is>
          <t>Beginning Cash</t>
        </is>
      </c>
      <c r="B46" s="8" t="inlineStr">
        <is>
          <t>Formula</t>
        </is>
      </c>
      <c r="C46" s="12">
        <f>'Model Inputs'!C36</f>
        <v/>
      </c>
      <c r="D46" s="12">
        <f>C61</f>
        <v/>
      </c>
      <c r="E46" s="12">
        <f>D61</f>
        <v/>
      </c>
      <c r="F46" s="12">
        <f>E61</f>
        <v/>
      </c>
      <c r="G46" s="12">
        <f>F61</f>
        <v/>
      </c>
      <c r="H46" s="12">
        <f>G61</f>
        <v/>
      </c>
      <c r="I46" s="12">
        <f>H61</f>
        <v/>
      </c>
      <c r="J46" s="12">
        <f>I61</f>
        <v/>
      </c>
      <c r="K46" s="12">
        <f>J61</f>
        <v/>
      </c>
      <c r="L46" s="12">
        <f>K61</f>
        <v/>
      </c>
      <c r="M46" s="12">
        <f>L61</f>
        <v/>
      </c>
      <c r="N46" s="12">
        <f>M61</f>
        <v/>
      </c>
      <c r="O46" s="12">
        <f>N61</f>
        <v/>
      </c>
      <c r="P46" s="12">
        <f>O61</f>
        <v/>
      </c>
      <c r="Q46" s="12">
        <f>P61</f>
        <v/>
      </c>
      <c r="R46" s="12">
        <f>Q61</f>
        <v/>
      </c>
      <c r="S46" s="12">
        <f>R61</f>
        <v/>
      </c>
      <c r="T46" s="12">
        <f>S61</f>
        <v/>
      </c>
      <c r="U46" s="12">
        <f>T61</f>
        <v/>
      </c>
      <c r="V46" s="12">
        <f>U61</f>
        <v/>
      </c>
      <c r="W46" s="12">
        <f>V61</f>
        <v/>
      </c>
      <c r="X46" s="12">
        <f>SUM(D46:G46)</f>
        <v/>
      </c>
      <c r="Y46" s="12">
        <f>SUM(H46:K46)</f>
        <v/>
      </c>
      <c r="Z46" s="12">
        <f>SUM(L46:O46)</f>
        <v/>
      </c>
      <c r="AA46" s="12">
        <f>SUM(P46:S46)</f>
        <v/>
      </c>
      <c r="AB46" s="12">
        <f>SUM(T46:W46)</f>
        <v/>
      </c>
    </row>
    <row r="47">
      <c r="A47" s="19" t="inlineStr">
        <is>
          <t>Net Income</t>
        </is>
      </c>
      <c r="B47" s="19" t="inlineStr">
        <is>
          <t>Formula</t>
        </is>
      </c>
      <c r="C47" s="20">
        <f>0</f>
        <v/>
      </c>
      <c r="D47" s="20">
        <f>D20</f>
        <v/>
      </c>
      <c r="E47" s="20">
        <f>E20</f>
        <v/>
      </c>
      <c r="F47" s="20">
        <f>F20</f>
        <v/>
      </c>
      <c r="G47" s="20">
        <f>G20</f>
        <v/>
      </c>
      <c r="H47" s="20">
        <f>H20</f>
        <v/>
      </c>
      <c r="I47" s="20">
        <f>I20</f>
        <v/>
      </c>
      <c r="J47" s="20">
        <f>J20</f>
        <v/>
      </c>
      <c r="K47" s="20">
        <f>K20</f>
        <v/>
      </c>
      <c r="L47" s="20">
        <f>L20</f>
        <v/>
      </c>
      <c r="M47" s="20">
        <f>M20</f>
        <v/>
      </c>
      <c r="N47" s="20">
        <f>N20</f>
        <v/>
      </c>
      <c r="O47" s="20">
        <f>O20</f>
        <v/>
      </c>
      <c r="P47" s="20">
        <f>P20</f>
        <v/>
      </c>
      <c r="Q47" s="20">
        <f>Q20</f>
        <v/>
      </c>
      <c r="R47" s="20">
        <f>R20</f>
        <v/>
      </c>
      <c r="S47" s="20">
        <f>S20</f>
        <v/>
      </c>
      <c r="T47" s="20">
        <f>T20</f>
        <v/>
      </c>
      <c r="U47" s="20">
        <f>U20</f>
        <v/>
      </c>
      <c r="V47" s="20">
        <f>V20</f>
        <v/>
      </c>
      <c r="W47" s="20">
        <f>W20</f>
        <v/>
      </c>
      <c r="X47" s="20">
        <f>SUM(D47:G47)</f>
        <v/>
      </c>
      <c r="Y47" s="20">
        <f>SUM(H47:K47)</f>
        <v/>
      </c>
      <c r="Z47" s="20">
        <f>SUM(L47:O47)</f>
        <v/>
      </c>
      <c r="AA47" s="20">
        <f>SUM(P47:S47)</f>
        <v/>
      </c>
      <c r="AB47" s="20">
        <f>SUM(T47:W47)</f>
        <v/>
      </c>
    </row>
    <row r="48">
      <c r="A48" s="8" t="inlineStr">
        <is>
          <t>Depreciation</t>
        </is>
      </c>
      <c r="B48" s="8" t="inlineStr">
        <is>
          <t>Formula</t>
        </is>
      </c>
      <c r="C48" s="12">
        <f>0</f>
        <v/>
      </c>
      <c r="D48" s="12">
        <f>D18</f>
        <v/>
      </c>
      <c r="E48" s="12">
        <f>E18</f>
        <v/>
      </c>
      <c r="F48" s="12">
        <f>F18</f>
        <v/>
      </c>
      <c r="G48" s="12">
        <f>G18</f>
        <v/>
      </c>
      <c r="H48" s="12">
        <f>H18</f>
        <v/>
      </c>
      <c r="I48" s="12">
        <f>I18</f>
        <v/>
      </c>
      <c r="J48" s="12">
        <f>J18</f>
        <v/>
      </c>
      <c r="K48" s="12">
        <f>K18</f>
        <v/>
      </c>
      <c r="L48" s="12">
        <f>L18</f>
        <v/>
      </c>
      <c r="M48" s="12">
        <f>M18</f>
        <v/>
      </c>
      <c r="N48" s="12">
        <f>N18</f>
        <v/>
      </c>
      <c r="O48" s="12">
        <f>O18</f>
        <v/>
      </c>
      <c r="P48" s="12">
        <f>P18</f>
        <v/>
      </c>
      <c r="Q48" s="12">
        <f>Q18</f>
        <v/>
      </c>
      <c r="R48" s="12">
        <f>R18</f>
        <v/>
      </c>
      <c r="S48" s="12">
        <f>S18</f>
        <v/>
      </c>
      <c r="T48" s="12">
        <f>T18</f>
        <v/>
      </c>
      <c r="U48" s="12">
        <f>U18</f>
        <v/>
      </c>
      <c r="V48" s="12">
        <f>V18</f>
        <v/>
      </c>
      <c r="W48" s="12">
        <f>W18</f>
        <v/>
      </c>
      <c r="X48" s="12">
        <f>SUM(D48:G48)</f>
        <v/>
      </c>
      <c r="Y48" s="12">
        <f>SUM(H48:K48)</f>
        <v/>
      </c>
      <c r="Z48" s="12">
        <f>SUM(L48:O48)</f>
        <v/>
      </c>
      <c r="AA48" s="12">
        <f>SUM(P48:S48)</f>
        <v/>
      </c>
      <c r="AB48" s="12">
        <f>SUM(T48:W48)</f>
        <v/>
      </c>
    </row>
    <row r="49">
      <c r="A49" s="8" t="inlineStr">
        <is>
          <t>Changes in Current Assets</t>
        </is>
      </c>
      <c r="B49" s="8" t="inlineStr">
        <is>
          <t>Formula</t>
        </is>
      </c>
      <c r="C49" s="12">
        <f>0</f>
        <v/>
      </c>
      <c r="D49" s="12">
        <f>-((D24+D25+D26)-(C24+C25+C26))</f>
        <v/>
      </c>
      <c r="E49" s="12">
        <f>-((E24+E25+E26)-(D24+D25+D26))</f>
        <v/>
      </c>
      <c r="F49" s="12">
        <f>-((F24+F25+F26)-(E24+E25+E26))</f>
        <v/>
      </c>
      <c r="G49" s="12">
        <f>-((G24+G25+G26)-(F24+F25+F26))</f>
        <v/>
      </c>
      <c r="H49" s="12">
        <f>-((H24+H25+H26)-(G24+G25+G26))</f>
        <v/>
      </c>
      <c r="I49" s="12">
        <f>-((I24+I25+I26)-(H24+H25+H26))</f>
        <v/>
      </c>
      <c r="J49" s="12">
        <f>-((J24+J25+J26)-(I24+I25+I26))</f>
        <v/>
      </c>
      <c r="K49" s="12">
        <f>-((K24+K25+K26)-(J24+J25+J26))</f>
        <v/>
      </c>
      <c r="L49" s="12">
        <f>-((L24+L25+L26)-(K24+K25+K26))</f>
        <v/>
      </c>
      <c r="M49" s="12">
        <f>-((M24+M25+M26)-(L24+L25+L26))</f>
        <v/>
      </c>
      <c r="N49" s="12">
        <f>-((N24+N25+N26)-(M24+M25+M26))</f>
        <v/>
      </c>
      <c r="O49" s="12">
        <f>-((O24+O25+O26)-(N24+N25+N26))</f>
        <v/>
      </c>
      <c r="P49" s="12">
        <f>-((P24+P25+P26)-(O24+O25+O26))</f>
        <v/>
      </c>
      <c r="Q49" s="12">
        <f>-((Q24+Q25+Q26)-(P24+P25+P26))</f>
        <v/>
      </c>
      <c r="R49" s="12">
        <f>-((R24+R25+R26)-(Q24+Q25+Q26))</f>
        <v/>
      </c>
      <c r="S49" s="12">
        <f>-((S24+S25+S26)-(R24+R25+R26))</f>
        <v/>
      </c>
      <c r="T49" s="12">
        <f>-((T24+T25+T26)-(S24+S25+S26))</f>
        <v/>
      </c>
      <c r="U49" s="12">
        <f>-((U24+U25+U26)-(T24+T25+T26))</f>
        <v/>
      </c>
      <c r="V49" s="12">
        <f>-((V24+V25+V26)-(U24+U25+U26))</f>
        <v/>
      </c>
      <c r="W49" s="12">
        <f>-((W24+W25+W26)-(V24+V25+V26))</f>
        <v/>
      </c>
      <c r="X49" s="12">
        <f>SUM(D49:G49)</f>
        <v/>
      </c>
      <c r="Y49" s="12">
        <f>SUM(H49:K49)</f>
        <v/>
      </c>
      <c r="Z49" s="12">
        <f>SUM(L49:O49)</f>
        <v/>
      </c>
      <c r="AA49" s="12">
        <f>SUM(P49:S49)</f>
        <v/>
      </c>
      <c r="AB49" s="12">
        <f>SUM(T49:W49)</f>
        <v/>
      </c>
    </row>
    <row r="50">
      <c r="A50" s="8" t="inlineStr">
        <is>
          <t>Changes in Current Liabilities</t>
        </is>
      </c>
      <c r="B50" s="8" t="inlineStr">
        <is>
          <t>Formula</t>
        </is>
      </c>
      <c r="C50" s="12">
        <f>0</f>
        <v/>
      </c>
      <c r="D50" s="12">
        <f>(D32+D34)-(C32+C34)</f>
        <v/>
      </c>
      <c r="E50" s="12">
        <f>(E32+E34)-(D32+D34)</f>
        <v/>
      </c>
      <c r="F50" s="12">
        <f>(F32+F34)-(E32+E34)</f>
        <v/>
      </c>
      <c r="G50" s="12">
        <f>(G32+G34)-(F32+F34)</f>
        <v/>
      </c>
      <c r="H50" s="12">
        <f>(H32+H34)-(G32+G34)</f>
        <v/>
      </c>
      <c r="I50" s="12">
        <f>(I32+I34)-(H32+H34)</f>
        <v/>
      </c>
      <c r="J50" s="12">
        <f>(J32+J34)-(I32+I34)</f>
        <v/>
      </c>
      <c r="K50" s="12">
        <f>(K32+K34)-(J32+J34)</f>
        <v/>
      </c>
      <c r="L50" s="12">
        <f>(L32+L34)-(K32+K34)</f>
        <v/>
      </c>
      <c r="M50" s="12">
        <f>(M32+M34)-(L32+L34)</f>
        <v/>
      </c>
      <c r="N50" s="12">
        <f>(N32+N34)-(M32+M34)</f>
        <v/>
      </c>
      <c r="O50" s="12">
        <f>(O32+O34)-(N32+N34)</f>
        <v/>
      </c>
      <c r="P50" s="12">
        <f>(P32+P34)-(O32+O34)</f>
        <v/>
      </c>
      <c r="Q50" s="12">
        <f>(Q32+Q34)-(P32+P34)</f>
        <v/>
      </c>
      <c r="R50" s="12">
        <f>(R32+R34)-(Q32+Q34)</f>
        <v/>
      </c>
      <c r="S50" s="12">
        <f>(S32+S34)-(R32+R34)</f>
        <v/>
      </c>
      <c r="T50" s="12">
        <f>(T32+T34)-(S32+S34)</f>
        <v/>
      </c>
      <c r="U50" s="12">
        <f>(U32+U34)-(T32+T34)</f>
        <v/>
      </c>
      <c r="V50" s="12">
        <f>(V32+V34)-(U32+U34)</f>
        <v/>
      </c>
      <c r="W50" s="12">
        <f>(W32+W34)-(V32+V34)</f>
        <v/>
      </c>
      <c r="X50" s="12">
        <f>SUM(D50:G50)</f>
        <v/>
      </c>
      <c r="Y50" s="12">
        <f>SUM(H50:K50)</f>
        <v/>
      </c>
      <c r="Z50" s="12">
        <f>SUM(L50:O50)</f>
        <v/>
      </c>
      <c r="AA50" s="12">
        <f>SUM(P50:S50)</f>
        <v/>
      </c>
      <c r="AB50" s="12">
        <f>SUM(T50:W50)</f>
        <v/>
      </c>
    </row>
    <row r="51">
      <c r="A51" s="19" t="inlineStr">
        <is>
          <t>Operating Cash Flow</t>
        </is>
      </c>
      <c r="B51" s="19" t="inlineStr">
        <is>
          <t>Formula</t>
        </is>
      </c>
      <c r="C51" s="20">
        <f>0</f>
        <v/>
      </c>
      <c r="D51" s="20">
        <f>SUM(D47:D50)</f>
        <v/>
      </c>
      <c r="E51" s="20">
        <f>SUM(E47:E50)</f>
        <v/>
      </c>
      <c r="F51" s="20">
        <f>SUM(F47:F50)</f>
        <v/>
      </c>
      <c r="G51" s="20">
        <f>SUM(G47:G50)</f>
        <v/>
      </c>
      <c r="H51" s="20">
        <f>SUM(H47:H50)</f>
        <v/>
      </c>
      <c r="I51" s="20">
        <f>SUM(I47:I50)</f>
        <v/>
      </c>
      <c r="J51" s="20">
        <f>SUM(J47:J50)</f>
        <v/>
      </c>
      <c r="K51" s="20">
        <f>SUM(K47:K50)</f>
        <v/>
      </c>
      <c r="L51" s="20">
        <f>SUM(L47:L50)</f>
        <v/>
      </c>
      <c r="M51" s="20">
        <f>SUM(M47:M50)</f>
        <v/>
      </c>
      <c r="N51" s="20">
        <f>SUM(N47:N50)</f>
        <v/>
      </c>
      <c r="O51" s="20">
        <f>SUM(O47:O50)</f>
        <v/>
      </c>
      <c r="P51" s="20">
        <f>SUM(P47:P50)</f>
        <v/>
      </c>
      <c r="Q51" s="20">
        <f>SUM(Q47:Q50)</f>
        <v/>
      </c>
      <c r="R51" s="20">
        <f>SUM(R47:R50)</f>
        <v/>
      </c>
      <c r="S51" s="20">
        <f>SUM(S47:S50)</f>
        <v/>
      </c>
      <c r="T51" s="20">
        <f>SUM(T47:T50)</f>
        <v/>
      </c>
      <c r="U51" s="20">
        <f>SUM(U47:U50)</f>
        <v/>
      </c>
      <c r="V51" s="20">
        <f>SUM(V47:V50)</f>
        <v/>
      </c>
      <c r="W51" s="20">
        <f>SUM(W47:W50)</f>
        <v/>
      </c>
      <c r="X51" s="20">
        <f>SUM(D51:G51)</f>
        <v/>
      </c>
      <c r="Y51" s="20">
        <f>SUM(H51:K51)</f>
        <v/>
      </c>
      <c r="Z51" s="20">
        <f>SUM(L51:O51)</f>
        <v/>
      </c>
      <c r="AA51" s="20">
        <f>SUM(P51:S51)</f>
        <v/>
      </c>
      <c r="AB51" s="20">
        <f>SUM(T51:W51)</f>
        <v/>
      </c>
    </row>
    <row r="52">
      <c r="A52" s="8" t="inlineStr">
        <is>
          <t>Capital Expenditures</t>
        </is>
      </c>
      <c r="B52" s="8" t="inlineStr">
        <is>
          <t>Formula</t>
        </is>
      </c>
      <c r="C52" s="12">
        <f>'Model Inputs'!C52</f>
        <v/>
      </c>
      <c r="D52" s="12">
        <f>'Model Inputs'!D52</f>
        <v/>
      </c>
      <c r="E52" s="12">
        <f>'Model Inputs'!E52</f>
        <v/>
      </c>
      <c r="F52" s="12">
        <f>'Model Inputs'!F52</f>
        <v/>
      </c>
      <c r="G52" s="12">
        <f>'Model Inputs'!G52</f>
        <v/>
      </c>
      <c r="H52" s="12">
        <f>'Model Inputs'!H52</f>
        <v/>
      </c>
      <c r="I52" s="12">
        <f>'Model Inputs'!I52</f>
        <v/>
      </c>
      <c r="J52" s="12">
        <f>'Model Inputs'!J52</f>
        <v/>
      </c>
      <c r="K52" s="12">
        <f>'Model Inputs'!K52</f>
        <v/>
      </c>
      <c r="L52" s="12">
        <f>'Model Inputs'!L52</f>
        <v/>
      </c>
      <c r="M52" s="12">
        <f>'Model Inputs'!M52</f>
        <v/>
      </c>
      <c r="N52" s="12">
        <f>'Model Inputs'!N52</f>
        <v/>
      </c>
      <c r="O52" s="12">
        <f>'Model Inputs'!O52</f>
        <v/>
      </c>
      <c r="P52" s="12">
        <f>'Model Inputs'!P52</f>
        <v/>
      </c>
      <c r="Q52" s="12">
        <f>'Model Inputs'!Q52</f>
        <v/>
      </c>
      <c r="R52" s="12">
        <f>'Model Inputs'!R52</f>
        <v/>
      </c>
      <c r="S52" s="12">
        <f>'Model Inputs'!S52</f>
        <v/>
      </c>
      <c r="T52" s="12">
        <f>'Model Inputs'!T52</f>
        <v/>
      </c>
      <c r="U52" s="12">
        <f>'Model Inputs'!U52</f>
        <v/>
      </c>
      <c r="V52" s="12">
        <f>'Model Inputs'!V52</f>
        <v/>
      </c>
      <c r="W52" s="12">
        <f>'Model Inputs'!W52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19" t="inlineStr">
        <is>
          <t>Investing Cash Flow</t>
        </is>
      </c>
      <c r="B53" s="19" t="inlineStr">
        <is>
          <t>Formula</t>
        </is>
      </c>
      <c r="C53" s="20">
        <f>0</f>
        <v/>
      </c>
      <c r="D53" s="20">
        <f>-D52</f>
        <v/>
      </c>
      <c r="E53" s="20">
        <f>-E52</f>
        <v/>
      </c>
      <c r="F53" s="20">
        <f>-F52</f>
        <v/>
      </c>
      <c r="G53" s="20">
        <f>-G52</f>
        <v/>
      </c>
      <c r="H53" s="20">
        <f>-H52</f>
        <v/>
      </c>
      <c r="I53" s="20">
        <f>-I52</f>
        <v/>
      </c>
      <c r="J53" s="20">
        <f>-J52</f>
        <v/>
      </c>
      <c r="K53" s="20">
        <f>-K52</f>
        <v/>
      </c>
      <c r="L53" s="20">
        <f>-L52</f>
        <v/>
      </c>
      <c r="M53" s="20">
        <f>-M52</f>
        <v/>
      </c>
      <c r="N53" s="20">
        <f>-N52</f>
        <v/>
      </c>
      <c r="O53" s="20">
        <f>-O52</f>
        <v/>
      </c>
      <c r="P53" s="20">
        <f>-P52</f>
        <v/>
      </c>
      <c r="Q53" s="20">
        <f>-Q52</f>
        <v/>
      </c>
      <c r="R53" s="20">
        <f>-R52</f>
        <v/>
      </c>
      <c r="S53" s="20">
        <f>-S52</f>
        <v/>
      </c>
      <c r="T53" s="20">
        <f>-T52</f>
        <v/>
      </c>
      <c r="U53" s="20">
        <f>-U52</f>
        <v/>
      </c>
      <c r="V53" s="20">
        <f>-V52</f>
        <v/>
      </c>
      <c r="W53" s="20">
        <f>-W52</f>
        <v/>
      </c>
      <c r="X53" s="20">
        <f>SUM(D53:G53)</f>
        <v/>
      </c>
      <c r="Y53" s="20">
        <f>SUM(H53:K53)</f>
        <v/>
      </c>
      <c r="Z53" s="20">
        <f>SUM(L53:O53)</f>
        <v/>
      </c>
      <c r="AA53" s="20">
        <f>SUM(P53:S53)</f>
        <v/>
      </c>
      <c r="AB53" s="20">
        <f>SUM(T53:W53)</f>
        <v/>
      </c>
    </row>
    <row r="54">
      <c r="A54" s="8" t="inlineStr">
        <is>
          <t>Debt Issuance (New Borrowing)</t>
        </is>
      </c>
      <c r="B54" s="8" t="inlineStr">
        <is>
          <t>Formula</t>
        </is>
      </c>
      <c r="C54" s="12">
        <f>'Model Inputs'!C42</f>
        <v/>
      </c>
      <c r="D54" s="12">
        <f>'Model Inputs'!D42</f>
        <v/>
      </c>
      <c r="E54" s="12">
        <f>'Model Inputs'!E42</f>
        <v/>
      </c>
      <c r="F54" s="12">
        <f>'Model Inputs'!F42</f>
        <v/>
      </c>
      <c r="G54" s="12">
        <f>'Model Inputs'!G42</f>
        <v/>
      </c>
      <c r="H54" s="12">
        <f>'Model Inputs'!H42</f>
        <v/>
      </c>
      <c r="I54" s="12">
        <f>'Model Inputs'!I42</f>
        <v/>
      </c>
      <c r="J54" s="12">
        <f>'Model Inputs'!J42</f>
        <v/>
      </c>
      <c r="K54" s="12">
        <f>'Model Inputs'!K42</f>
        <v/>
      </c>
      <c r="L54" s="12">
        <f>'Model Inputs'!L42</f>
        <v/>
      </c>
      <c r="M54" s="12">
        <f>'Model Inputs'!M42</f>
        <v/>
      </c>
      <c r="N54" s="12">
        <f>'Model Inputs'!N42</f>
        <v/>
      </c>
      <c r="O54" s="12">
        <f>'Model Inputs'!O42</f>
        <v/>
      </c>
      <c r="P54" s="12">
        <f>'Model Inputs'!P42</f>
        <v/>
      </c>
      <c r="Q54" s="12">
        <f>'Model Inputs'!Q42</f>
        <v/>
      </c>
      <c r="R54" s="12">
        <f>'Model Inputs'!R42</f>
        <v/>
      </c>
      <c r="S54" s="12">
        <f>'Model Inputs'!S42</f>
        <v/>
      </c>
      <c r="T54" s="12">
        <f>'Model Inputs'!T42</f>
        <v/>
      </c>
      <c r="U54" s="12">
        <f>'Model Inputs'!U42</f>
        <v/>
      </c>
      <c r="V54" s="12">
        <f>'Model Inputs'!V42</f>
        <v/>
      </c>
      <c r="W54" s="12">
        <f>'Model Inputs'!W42</f>
        <v/>
      </c>
      <c r="X54" s="12">
        <f>SUM(D54:G54)</f>
        <v/>
      </c>
      <c r="Y54" s="12">
        <f>SUM(H54:K54)</f>
        <v/>
      </c>
      <c r="Z54" s="12">
        <f>SUM(L54:O54)</f>
        <v/>
      </c>
      <c r="AA54" s="12">
        <f>SUM(P54:S54)</f>
        <v/>
      </c>
      <c r="AB54" s="12">
        <f>SUM(T54:W54)</f>
        <v/>
      </c>
    </row>
    <row r="55">
      <c r="A55" s="8" t="inlineStr">
        <is>
          <t>Debt Repayment</t>
        </is>
      </c>
      <c r="B55" s="8" t="inlineStr">
        <is>
          <t>Formula</t>
        </is>
      </c>
      <c r="C55" s="12">
        <f>'Model Inputs'!C43</f>
        <v/>
      </c>
      <c r="D55" s="12">
        <f>'Model Inputs'!D43</f>
        <v/>
      </c>
      <c r="E55" s="12">
        <f>'Model Inputs'!E43</f>
        <v/>
      </c>
      <c r="F55" s="12">
        <f>'Model Inputs'!F43</f>
        <v/>
      </c>
      <c r="G55" s="12">
        <f>'Model Inputs'!G43</f>
        <v/>
      </c>
      <c r="H55" s="12">
        <f>'Model Inputs'!H43</f>
        <v/>
      </c>
      <c r="I55" s="12">
        <f>'Model Inputs'!I43</f>
        <v/>
      </c>
      <c r="J55" s="12">
        <f>'Model Inputs'!J43</f>
        <v/>
      </c>
      <c r="K55" s="12">
        <f>'Model Inputs'!K43</f>
        <v/>
      </c>
      <c r="L55" s="12">
        <f>'Model Inputs'!L43</f>
        <v/>
      </c>
      <c r="M55" s="12">
        <f>'Model Inputs'!M43</f>
        <v/>
      </c>
      <c r="N55" s="12">
        <f>'Model Inputs'!N43</f>
        <v/>
      </c>
      <c r="O55" s="12">
        <f>'Model Inputs'!O43</f>
        <v/>
      </c>
      <c r="P55" s="12">
        <f>'Model Inputs'!P43</f>
        <v/>
      </c>
      <c r="Q55" s="12">
        <f>'Model Inputs'!Q43</f>
        <v/>
      </c>
      <c r="R55" s="12">
        <f>'Model Inputs'!R43</f>
        <v/>
      </c>
      <c r="S55" s="12">
        <f>'Model Inputs'!S43</f>
        <v/>
      </c>
      <c r="T55" s="12">
        <f>'Model Inputs'!T43</f>
        <v/>
      </c>
      <c r="U55" s="12">
        <f>'Model Inputs'!U43</f>
        <v/>
      </c>
      <c r="V55" s="12">
        <f>'Model Inputs'!V43</f>
        <v/>
      </c>
      <c r="W55" s="12">
        <f>'Model Inputs'!W43</f>
        <v/>
      </c>
      <c r="X55" s="12">
        <f>SUM(D55:G55)</f>
        <v/>
      </c>
      <c r="Y55" s="12">
        <f>SUM(H55:K55)</f>
        <v/>
      </c>
      <c r="Z55" s="12">
        <f>SUM(L55:O55)</f>
        <v/>
      </c>
      <c r="AA55" s="12">
        <f>SUM(P55:S55)</f>
        <v/>
      </c>
      <c r="AB55" s="12">
        <f>SUM(T55:W55)</f>
        <v/>
      </c>
    </row>
    <row r="56">
      <c r="A56" s="8" t="inlineStr">
        <is>
          <t>Equity</t>
        </is>
      </c>
      <c r="B56" s="8" t="inlineStr">
        <is>
          <t>Formula</t>
        </is>
      </c>
      <c r="C56" s="12">
        <f>0</f>
        <v/>
      </c>
      <c r="D56" s="12">
        <f>(D39-C39)+(D41-C41)</f>
        <v/>
      </c>
      <c r="E56" s="12">
        <f>(E39-D39)+(E41-D41)</f>
        <v/>
      </c>
      <c r="F56" s="12">
        <f>(F39-E39)+(F41-E41)</f>
        <v/>
      </c>
      <c r="G56" s="12">
        <f>(G39-F39)+(G41-F41)</f>
        <v/>
      </c>
      <c r="H56" s="12">
        <f>(H39-G39)+(H41-G41)</f>
        <v/>
      </c>
      <c r="I56" s="12">
        <f>(I39-H39)+(I41-H41)</f>
        <v/>
      </c>
      <c r="J56" s="12">
        <f>(J39-I39)+(J41-I41)</f>
        <v/>
      </c>
      <c r="K56" s="12">
        <f>(K39-J39)+(K41-J41)</f>
        <v/>
      </c>
      <c r="L56" s="12">
        <f>(L39-K39)+(L41-K41)</f>
        <v/>
      </c>
      <c r="M56" s="12">
        <f>(M39-L39)+(M41-L41)</f>
        <v/>
      </c>
      <c r="N56" s="12">
        <f>(N39-M39)+(N41-M41)</f>
        <v/>
      </c>
      <c r="O56" s="12">
        <f>(O39-N39)+(O41-N41)</f>
        <v/>
      </c>
      <c r="P56" s="12">
        <f>(P39-O39)+(P41-O41)</f>
        <v/>
      </c>
      <c r="Q56" s="12">
        <f>(Q39-P39)+(Q41-P41)</f>
        <v/>
      </c>
      <c r="R56" s="12">
        <f>(R39-Q39)+(R41-Q41)</f>
        <v/>
      </c>
      <c r="S56" s="12">
        <f>(S39-R39)+(S41-R41)</f>
        <v/>
      </c>
      <c r="T56" s="12">
        <f>(T39-S39)+(T41-S41)</f>
        <v/>
      </c>
      <c r="U56" s="12">
        <f>(U39-T39)+(U41-T41)</f>
        <v/>
      </c>
      <c r="V56" s="12">
        <f>(V39-U39)+(V41-U41)</f>
        <v/>
      </c>
      <c r="W56" s="12">
        <f>(W39-V39)+(W41-V41)</f>
        <v/>
      </c>
      <c r="X56" s="12">
        <f>SUM(D56:G56)</f>
        <v/>
      </c>
      <c r="Y56" s="12">
        <f>SUM(H56:K56)</f>
        <v/>
      </c>
      <c r="Z56" s="12">
        <f>SUM(L56:O56)</f>
        <v/>
      </c>
      <c r="AA56" s="12">
        <f>SUM(P56:S56)</f>
        <v/>
      </c>
      <c r="AB56" s="12">
        <f>SUM(T56:W56)</f>
        <v/>
      </c>
    </row>
    <row r="57">
      <c r="A57" s="8" t="inlineStr">
        <is>
          <t>Distributions</t>
        </is>
      </c>
      <c r="B57" s="8" t="inlineStr">
        <is>
          <t>Formula</t>
        </is>
      </c>
      <c r="C57" s="12">
        <f>'Model Inputs'!C33</f>
        <v/>
      </c>
      <c r="D57" s="12">
        <f>'Model Inputs'!D33</f>
        <v/>
      </c>
      <c r="E57" s="12">
        <f>'Model Inputs'!E33</f>
        <v/>
      </c>
      <c r="F57" s="12">
        <f>'Model Inputs'!F33</f>
        <v/>
      </c>
      <c r="G57" s="12">
        <f>'Model Inputs'!G33</f>
        <v/>
      </c>
      <c r="H57" s="12">
        <f>'Model Inputs'!H33</f>
        <v/>
      </c>
      <c r="I57" s="12">
        <f>'Model Inputs'!I33</f>
        <v/>
      </c>
      <c r="J57" s="12">
        <f>'Model Inputs'!J33</f>
        <v/>
      </c>
      <c r="K57" s="12">
        <f>'Model Inputs'!K33</f>
        <v/>
      </c>
      <c r="L57" s="12">
        <f>'Model Inputs'!L33</f>
        <v/>
      </c>
      <c r="M57" s="12">
        <f>'Model Inputs'!M33</f>
        <v/>
      </c>
      <c r="N57" s="12">
        <f>'Model Inputs'!N33</f>
        <v/>
      </c>
      <c r="O57" s="12">
        <f>'Model Inputs'!O33</f>
        <v/>
      </c>
      <c r="P57" s="12">
        <f>'Model Inputs'!P33</f>
        <v/>
      </c>
      <c r="Q57" s="12">
        <f>'Model Inputs'!Q33</f>
        <v/>
      </c>
      <c r="R57" s="12">
        <f>'Model Inputs'!R33</f>
        <v/>
      </c>
      <c r="S57" s="12">
        <f>'Model Inputs'!S33</f>
        <v/>
      </c>
      <c r="T57" s="12">
        <f>'Model Inputs'!T33</f>
        <v/>
      </c>
      <c r="U57" s="12">
        <f>'Model Inputs'!U33</f>
        <v/>
      </c>
      <c r="V57" s="12">
        <f>'Model Inputs'!V33</f>
        <v/>
      </c>
      <c r="W57" s="12">
        <f>'Model Inputs'!W33</f>
        <v/>
      </c>
      <c r="X57" s="12">
        <f>SUM(D57:G57)</f>
        <v/>
      </c>
      <c r="Y57" s="12">
        <f>SUM(H57:K57)</f>
        <v/>
      </c>
      <c r="Z57" s="12">
        <f>SUM(L57:O57)</f>
        <v/>
      </c>
      <c r="AA57" s="12">
        <f>SUM(P57:S57)</f>
        <v/>
      </c>
      <c r="AB57" s="12">
        <f>SUM(T57:W57)</f>
        <v/>
      </c>
    </row>
    <row r="58">
      <c r="A58" s="8" t="inlineStr">
        <is>
          <t>Capital Lease Principal Payments</t>
        </is>
      </c>
      <c r="B58" s="8" t="inlineStr">
        <is>
          <t>Formula</t>
        </is>
      </c>
      <c r="C58" s="12">
        <f>'Model Inputs'!C46</f>
        <v/>
      </c>
      <c r="D58" s="12">
        <f>'Model Inputs'!D46</f>
        <v/>
      </c>
      <c r="E58" s="12">
        <f>'Model Inputs'!E46</f>
        <v/>
      </c>
      <c r="F58" s="12">
        <f>'Model Inputs'!F46</f>
        <v/>
      </c>
      <c r="G58" s="12">
        <f>'Model Inputs'!G46</f>
        <v/>
      </c>
      <c r="H58" s="12">
        <f>'Model Inputs'!H46</f>
        <v/>
      </c>
      <c r="I58" s="12">
        <f>'Model Inputs'!I46</f>
        <v/>
      </c>
      <c r="J58" s="12">
        <f>'Model Inputs'!J46</f>
        <v/>
      </c>
      <c r="K58" s="12">
        <f>'Model Inputs'!K46</f>
        <v/>
      </c>
      <c r="L58" s="12">
        <f>'Model Inputs'!L46</f>
        <v/>
      </c>
      <c r="M58" s="12">
        <f>'Model Inputs'!M46</f>
        <v/>
      </c>
      <c r="N58" s="12">
        <f>'Model Inputs'!N46</f>
        <v/>
      </c>
      <c r="O58" s="12">
        <f>'Model Inputs'!O46</f>
        <v/>
      </c>
      <c r="P58" s="12">
        <f>'Model Inputs'!P46</f>
        <v/>
      </c>
      <c r="Q58" s="12">
        <f>'Model Inputs'!Q46</f>
        <v/>
      </c>
      <c r="R58" s="12">
        <f>'Model Inputs'!R46</f>
        <v/>
      </c>
      <c r="S58" s="12">
        <f>'Model Inputs'!S46</f>
        <v/>
      </c>
      <c r="T58" s="12">
        <f>'Model Inputs'!T46</f>
        <v/>
      </c>
      <c r="U58" s="12">
        <f>'Model Inputs'!U46</f>
        <v/>
      </c>
      <c r="V58" s="12">
        <f>'Model Inputs'!V46</f>
        <v/>
      </c>
      <c r="W58" s="12">
        <f>'Model Inputs'!W46</f>
        <v/>
      </c>
      <c r="X58" s="12">
        <f>SUM(D58:G58)</f>
        <v/>
      </c>
      <c r="Y58" s="12">
        <f>SUM(H58:K58)</f>
        <v/>
      </c>
      <c r="Z58" s="12">
        <f>SUM(L58:O58)</f>
        <v/>
      </c>
      <c r="AA58" s="12">
        <f>SUM(P58:S58)</f>
        <v/>
      </c>
      <c r="AB58" s="12">
        <f>SUM(T58:W58)</f>
        <v/>
      </c>
    </row>
    <row r="59">
      <c r="A59" s="19" t="inlineStr">
        <is>
          <t>Financing Cash Flow</t>
        </is>
      </c>
      <c r="B59" s="19" t="inlineStr">
        <is>
          <t>Formula</t>
        </is>
      </c>
      <c r="C59" s="20">
        <f>0</f>
        <v/>
      </c>
      <c r="D59" s="20">
        <f>D54-D55+D56-D57-D58</f>
        <v/>
      </c>
      <c r="E59" s="20">
        <f>E54-E55+E56-E57-E58</f>
        <v/>
      </c>
      <c r="F59" s="20">
        <f>F54-F55+F56-F57-F58</f>
        <v/>
      </c>
      <c r="G59" s="20">
        <f>G54-G55+G56-G57-G58</f>
        <v/>
      </c>
      <c r="H59" s="20">
        <f>H54-H55+H56-H57-H58</f>
        <v/>
      </c>
      <c r="I59" s="20">
        <f>I54-I55+I56-I57-I58</f>
        <v/>
      </c>
      <c r="J59" s="20">
        <f>J54-J55+J56-J57-J58</f>
        <v/>
      </c>
      <c r="K59" s="20">
        <f>K54-K55+K56-K57-K58</f>
        <v/>
      </c>
      <c r="L59" s="20">
        <f>L54-L55+L56-L57-L58</f>
        <v/>
      </c>
      <c r="M59" s="20">
        <f>M54-M55+M56-M57-M58</f>
        <v/>
      </c>
      <c r="N59" s="20">
        <f>N54-N55+N56-N57-N58</f>
        <v/>
      </c>
      <c r="O59" s="20">
        <f>O54-O55+O56-O57-O58</f>
        <v/>
      </c>
      <c r="P59" s="20">
        <f>P54-P55+P56-P57-P58</f>
        <v/>
      </c>
      <c r="Q59" s="20">
        <f>Q54-Q55+Q56-Q57-Q58</f>
        <v/>
      </c>
      <c r="R59" s="20">
        <f>R54-R55+R56-R57-R58</f>
        <v/>
      </c>
      <c r="S59" s="20">
        <f>S54-S55+S56-S57-S58</f>
        <v/>
      </c>
      <c r="T59" s="20">
        <f>T54-T55+T56-T57-T58</f>
        <v/>
      </c>
      <c r="U59" s="20">
        <f>U54-U55+U56-U57-U58</f>
        <v/>
      </c>
      <c r="V59" s="20">
        <f>V54-V55+V56-V57-V58</f>
        <v/>
      </c>
      <c r="W59" s="20">
        <f>W54-W55+W56-W57-W58</f>
        <v/>
      </c>
      <c r="X59" s="20">
        <f>SUM(D59:G59)</f>
        <v/>
      </c>
      <c r="Y59" s="20">
        <f>SUM(H59:K59)</f>
        <v/>
      </c>
      <c r="Z59" s="20">
        <f>SUM(L59:O59)</f>
        <v/>
      </c>
      <c r="AA59" s="20">
        <f>SUM(P59:S59)</f>
        <v/>
      </c>
      <c r="AB59" s="20">
        <f>SUM(T59:W59)</f>
        <v/>
      </c>
    </row>
    <row r="60">
      <c r="A60" s="19" t="inlineStr">
        <is>
          <t>Net Cash Flow</t>
        </is>
      </c>
      <c r="B60" s="19" t="inlineStr">
        <is>
          <t>Formula</t>
        </is>
      </c>
      <c r="C60" s="20">
        <f>0</f>
        <v/>
      </c>
      <c r="D60" s="20">
        <f>D51+D53+D59</f>
        <v/>
      </c>
      <c r="E60" s="20">
        <f>E51+E53+E59</f>
        <v/>
      </c>
      <c r="F60" s="20">
        <f>F51+F53+F59</f>
        <v/>
      </c>
      <c r="G60" s="20">
        <f>G51+G53+G59</f>
        <v/>
      </c>
      <c r="H60" s="20">
        <f>H51+H53+H59</f>
        <v/>
      </c>
      <c r="I60" s="20">
        <f>I51+I53+I59</f>
        <v/>
      </c>
      <c r="J60" s="20">
        <f>J51+J53+J59</f>
        <v/>
      </c>
      <c r="K60" s="20">
        <f>K51+K53+K59</f>
        <v/>
      </c>
      <c r="L60" s="20">
        <f>L51+L53+L59</f>
        <v/>
      </c>
      <c r="M60" s="20">
        <f>M51+M53+M59</f>
        <v/>
      </c>
      <c r="N60" s="20">
        <f>N51+N53+N59</f>
        <v/>
      </c>
      <c r="O60" s="20">
        <f>O51+O53+O59</f>
        <v/>
      </c>
      <c r="P60" s="20">
        <f>P51+P53+P59</f>
        <v/>
      </c>
      <c r="Q60" s="20">
        <f>Q51+Q53+Q59</f>
        <v/>
      </c>
      <c r="R60" s="20">
        <f>R51+R53+R59</f>
        <v/>
      </c>
      <c r="S60" s="20">
        <f>S51+S53+S59</f>
        <v/>
      </c>
      <c r="T60" s="20">
        <f>T51+T53+T59</f>
        <v/>
      </c>
      <c r="U60" s="20">
        <f>U51+U53+U59</f>
        <v/>
      </c>
      <c r="V60" s="20">
        <f>V51+V53+V59</f>
        <v/>
      </c>
      <c r="W60" s="20">
        <f>W51+W53+W59</f>
        <v/>
      </c>
      <c r="X60" s="20">
        <f>SUM(D60:G60)</f>
        <v/>
      </c>
      <c r="Y60" s="20">
        <f>SUM(H60:K60)</f>
        <v/>
      </c>
      <c r="Z60" s="20">
        <f>SUM(L60:O60)</f>
        <v/>
      </c>
      <c r="AA60" s="20">
        <f>SUM(P60:S60)</f>
        <v/>
      </c>
      <c r="AB60" s="20">
        <f>SUM(T60:W60)</f>
        <v/>
      </c>
    </row>
    <row r="61">
      <c r="A61" s="19" t="inlineStr">
        <is>
          <t>Ending Cash</t>
        </is>
      </c>
      <c r="B61" s="19" t="inlineStr">
        <is>
          <t>Formula</t>
        </is>
      </c>
      <c r="C61" s="20">
        <f>C46+C60</f>
        <v/>
      </c>
      <c r="D61" s="20">
        <f>D46+D60</f>
        <v/>
      </c>
      <c r="E61" s="20">
        <f>E46+E60</f>
        <v/>
      </c>
      <c r="F61" s="20">
        <f>F46+F60</f>
        <v/>
      </c>
      <c r="G61" s="20">
        <f>G46+G60</f>
        <v/>
      </c>
      <c r="H61" s="20">
        <f>H46+H60</f>
        <v/>
      </c>
      <c r="I61" s="20">
        <f>I46+I60</f>
        <v/>
      </c>
      <c r="J61" s="20">
        <f>J46+J60</f>
        <v/>
      </c>
      <c r="K61" s="20">
        <f>K46+K60</f>
        <v/>
      </c>
      <c r="L61" s="20">
        <f>L46+L60</f>
        <v/>
      </c>
      <c r="M61" s="20">
        <f>M46+M60</f>
        <v/>
      </c>
      <c r="N61" s="20">
        <f>N46+N60</f>
        <v/>
      </c>
      <c r="O61" s="20">
        <f>O46+O60</f>
        <v/>
      </c>
      <c r="P61" s="20">
        <f>P46+P60</f>
        <v/>
      </c>
      <c r="Q61" s="20">
        <f>Q46+Q60</f>
        <v/>
      </c>
      <c r="R61" s="20">
        <f>R46+R60</f>
        <v/>
      </c>
      <c r="S61" s="20">
        <f>S46+S60</f>
        <v/>
      </c>
      <c r="T61" s="20">
        <f>T46+T60</f>
        <v/>
      </c>
      <c r="U61" s="20">
        <f>U46+U60</f>
        <v/>
      </c>
      <c r="V61" s="20">
        <f>V46+V60</f>
        <v/>
      </c>
      <c r="W61" s="20">
        <f>W46+W60</f>
        <v/>
      </c>
      <c r="X61" s="20">
        <f>SUM(D61:G61)</f>
        <v/>
      </c>
      <c r="Y61" s="20">
        <f>SUM(H61:K61)</f>
        <v/>
      </c>
      <c r="Z61" s="20">
        <f>SUM(L61:O61)</f>
        <v/>
      </c>
      <c r="AA61" s="20">
        <f>SUM(P61:S61)</f>
        <v/>
      </c>
      <c r="AB61" s="20">
        <f>SUM(T61:W61)</f>
        <v/>
      </c>
    </row>
  </sheetData>
  <mergeCells count="3">
    <mergeCell ref="A22:AB22"/>
    <mergeCell ref="A45:AB45"/>
    <mergeCell ref="A7:A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AB5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Audit Source</t>
        </is>
      </c>
    </row>
    <row r="2">
      <c r="A2" s="2" t="inlineStr">
        <is>
          <t>Persisted system outputs used only for checks and audit tie-outs.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</t>
        </is>
      </c>
    </row>
    <row r="7">
      <c r="A7" t="inlineStr">
        <is>
          <t>Revenue</t>
        </is>
      </c>
      <c r="B7" t="inlineStr">
        <is>
          <t>Persisted FINMO</t>
        </is>
      </c>
      <c r="C7" s="31" t="n">
        <v>22113000</v>
      </c>
      <c r="D7" s="31" t="n">
        <v>2850744.375</v>
      </c>
      <c r="E7" s="31" t="n">
        <v>2891006.74</v>
      </c>
      <c r="F7" s="31" t="n">
        <v>2931550.66</v>
      </c>
      <c r="G7" s="31" t="n">
        <v>2972376.135</v>
      </c>
      <c r="H7" s="31" t="n">
        <v>3013483.165</v>
      </c>
      <c r="I7" s="31" t="n">
        <v>3054871.75</v>
      </c>
      <c r="J7" s="31" t="n">
        <v>3096541.89</v>
      </c>
      <c r="K7" s="31" t="n">
        <v>3138493.585</v>
      </c>
      <c r="L7" s="31" t="n">
        <v>3180726.835</v>
      </c>
      <c r="M7" s="31" t="n">
        <v>3223241.64</v>
      </c>
      <c r="N7" s="31" t="n">
        <v>3266038</v>
      </c>
      <c r="O7" s="31" t="n">
        <v>3296763.919513</v>
      </c>
      <c r="P7" s="31" t="n">
        <v>3327632.955796</v>
      </c>
      <c r="Q7" s="31" t="n">
        <v>3358636.942253</v>
      </c>
      <c r="R7" s="31" t="n">
        <v>3389784.076514</v>
      </c>
      <c r="S7" s="31" t="n">
        <v>3421066.129914</v>
      </c>
      <c r="T7" s="31" t="n">
        <v>3452491.362152</v>
      </c>
      <c r="U7" s="31" t="n">
        <v>3484051.482497</v>
      </c>
      <c r="V7" s="31" t="n">
        <v>3515754.812712</v>
      </c>
      <c r="W7" s="31" t="n">
        <v>3547593</v>
      </c>
    </row>
    <row r="8">
      <c r="A8" t="inlineStr">
        <is>
          <t>Cost of Goods Sold</t>
        </is>
      </c>
      <c r="B8" t="inlineStr">
        <is>
          <t>Persisted FINMO</t>
        </is>
      </c>
      <c r="C8" s="31" t="n">
        <v>17550491.049</v>
      </c>
      <c r="D8" s="31" t="n">
        <v>2024028.50625</v>
      </c>
      <c r="E8" s="31" t="n">
        <v>2043941.76518</v>
      </c>
      <c r="F8" s="31" t="n">
        <v>2063811.66464</v>
      </c>
      <c r="G8" s="31" t="n">
        <v>2083635.670635</v>
      </c>
      <c r="H8" s="31" t="n">
        <v>2103411.24917</v>
      </c>
      <c r="I8" s="31" t="n">
        <v>2123135.86625</v>
      </c>
      <c r="J8" s="31" t="n">
        <v>2142806.98788</v>
      </c>
      <c r="K8" s="31" t="n">
        <v>2162422.080065</v>
      </c>
      <c r="L8" s="31" t="n">
        <v>2181978.60881</v>
      </c>
      <c r="M8" s="31" t="n">
        <v>2201474.04012</v>
      </c>
      <c r="N8" s="31" t="n">
        <v>2220905.84</v>
      </c>
      <c r="O8" s="31" t="n">
        <v>2230810.252204</v>
      </c>
      <c r="P8" s="31" t="n">
        <v>2240606.190236</v>
      </c>
      <c r="Q8" s="31" t="n">
        <v>2250286.75131</v>
      </c>
      <c r="R8" s="31" t="n">
        <v>2259856.051009</v>
      </c>
      <c r="S8" s="31" t="n">
        <v>2269307.19951</v>
      </c>
      <c r="T8" s="31" t="n">
        <v>2278644.299021</v>
      </c>
      <c r="U8" s="31" t="n">
        <v>2287860.473506</v>
      </c>
      <c r="V8" s="31" t="n">
        <v>2296959.810972</v>
      </c>
      <c r="W8" s="31" t="n">
        <v>2305935.45</v>
      </c>
    </row>
    <row r="9">
      <c r="A9" t="inlineStr">
        <is>
          <t>Gross Profit</t>
        </is>
      </c>
      <c r="B9" t="inlineStr">
        <is>
          <t>Persisted FINMO</t>
        </is>
      </c>
      <c r="C9" s="31" t="n">
        <v>4562508.951</v>
      </c>
      <c r="D9" s="31" t="n">
        <v>826715.86875</v>
      </c>
      <c r="E9" s="31" t="n">
        <v>847064.97482</v>
      </c>
      <c r="F9" s="31" t="n">
        <v>867738.9953599999</v>
      </c>
      <c r="G9" s="31" t="n">
        <v>888740.464365</v>
      </c>
      <c r="H9" s="31" t="n">
        <v>910071.91583</v>
      </c>
      <c r="I9" s="31" t="n">
        <v>931735.88375</v>
      </c>
      <c r="J9" s="31" t="n">
        <v>953734.90212</v>
      </c>
      <c r="K9" s="31" t="n">
        <v>976071.504935</v>
      </c>
      <c r="L9" s="31" t="n">
        <v>998748.22619</v>
      </c>
      <c r="M9" s="31" t="n">
        <v>1021767.59988</v>
      </c>
      <c r="N9" s="31" t="n">
        <v>1045132.16</v>
      </c>
      <c r="O9" s="31" t="n">
        <v>1065953.667309</v>
      </c>
      <c r="P9" s="31" t="n">
        <v>1087026.76556</v>
      </c>
      <c r="Q9" s="31" t="n">
        <v>1108350.190944</v>
      </c>
      <c r="R9" s="31" t="n">
        <v>1129928.025505</v>
      </c>
      <c r="S9" s="31" t="n">
        <v>1151758.930405</v>
      </c>
      <c r="T9" s="31" t="n">
        <v>1173847.063132</v>
      </c>
      <c r="U9" s="31" t="n">
        <v>1196191.008991</v>
      </c>
      <c r="V9" s="31" t="n">
        <v>1218795.00174</v>
      </c>
      <c r="W9" s="31" t="n">
        <v>1241657.55</v>
      </c>
    </row>
    <row r="10">
      <c r="A10" t="inlineStr">
        <is>
          <t>Marketing</t>
        </is>
      </c>
      <c r="B10" t="inlineStr">
        <is>
          <t>Persisted FINMO</t>
        </is>
      </c>
      <c r="C10" s="31" t="n">
        <v>1326780</v>
      </c>
      <c r="D10" s="31" t="n">
        <v>228059.55</v>
      </c>
      <c r="E10" s="31" t="n">
        <v>225498.52572</v>
      </c>
      <c r="F10" s="31" t="n">
        <v>222797.85016</v>
      </c>
      <c r="G10" s="31" t="n">
        <v>219955.83399</v>
      </c>
      <c r="H10" s="31" t="n">
        <v>216970.78788</v>
      </c>
      <c r="I10" s="31" t="n">
        <v>213841.0225</v>
      </c>
      <c r="J10" s="31" t="n">
        <v>210564.84852</v>
      </c>
      <c r="K10" s="31" t="n">
        <v>207140.57661</v>
      </c>
      <c r="L10" s="31" t="n">
        <v>203566.51744</v>
      </c>
      <c r="M10" s="31" t="n">
        <v>199840.98168</v>
      </c>
      <c r="N10" s="31" t="n">
        <v>195962.28</v>
      </c>
      <c r="O10" s="31" t="n">
        <v>194142.764149</v>
      </c>
      <c r="P10" s="31" t="n">
        <v>192263.237446</v>
      </c>
      <c r="Q10" s="31" t="n">
        <v>190322.760061</v>
      </c>
      <c r="R10" s="31" t="n">
        <v>188321.337584</v>
      </c>
      <c r="S10" s="31" t="n">
        <v>186258.044851</v>
      </c>
      <c r="T10" s="31" t="n">
        <v>184132.872648</v>
      </c>
      <c r="U10" s="31" t="n">
        <v>181944.910753</v>
      </c>
      <c r="V10" s="31" t="n">
        <v>179694.134872</v>
      </c>
      <c r="W10" s="31" t="n">
        <v>177379.65</v>
      </c>
    </row>
    <row r="11">
      <c r="A11" t="inlineStr">
        <is>
          <t>Research &amp; Development</t>
        </is>
      </c>
      <c r="B11" t="inlineStr">
        <is>
          <t>Persisted FINMO</t>
        </is>
      </c>
      <c r="C11" s="31" t="n">
        <v>0</v>
      </c>
      <c r="D11" s="31" t="n">
        <v>57014.8875</v>
      </c>
      <c r="E11" s="31" t="n">
        <v>54929.12806</v>
      </c>
      <c r="F11" s="31" t="n">
        <v>52767.91188</v>
      </c>
      <c r="G11" s="31" t="n">
        <v>50530.394295</v>
      </c>
      <c r="H11" s="31" t="n">
        <v>48215.73064</v>
      </c>
      <c r="I11" s="31" t="n">
        <v>45823.07625</v>
      </c>
      <c r="J11" s="31" t="n">
        <v>43351.58646</v>
      </c>
      <c r="K11" s="31" t="n">
        <v>40800.416605</v>
      </c>
      <c r="L11" s="31" t="n">
        <v>38168.72202</v>
      </c>
      <c r="M11" s="31" t="n">
        <v>35455.65804</v>
      </c>
      <c r="N11" s="31" t="n">
        <v>32660.38</v>
      </c>
      <c r="O11" s="31" t="n">
        <v>32967.639195</v>
      </c>
      <c r="P11" s="31" t="n">
        <v>33276.329558</v>
      </c>
      <c r="Q11" s="31" t="n">
        <v>33586.369423</v>
      </c>
      <c r="R11" s="31" t="n">
        <v>33897.840765</v>
      </c>
      <c r="S11" s="31" t="n">
        <v>34210.661299</v>
      </c>
      <c r="T11" s="31" t="n">
        <v>34524.913622</v>
      </c>
      <c r="U11" s="31" t="n">
        <v>34840.514825</v>
      </c>
      <c r="V11" s="31" t="n">
        <v>35157.548127</v>
      </c>
      <c r="W11" s="31" t="n">
        <v>35475.93</v>
      </c>
    </row>
    <row r="12">
      <c r="A12" t="inlineStr">
        <is>
          <t>Lease/Rent</t>
        </is>
      </c>
      <c r="B12" t="inlineStr">
        <is>
          <t>Persisted FINMO</t>
        </is>
      </c>
      <c r="C12" s="31" t="n">
        <v>36000</v>
      </c>
      <c r="D12" s="31" t="n">
        <v>36000</v>
      </c>
      <c r="E12" s="31" t="n">
        <v>36000</v>
      </c>
      <c r="F12" s="31" t="n">
        <v>36000</v>
      </c>
      <c r="G12" s="31" t="n">
        <v>36000</v>
      </c>
      <c r="H12" s="31" t="n">
        <v>36000</v>
      </c>
      <c r="I12" s="31" t="n">
        <v>36000</v>
      </c>
      <c r="J12" s="31" t="n">
        <v>36000</v>
      </c>
      <c r="K12" s="31" t="n">
        <v>36000</v>
      </c>
      <c r="L12" s="31" t="n">
        <v>36000</v>
      </c>
      <c r="M12" s="31" t="n">
        <v>36000</v>
      </c>
      <c r="N12" s="31" t="n">
        <v>36000</v>
      </c>
      <c r="O12" s="31" t="n">
        <v>36000</v>
      </c>
      <c r="P12" s="31" t="n">
        <v>36000</v>
      </c>
      <c r="Q12" s="31" t="n">
        <v>36000</v>
      </c>
      <c r="R12" s="31" t="n">
        <v>36000</v>
      </c>
      <c r="S12" s="31" t="n">
        <v>36000</v>
      </c>
      <c r="T12" s="31" t="n">
        <v>36000</v>
      </c>
      <c r="U12" s="31" t="n">
        <v>36000</v>
      </c>
      <c r="V12" s="31" t="n">
        <v>36000</v>
      </c>
      <c r="W12" s="31" t="n">
        <v>36000</v>
      </c>
    </row>
    <row r="13">
      <c r="A13" t="inlineStr">
        <is>
          <t>Payroll</t>
        </is>
      </c>
      <c r="B13" t="inlineStr">
        <is>
          <t>Persisted FINMO</t>
        </is>
      </c>
      <c r="C13" s="31" t="n">
        <v>159384.375</v>
      </c>
      <c r="D13" s="31" t="n">
        <v>226249</v>
      </c>
      <c r="E13" s="31" t="n">
        <v>226249</v>
      </c>
      <c r="F13" s="31" t="n">
        <v>226249</v>
      </c>
      <c r="G13" s="31" t="n">
        <v>226249</v>
      </c>
      <c r="H13" s="31" t="n">
        <v>233037</v>
      </c>
      <c r="I13" s="31" t="n">
        <v>233037</v>
      </c>
      <c r="J13" s="31" t="n">
        <v>233037</v>
      </c>
      <c r="K13" s="31" t="n">
        <v>233037</v>
      </c>
      <c r="L13" s="31" t="n">
        <v>240029</v>
      </c>
      <c r="M13" s="31" t="n">
        <v>240029</v>
      </c>
      <c r="N13" s="31" t="n">
        <v>240029</v>
      </c>
      <c r="O13" s="31" t="n">
        <v>240029</v>
      </c>
      <c r="P13" s="31" t="n">
        <v>247228</v>
      </c>
      <c r="Q13" s="31" t="n">
        <v>247228</v>
      </c>
      <c r="R13" s="31" t="n">
        <v>247228</v>
      </c>
      <c r="S13" s="31" t="n">
        <v>247228</v>
      </c>
      <c r="T13" s="31" t="n">
        <v>254646</v>
      </c>
      <c r="U13" s="31" t="n">
        <v>254646</v>
      </c>
      <c r="V13" s="31" t="n">
        <v>254646</v>
      </c>
      <c r="W13" s="31" t="n">
        <v>254646</v>
      </c>
    </row>
    <row r="14">
      <c r="A14" t="inlineStr">
        <is>
          <t>General &amp; Administrative</t>
        </is>
      </c>
      <c r="B14" t="inlineStr">
        <is>
          <t>Persisted FINMO</t>
        </is>
      </c>
      <c r="C14" s="31" t="n">
        <v>23683.023</v>
      </c>
      <c r="D14" s="31" t="n">
        <v>228059.55</v>
      </c>
      <c r="E14" s="31" t="n">
        <v>228389.53246</v>
      </c>
      <c r="F14" s="31" t="n">
        <v>228660.95148</v>
      </c>
      <c r="G14" s="31" t="n">
        <v>228872.962395</v>
      </c>
      <c r="H14" s="31" t="n">
        <v>229024.72054</v>
      </c>
      <c r="I14" s="31" t="n">
        <v>229115.38125</v>
      </c>
      <c r="J14" s="31" t="n">
        <v>229144.09986</v>
      </c>
      <c r="K14" s="31" t="n">
        <v>229110.031705</v>
      </c>
      <c r="L14" s="31" t="n">
        <v>229012.33212</v>
      </c>
      <c r="M14" s="31" t="n">
        <v>228850.15644</v>
      </c>
      <c r="N14" s="31" t="n">
        <v>228622.66</v>
      </c>
      <c r="O14" s="31" t="n">
        <v>227110.403344</v>
      </c>
      <c r="P14" s="31" t="n">
        <v>225539.567004</v>
      </c>
      <c r="Q14" s="31" t="n">
        <v>223909.129484</v>
      </c>
      <c r="R14" s="31" t="n">
        <v>222219.178349</v>
      </c>
      <c r="S14" s="31" t="n">
        <v>220468.70615</v>
      </c>
      <c r="T14" s="31" t="n">
        <v>218657.78627</v>
      </c>
      <c r="U14" s="31" t="n">
        <v>216785.425578</v>
      </c>
      <c r="V14" s="31" t="n">
        <v>214851.682999</v>
      </c>
      <c r="W14" s="31" t="n">
        <v>212855.58</v>
      </c>
    </row>
    <row r="15">
      <c r="A15" t="inlineStr">
        <is>
          <t>EBITDA</t>
        </is>
      </c>
      <c r="B15" t="inlineStr">
        <is>
          <t>Persisted FINMO</t>
        </is>
      </c>
      <c r="C15" s="31" t="n">
        <v>3016661.553</v>
      </c>
      <c r="D15" s="31" t="n">
        <v>51332.88125</v>
      </c>
      <c r="E15" s="31" t="n">
        <v>75998.78857999999</v>
      </c>
      <c r="F15" s="31" t="n">
        <v>101263.28184</v>
      </c>
      <c r="G15" s="31" t="n">
        <v>127132.273685</v>
      </c>
      <c r="H15" s="31" t="n">
        <v>146823.67677</v>
      </c>
      <c r="I15" s="31" t="n">
        <v>173919.40375</v>
      </c>
      <c r="J15" s="31" t="n">
        <v>201637.36728</v>
      </c>
      <c r="K15" s="31" t="n">
        <v>229983.480015</v>
      </c>
      <c r="L15" s="31" t="n">
        <v>251971.65461</v>
      </c>
      <c r="M15" s="31" t="n">
        <v>281591.80372</v>
      </c>
      <c r="N15" s="31" t="n">
        <v>311857.84</v>
      </c>
      <c r="O15" s="31" t="n">
        <v>335703.860621</v>
      </c>
      <c r="P15" s="31" t="n">
        <v>352719.631552</v>
      </c>
      <c r="Q15" s="31" t="n">
        <v>377303.931976</v>
      </c>
      <c r="R15" s="31" t="n">
        <v>402261.668806</v>
      </c>
      <c r="S15" s="31" t="n">
        <v>427593.518104</v>
      </c>
      <c r="T15" s="31" t="n">
        <v>445885.490593</v>
      </c>
      <c r="U15" s="31" t="n">
        <v>471974.157835</v>
      </c>
      <c r="V15" s="31" t="n">
        <v>498445.635742</v>
      </c>
      <c r="W15" s="31" t="n">
        <v>525300.39</v>
      </c>
    </row>
    <row r="16">
      <c r="A16" t="inlineStr">
        <is>
          <t>Interest</t>
        </is>
      </c>
      <c r="B16" t="inlineStr">
        <is>
          <t>Persisted FINMO</t>
        </is>
      </c>
      <c r="C16" s="31" t="n">
        <v>0</v>
      </c>
      <c r="D16" s="31" t="n">
        <v>0</v>
      </c>
      <c r="E16" s="31" t="n">
        <v>0</v>
      </c>
      <c r="F16" s="31" t="n">
        <v>0</v>
      </c>
      <c r="G16" s="31" t="n">
        <v>0</v>
      </c>
      <c r="H16" s="31" t="n">
        <v>0</v>
      </c>
      <c r="I16" s="31" t="n">
        <v>0</v>
      </c>
      <c r="J16" s="31" t="n">
        <v>0</v>
      </c>
      <c r="K16" s="31" t="n">
        <v>0</v>
      </c>
      <c r="L16" s="31" t="n">
        <v>0</v>
      </c>
      <c r="M16" s="31" t="n">
        <v>0</v>
      </c>
      <c r="N16" s="31" t="n">
        <v>0</v>
      </c>
      <c r="O16" s="31" t="n">
        <v>0</v>
      </c>
      <c r="P16" s="31" t="n">
        <v>0</v>
      </c>
      <c r="Q16" s="31" t="n">
        <v>0</v>
      </c>
      <c r="R16" s="31" t="n">
        <v>0</v>
      </c>
      <c r="S16" s="31" t="n">
        <v>0</v>
      </c>
      <c r="T16" s="31" t="n">
        <v>0</v>
      </c>
      <c r="U16" s="31" t="n">
        <v>0</v>
      </c>
      <c r="V16" s="31" t="n">
        <v>0</v>
      </c>
      <c r="W16" s="31" t="n">
        <v>0</v>
      </c>
    </row>
    <row r="17">
      <c r="A17" t="inlineStr">
        <is>
          <t>Depreciation</t>
        </is>
      </c>
      <c r="B17" t="inlineStr">
        <is>
          <t>Persisted FINMO</t>
        </is>
      </c>
      <c r="C17" s="31" t="n">
        <v>0</v>
      </c>
      <c r="D17" s="31" t="n">
        <v>0</v>
      </c>
      <c r="E17" s="31" t="n">
        <v>0</v>
      </c>
      <c r="F17" s="31" t="n">
        <v>0</v>
      </c>
      <c r="G17" s="31" t="n">
        <v>0</v>
      </c>
      <c r="H17" s="31" t="n">
        <v>0</v>
      </c>
      <c r="I17" s="31" t="n">
        <v>0</v>
      </c>
      <c r="J17" s="31" t="n">
        <v>0</v>
      </c>
      <c r="K17" s="31" t="n">
        <v>0</v>
      </c>
      <c r="L17" s="31" t="n">
        <v>0</v>
      </c>
      <c r="M17" s="31" t="n">
        <v>0</v>
      </c>
      <c r="N17" s="31" t="n">
        <v>0</v>
      </c>
      <c r="O17" s="31" t="n">
        <v>0</v>
      </c>
      <c r="P17" s="31" t="n">
        <v>0</v>
      </c>
      <c r="Q17" s="31" t="n">
        <v>0</v>
      </c>
      <c r="R17" s="31" t="n">
        <v>0</v>
      </c>
      <c r="S17" s="31" t="n">
        <v>0</v>
      </c>
      <c r="T17" s="31" t="n">
        <v>0</v>
      </c>
      <c r="U17" s="31" t="n">
        <v>0</v>
      </c>
      <c r="V17" s="31" t="n">
        <v>0</v>
      </c>
      <c r="W17" s="31" t="n">
        <v>0</v>
      </c>
    </row>
    <row r="18">
      <c r="A18" t="inlineStr">
        <is>
          <t>Taxes</t>
        </is>
      </c>
      <c r="B18" t="inlineStr">
        <is>
          <t>Persisted FINMO</t>
        </is>
      </c>
      <c r="C18" s="31" t="n">
        <v>619374.916739</v>
      </c>
      <c r="D18" s="31" t="n">
        <v>10539.564512</v>
      </c>
      <c r="E18" s="31" t="n">
        <v>15603.919274</v>
      </c>
      <c r="F18" s="31" t="n">
        <v>20791.174501</v>
      </c>
      <c r="G18" s="31" t="n">
        <v>26102.544168</v>
      </c>
      <c r="H18" s="31" t="n">
        <v>30145.543667</v>
      </c>
      <c r="I18" s="31" t="n">
        <v>35708.784139</v>
      </c>
      <c r="J18" s="31" t="n">
        <v>41399.780975</v>
      </c>
      <c r="K18" s="31" t="n">
        <v>47219.74815</v>
      </c>
      <c r="L18" s="31" t="n">
        <v>51734.316181</v>
      </c>
      <c r="M18" s="31" t="n">
        <v>57815.865956</v>
      </c>
      <c r="N18" s="31" t="n">
        <v>64030.027993</v>
      </c>
      <c r="O18" s="31" t="n">
        <v>68926.045255</v>
      </c>
      <c r="P18" s="31" t="n">
        <v>72419.68931099999</v>
      </c>
      <c r="Q18" s="31" t="n">
        <v>77467.28870600001</v>
      </c>
      <c r="R18" s="31" t="n">
        <v>82591.56131600001</v>
      </c>
      <c r="S18" s="31" t="n">
        <v>87792.64595000001</v>
      </c>
      <c r="T18" s="31" t="n">
        <v>91548.317157</v>
      </c>
      <c r="U18" s="31" t="n">
        <v>96904.790138</v>
      </c>
      <c r="V18" s="31" t="n">
        <v>102339.861039</v>
      </c>
      <c r="W18" s="31" t="n">
        <v>107853.625474</v>
      </c>
    </row>
    <row r="19">
      <c r="A19" t="inlineStr">
        <is>
          <t>Net Income</t>
        </is>
      </c>
      <c r="B19" t="inlineStr">
        <is>
          <t>Persisted FINMO</t>
        </is>
      </c>
      <c r="C19" s="31" t="n">
        <v>2397286.636261</v>
      </c>
      <c r="D19" s="31" t="n">
        <v>40793.316738</v>
      </c>
      <c r="E19" s="31" t="n">
        <v>60394.869306</v>
      </c>
      <c r="F19" s="31" t="n">
        <v>80472.10733899999</v>
      </c>
      <c r="G19" s="31" t="n">
        <v>101029.729517</v>
      </c>
      <c r="H19" s="31" t="n">
        <v>116678.133103</v>
      </c>
      <c r="I19" s="31" t="n">
        <v>138210.619611</v>
      </c>
      <c r="J19" s="31" t="n">
        <v>160237.586305</v>
      </c>
      <c r="K19" s="31" t="n">
        <v>182763.731865</v>
      </c>
      <c r="L19" s="31" t="n">
        <v>200237.338429</v>
      </c>
      <c r="M19" s="31" t="n">
        <v>223775.937764</v>
      </c>
      <c r="N19" s="31" t="n">
        <v>247827.812007</v>
      </c>
      <c r="O19" s="31" t="n">
        <v>266777.815366</v>
      </c>
      <c r="P19" s="31" t="n">
        <v>280299.942241</v>
      </c>
      <c r="Q19" s="31" t="n">
        <v>299836.643271</v>
      </c>
      <c r="R19" s="31" t="n">
        <v>319670.10749</v>
      </c>
      <c r="S19" s="31" t="n">
        <v>339800.872154</v>
      </c>
      <c r="T19" s="31" t="n">
        <v>354337.173435</v>
      </c>
      <c r="U19" s="31" t="n">
        <v>375069.367697</v>
      </c>
      <c r="V19" s="31" t="n">
        <v>396105.774703</v>
      </c>
      <c r="W19" s="31" t="n">
        <v>417446.764526</v>
      </c>
    </row>
    <row r="22">
      <c r="A22" s="7" t="inlineStr">
        <is>
          <t>Balance Sheet</t>
        </is>
      </c>
    </row>
    <row r="23">
      <c r="A23" t="inlineStr">
        <is>
          <t>Cash</t>
        </is>
      </c>
      <c r="B23" t="inlineStr">
        <is>
          <t>Persisted FINMO</t>
        </is>
      </c>
      <c r="C23" s="31" t="n">
        <v>0</v>
      </c>
      <c r="D23" s="31" t="n">
        <v>1399706.429238</v>
      </c>
      <c r="E23" s="31" t="n">
        <v>1451323.882626</v>
      </c>
      <c r="F23" s="31" t="n">
        <v>1517810.408023</v>
      </c>
      <c r="G23" s="31" t="n">
        <v>1612251.013336</v>
      </c>
      <c r="H23" s="31" t="n">
        <v>1724536.011146</v>
      </c>
      <c r="I23" s="31" t="n">
        <v>1853399.494418</v>
      </c>
      <c r="J23" s="31" t="n">
        <v>1929935.773516</v>
      </c>
      <c r="K23" s="31" t="n">
        <v>1939006.199804</v>
      </c>
      <c r="L23" s="31" t="n">
        <v>1952504.228364</v>
      </c>
      <c r="M23" s="31" t="n">
        <v>1961099.681576</v>
      </c>
      <c r="N23" s="31" t="n">
        <v>1969453.52865</v>
      </c>
      <c r="O23" s="31" t="n">
        <v>1974039.789376</v>
      </c>
      <c r="P23" s="31" t="n">
        <v>1983276.407466</v>
      </c>
      <c r="Q23" s="31" t="n">
        <v>1987555.644399</v>
      </c>
      <c r="R23" s="31" t="n">
        <v>1991682.448301</v>
      </c>
      <c r="S23" s="31" t="n">
        <v>1995648.090679</v>
      </c>
      <c r="T23" s="31" t="n">
        <v>2004404.482001</v>
      </c>
      <c r="U23" s="31" t="n">
        <v>2008051.870696</v>
      </c>
      <c r="V23" s="31" t="n">
        <v>2011540.101967</v>
      </c>
      <c r="W23" s="31" t="n">
        <v>2014862.407042</v>
      </c>
    </row>
    <row r="24">
      <c r="A24" t="inlineStr">
        <is>
          <t>Accounts Receivable</t>
        </is>
      </c>
      <c r="B24" t="inlineStr">
        <is>
          <t>Persisted FINMO</t>
        </is>
      </c>
      <c r="C24" s="31" t="n">
        <v>0</v>
      </c>
      <c r="D24" s="31" t="n">
        <v>464795.278533</v>
      </c>
      <c r="E24" s="31" t="n">
        <v>471359.794565</v>
      </c>
      <c r="F24" s="31" t="n">
        <v>488591.776667</v>
      </c>
      <c r="G24" s="31" t="n">
        <v>489952.110165</v>
      </c>
      <c r="H24" s="31" t="n">
        <v>491328.776902</v>
      </c>
      <c r="I24" s="31" t="n">
        <v>498076.915761</v>
      </c>
      <c r="J24" s="31" t="n">
        <v>510418.992857</v>
      </c>
      <c r="K24" s="31" t="n">
        <v>517334.107418</v>
      </c>
      <c r="L24" s="31" t="n">
        <v>518596.766576</v>
      </c>
      <c r="M24" s="31" t="n">
        <v>525528.5282610001</v>
      </c>
      <c r="N24" s="31" t="n">
        <v>544339.666667</v>
      </c>
      <c r="O24" s="31" t="n">
        <v>543422.624096</v>
      </c>
      <c r="P24" s="31" t="n">
        <v>542548.851489</v>
      </c>
      <c r="Q24" s="31" t="n">
        <v>547603.84928</v>
      </c>
      <c r="R24" s="31" t="n">
        <v>564964.012752</v>
      </c>
      <c r="S24" s="31" t="n">
        <v>563911.999436</v>
      </c>
      <c r="T24" s="31" t="n">
        <v>562906.2003509999</v>
      </c>
      <c r="U24" s="31" t="n">
        <v>568051.872146</v>
      </c>
      <c r="V24" s="31" t="n">
        <v>585959.135452</v>
      </c>
      <c r="W24" s="31" t="n">
        <v>584768.076923</v>
      </c>
    </row>
    <row r="25">
      <c r="A25" t="inlineStr">
        <is>
          <t>Inventory</t>
        </is>
      </c>
      <c r="B25" t="inlineStr">
        <is>
          <t>Persisted FINMO</t>
        </is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0</v>
      </c>
      <c r="H25" s="31" t="n">
        <v>0</v>
      </c>
      <c r="I25" s="31" t="n">
        <v>0</v>
      </c>
      <c r="J25" s="31" t="n">
        <v>0</v>
      </c>
      <c r="K25" s="31" t="n">
        <v>0</v>
      </c>
      <c r="L25" s="31" t="n">
        <v>0</v>
      </c>
      <c r="M25" s="31" t="n">
        <v>0</v>
      </c>
      <c r="N25" s="31" t="n">
        <v>0</v>
      </c>
      <c r="O25" s="31" t="n">
        <v>0</v>
      </c>
      <c r="P25" s="31" t="n">
        <v>0</v>
      </c>
      <c r="Q25" s="31" t="n">
        <v>0</v>
      </c>
      <c r="R25" s="31" t="n">
        <v>0</v>
      </c>
      <c r="S25" s="31" t="n">
        <v>0</v>
      </c>
      <c r="T25" s="31" t="n">
        <v>0</v>
      </c>
      <c r="U25" s="31" t="n">
        <v>0</v>
      </c>
      <c r="V25" s="31" t="n">
        <v>0</v>
      </c>
      <c r="W25" s="31" t="n">
        <v>0</v>
      </c>
    </row>
    <row r="26">
      <c r="A26" t="inlineStr">
        <is>
          <t>Current Assets</t>
        </is>
      </c>
      <c r="B26" t="inlineStr">
        <is>
          <t>Persisted FINMO</t>
        </is>
      </c>
      <c r="C26" s="31" t="n">
        <v>0</v>
      </c>
      <c r="D26" s="31" t="n">
        <v>1921516.59527</v>
      </c>
      <c r="E26" s="31" t="n">
        <v>1980503.811992</v>
      </c>
      <c r="F26" s="31" t="n">
        <v>2065033.19789</v>
      </c>
      <c r="G26" s="31" t="n">
        <v>2161650.646201</v>
      </c>
      <c r="H26" s="31" t="n">
        <v>2276134.451348</v>
      </c>
      <c r="I26" s="31" t="n">
        <v>2412573.845179</v>
      </c>
      <c r="J26" s="31" t="n">
        <v>2502285.604173</v>
      </c>
      <c r="K26" s="31" t="n">
        <v>2519110.178922</v>
      </c>
      <c r="L26" s="31" t="n">
        <v>2534715.53164</v>
      </c>
      <c r="M26" s="31" t="n">
        <v>2551093.042637</v>
      </c>
      <c r="N26" s="31" t="n">
        <v>2579113.955316</v>
      </c>
      <c r="O26" s="31" t="n">
        <v>2583397.691861</v>
      </c>
      <c r="P26" s="31" t="n">
        <v>2592377.918071</v>
      </c>
      <c r="Q26" s="31" t="n">
        <v>2602332.232524</v>
      </c>
      <c r="R26" s="31" t="n">
        <v>2624442.142584</v>
      </c>
      <c r="S26" s="31" t="n">
        <v>2627981.412714</v>
      </c>
      <c r="T26" s="31" t="n">
        <v>2636360.509595</v>
      </c>
      <c r="U26" s="31" t="n">
        <v>2645784.772492</v>
      </c>
      <c r="V26" s="31" t="n">
        <v>2667814.333673</v>
      </c>
      <c r="W26" s="31" t="n">
        <v>2670582.343965</v>
      </c>
    </row>
    <row r="27">
      <c r="A27" t="inlineStr">
        <is>
          <t>PPE</t>
        </is>
      </c>
      <c r="B27" t="inlineStr">
        <is>
          <t>Persisted FINMO</t>
        </is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0</v>
      </c>
      <c r="H27" s="31" t="n">
        <v>0</v>
      </c>
      <c r="I27" s="31" t="n">
        <v>0</v>
      </c>
      <c r="J27" s="31" t="n">
        <v>0</v>
      </c>
      <c r="K27" s="31" t="n">
        <v>0</v>
      </c>
      <c r="L27" s="31" t="n">
        <v>0</v>
      </c>
      <c r="M27" s="31" t="n">
        <v>0</v>
      </c>
      <c r="N27" s="31" t="n">
        <v>0</v>
      </c>
      <c r="O27" s="31" t="n">
        <v>0</v>
      </c>
      <c r="P27" s="31" t="n">
        <v>0</v>
      </c>
      <c r="Q27" s="31" t="n">
        <v>0</v>
      </c>
      <c r="R27" s="31" t="n">
        <v>0</v>
      </c>
      <c r="S27" s="31" t="n">
        <v>0</v>
      </c>
      <c r="T27" s="31" t="n">
        <v>0</v>
      </c>
      <c r="U27" s="31" t="n">
        <v>0</v>
      </c>
      <c r="V27" s="31" t="n">
        <v>0</v>
      </c>
      <c r="W27" s="31" t="n">
        <v>0</v>
      </c>
    </row>
    <row r="28">
      <c r="A28" t="inlineStr">
        <is>
          <t>Accumulated Depreciation</t>
        </is>
      </c>
      <c r="B28" t="inlineStr">
        <is>
          <t>Persisted FINMO</t>
        </is>
      </c>
      <c r="C28" s="31" t="n">
        <v>0</v>
      </c>
      <c r="D28" s="31" t="n">
        <v>0</v>
      </c>
      <c r="E28" s="31" t="n">
        <v>0</v>
      </c>
      <c r="F28" s="31" t="n">
        <v>0</v>
      </c>
      <c r="G28" s="31" t="n">
        <v>0</v>
      </c>
      <c r="H28" s="31" t="n">
        <v>0</v>
      </c>
      <c r="I28" s="31" t="n">
        <v>0</v>
      </c>
      <c r="J28" s="31" t="n">
        <v>0</v>
      </c>
      <c r="K28" s="31" t="n">
        <v>0</v>
      </c>
      <c r="L28" s="31" t="n">
        <v>0</v>
      </c>
      <c r="M28" s="31" t="n">
        <v>0</v>
      </c>
      <c r="N28" s="31" t="n">
        <v>0</v>
      </c>
      <c r="O28" s="31" t="n">
        <v>0</v>
      </c>
      <c r="P28" s="31" t="n">
        <v>0</v>
      </c>
      <c r="Q28" s="31" t="n">
        <v>0</v>
      </c>
      <c r="R28" s="31" t="n">
        <v>0</v>
      </c>
      <c r="S28" s="31" t="n">
        <v>0</v>
      </c>
      <c r="T28" s="31" t="n">
        <v>0</v>
      </c>
      <c r="U28" s="31" t="n">
        <v>0</v>
      </c>
      <c r="V28" s="31" t="n">
        <v>0</v>
      </c>
      <c r="W28" s="31" t="n">
        <v>0</v>
      </c>
    </row>
    <row r="29">
      <c r="A29" t="inlineStr">
        <is>
          <t>Total Assets</t>
        </is>
      </c>
      <c r="B29" t="inlineStr">
        <is>
          <t>Persisted FINMO</t>
        </is>
      </c>
      <c r="C29" s="31" t="n">
        <v>0</v>
      </c>
      <c r="D29" s="31" t="n">
        <v>1921516.59527</v>
      </c>
      <c r="E29" s="31" t="n">
        <v>1980503.811992</v>
      </c>
      <c r="F29" s="31" t="n">
        <v>2065033.19789</v>
      </c>
      <c r="G29" s="31" t="n">
        <v>2161650.646201</v>
      </c>
      <c r="H29" s="31" t="n">
        <v>2276134.451348</v>
      </c>
      <c r="I29" s="31" t="n">
        <v>2412573.845179</v>
      </c>
      <c r="J29" s="31" t="n">
        <v>2502285.604173</v>
      </c>
      <c r="K29" s="31" t="n">
        <v>2519110.178922</v>
      </c>
      <c r="L29" s="31" t="n">
        <v>2534715.53164</v>
      </c>
      <c r="M29" s="31" t="n">
        <v>2551093.042637</v>
      </c>
      <c r="N29" s="31" t="n">
        <v>2579113.955316</v>
      </c>
      <c r="O29" s="31" t="n">
        <v>2583397.691861</v>
      </c>
      <c r="P29" s="31" t="n">
        <v>2592377.918071</v>
      </c>
      <c r="Q29" s="31" t="n">
        <v>2602332.232524</v>
      </c>
      <c r="R29" s="31" t="n">
        <v>2624442.142584</v>
      </c>
      <c r="S29" s="31" t="n">
        <v>2627981.412714</v>
      </c>
      <c r="T29" s="31" t="n">
        <v>2636360.509595</v>
      </c>
      <c r="U29" s="31" t="n">
        <v>2645784.772492</v>
      </c>
      <c r="V29" s="31" t="n">
        <v>2667814.333673</v>
      </c>
      <c r="W29" s="31" t="n">
        <v>2670582.343965</v>
      </c>
    </row>
    <row r="30">
      <c r="A30" t="inlineStr">
        <is>
          <t>Accounts Payable</t>
        </is>
      </c>
      <c r="B30" t="inlineStr">
        <is>
          <t>Persisted FINMO</t>
        </is>
      </c>
      <c r="C30" s="31" t="n">
        <v>0</v>
      </c>
      <c r="D30" s="31" t="n">
        <v>252842.278533</v>
      </c>
      <c r="E30" s="31" t="n">
        <v>251434.625948</v>
      </c>
      <c r="F30" s="31" t="n">
        <v>255491.904507</v>
      </c>
      <c r="G30" s="31" t="n">
        <v>251079.623301</v>
      </c>
      <c r="H30" s="31" t="n">
        <v>248885.295346</v>
      </c>
      <c r="I30" s="31" t="n">
        <v>247114.069565</v>
      </c>
      <c r="J30" s="31" t="n">
        <v>247944.242255</v>
      </c>
      <c r="K30" s="31" t="n">
        <v>245963.085138</v>
      </c>
      <c r="L30" s="31" t="n">
        <v>243514.099428</v>
      </c>
      <c r="M30" s="31" t="n">
        <v>241361.672661</v>
      </c>
      <c r="N30" s="31" t="n">
        <v>244424.773333</v>
      </c>
      <c r="O30" s="31" t="n">
        <v>240741.694513</v>
      </c>
      <c r="P30" s="31" t="n">
        <v>239447.978481</v>
      </c>
      <c r="Q30" s="31" t="n">
        <v>238384.649663</v>
      </c>
      <c r="R30" s="31" t="n">
        <v>242555.452233</v>
      </c>
      <c r="S30" s="31" t="n">
        <v>238735.850209</v>
      </c>
      <c r="T30" s="31" t="n">
        <v>237378.773654</v>
      </c>
      <c r="U30" s="31" t="n">
        <v>236157.668855</v>
      </c>
      <c r="V30" s="31" t="n">
        <v>240116.455333</v>
      </c>
      <c r="W30" s="31" t="n">
        <v>236161.701099</v>
      </c>
    </row>
    <row r="31">
      <c r="A31" t="inlineStr">
        <is>
          <t>Prepaid Expenses (% of Revenue)</t>
        </is>
      </c>
      <c r="B31" t="inlineStr">
        <is>
          <t>Persisted FINMO</t>
        </is>
      </c>
      <c r="C31" s="31" t="n">
        <v>0</v>
      </c>
      <c r="D31" s="31" t="n">
        <v>57014.8875</v>
      </c>
      <c r="E31" s="31" t="n">
        <v>57820.1348</v>
      </c>
      <c r="F31" s="31" t="n">
        <v>58631.0132</v>
      </c>
      <c r="G31" s="31" t="n">
        <v>59447.5227</v>
      </c>
      <c r="H31" s="31" t="n">
        <v>60269.6633</v>
      </c>
      <c r="I31" s="31" t="n">
        <v>61097.435</v>
      </c>
      <c r="J31" s="31" t="n">
        <v>61930.8378</v>
      </c>
      <c r="K31" s="31" t="n">
        <v>62769.8717</v>
      </c>
      <c r="L31" s="31" t="n">
        <v>63614.5367</v>
      </c>
      <c r="M31" s="31" t="n">
        <v>64464.8328</v>
      </c>
      <c r="N31" s="31" t="n">
        <v>65320.76</v>
      </c>
      <c r="O31" s="31" t="n">
        <v>65935.27839000001</v>
      </c>
      <c r="P31" s="31" t="n">
        <v>66552.659116</v>
      </c>
      <c r="Q31" s="31" t="n">
        <v>67172.738845</v>
      </c>
      <c r="R31" s="31" t="n">
        <v>67795.68153</v>
      </c>
      <c r="S31" s="31" t="n">
        <v>68421.322598</v>
      </c>
      <c r="T31" s="31" t="n">
        <v>69049.82724300001</v>
      </c>
      <c r="U31" s="31" t="n">
        <v>69681.02965</v>
      </c>
      <c r="V31" s="31" t="n">
        <v>70315.096254</v>
      </c>
      <c r="W31" s="31" t="n">
        <v>70951.86</v>
      </c>
    </row>
    <row r="32">
      <c r="A32" t="inlineStr">
        <is>
          <t>Short Term Debt</t>
        </is>
      </c>
      <c r="B32" t="inlineStr">
        <is>
          <t>Persisted FINMO</t>
        </is>
      </c>
      <c r="C32" s="31" t="n">
        <v>0</v>
      </c>
      <c r="D32" s="31" t="n">
        <v>0</v>
      </c>
      <c r="E32" s="31" t="n">
        <v>0</v>
      </c>
      <c r="F32" s="31" t="n">
        <v>0</v>
      </c>
      <c r="G32" s="31" t="n">
        <v>0</v>
      </c>
      <c r="H32" s="31" t="n">
        <v>0</v>
      </c>
      <c r="I32" s="31" t="n">
        <v>0</v>
      </c>
      <c r="J32" s="31" t="n">
        <v>0</v>
      </c>
      <c r="K32" s="31" t="n">
        <v>0</v>
      </c>
      <c r="L32" s="31" t="n">
        <v>0</v>
      </c>
      <c r="M32" s="31" t="n">
        <v>0</v>
      </c>
      <c r="N32" s="31" t="n">
        <v>0</v>
      </c>
      <c r="O32" s="31" t="n">
        <v>0</v>
      </c>
      <c r="P32" s="31" t="n">
        <v>0</v>
      </c>
      <c r="Q32" s="31" t="n">
        <v>0</v>
      </c>
      <c r="R32" s="31" t="n">
        <v>0</v>
      </c>
      <c r="S32" s="31" t="n">
        <v>0</v>
      </c>
      <c r="T32" s="31" t="n">
        <v>0</v>
      </c>
      <c r="U32" s="31" t="n">
        <v>0</v>
      </c>
      <c r="V32" s="31" t="n">
        <v>0</v>
      </c>
      <c r="W32" s="31" t="n">
        <v>0</v>
      </c>
    </row>
    <row r="33">
      <c r="A33" t="inlineStr">
        <is>
          <t>Deferred Revenue (% of Revenue)</t>
        </is>
      </c>
      <c r="B33" t="inlineStr">
        <is>
          <t>Persisted FINMO</t>
        </is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0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</row>
    <row r="34">
      <c r="A34" t="inlineStr">
        <is>
          <t>Current Liabilites</t>
        </is>
      </c>
      <c r="B34" t="inlineStr">
        <is>
          <t>Persisted FINMO</t>
        </is>
      </c>
      <c r="C34" s="31" t="n">
        <v>0</v>
      </c>
      <c r="D34" s="31" t="n">
        <v>252842.278533</v>
      </c>
      <c r="E34" s="31" t="n">
        <v>251434.625948</v>
      </c>
      <c r="F34" s="31" t="n">
        <v>255491.904507</v>
      </c>
      <c r="G34" s="31" t="n">
        <v>251079.623301</v>
      </c>
      <c r="H34" s="31" t="n">
        <v>248885.295346</v>
      </c>
      <c r="I34" s="31" t="n">
        <v>247114.069565</v>
      </c>
      <c r="J34" s="31" t="n">
        <v>247944.242255</v>
      </c>
      <c r="K34" s="31" t="n">
        <v>245963.085138</v>
      </c>
      <c r="L34" s="31" t="n">
        <v>243514.099428</v>
      </c>
      <c r="M34" s="31" t="n">
        <v>241361.672661</v>
      </c>
      <c r="N34" s="31" t="n">
        <v>244424.773333</v>
      </c>
      <c r="O34" s="31" t="n">
        <v>240741.694513</v>
      </c>
      <c r="P34" s="31" t="n">
        <v>239447.978481</v>
      </c>
      <c r="Q34" s="31" t="n">
        <v>238384.649663</v>
      </c>
      <c r="R34" s="31" t="n">
        <v>242555.452233</v>
      </c>
      <c r="S34" s="31" t="n">
        <v>238735.850209</v>
      </c>
      <c r="T34" s="31" t="n">
        <v>237378.773654</v>
      </c>
      <c r="U34" s="31" t="n">
        <v>236157.668855</v>
      </c>
      <c r="V34" s="31" t="n">
        <v>240116.455333</v>
      </c>
      <c r="W34" s="31" t="n">
        <v>236161.701099</v>
      </c>
    </row>
    <row r="35">
      <c r="A35" t="inlineStr">
        <is>
          <t>Long Term Debt</t>
        </is>
      </c>
      <c r="B35" t="inlineStr">
        <is>
          <t>Persisted FINMO</t>
        </is>
      </c>
      <c r="C35" s="31" t="n">
        <v>0</v>
      </c>
      <c r="D35" s="31" t="n">
        <v>0</v>
      </c>
      <c r="E35" s="31" t="n">
        <v>0</v>
      </c>
      <c r="F35" s="31" t="n">
        <v>0</v>
      </c>
      <c r="G35" s="31" t="n">
        <v>0</v>
      </c>
      <c r="H35" s="31" t="n">
        <v>0</v>
      </c>
      <c r="I35" s="31" t="n">
        <v>0</v>
      </c>
      <c r="J35" s="31" t="n">
        <v>0</v>
      </c>
      <c r="K35" s="31" t="n">
        <v>0</v>
      </c>
      <c r="L35" s="31" t="n">
        <v>0</v>
      </c>
      <c r="M35" s="31" t="n">
        <v>0</v>
      </c>
      <c r="N35" s="31" t="n">
        <v>0</v>
      </c>
      <c r="O35" s="31" t="n">
        <v>0</v>
      </c>
      <c r="P35" s="31" t="n">
        <v>0</v>
      </c>
      <c r="Q35" s="31" t="n">
        <v>0</v>
      </c>
      <c r="R35" s="31" t="n">
        <v>0</v>
      </c>
      <c r="S35" s="31" t="n">
        <v>0</v>
      </c>
      <c r="T35" s="31" t="n">
        <v>0</v>
      </c>
      <c r="U35" s="31" t="n">
        <v>0</v>
      </c>
      <c r="V35" s="31" t="n">
        <v>0</v>
      </c>
      <c r="W35" s="31" t="n">
        <v>0</v>
      </c>
    </row>
    <row r="36">
      <c r="A36" t="inlineStr">
        <is>
          <t>Total Liabilities</t>
        </is>
      </c>
      <c r="B36" t="inlineStr">
        <is>
          <t>Persisted FINMO</t>
        </is>
      </c>
      <c r="C36" s="31" t="n">
        <v>0</v>
      </c>
      <c r="D36" s="31" t="n">
        <v>252842.278533</v>
      </c>
      <c r="E36" s="31" t="n">
        <v>251434.625948</v>
      </c>
      <c r="F36" s="31" t="n">
        <v>255491.904507</v>
      </c>
      <c r="G36" s="31" t="n">
        <v>251079.623301</v>
      </c>
      <c r="H36" s="31" t="n">
        <v>248885.295346</v>
      </c>
      <c r="I36" s="31" t="n">
        <v>247114.069565</v>
      </c>
      <c r="J36" s="31" t="n">
        <v>247944.242255</v>
      </c>
      <c r="K36" s="31" t="n">
        <v>245963.085138</v>
      </c>
      <c r="L36" s="31" t="n">
        <v>243514.099428</v>
      </c>
      <c r="M36" s="31" t="n">
        <v>241361.672661</v>
      </c>
      <c r="N36" s="31" t="n">
        <v>244424.773333</v>
      </c>
      <c r="O36" s="31" t="n">
        <v>240741.694513</v>
      </c>
      <c r="P36" s="31" t="n">
        <v>239447.978481</v>
      </c>
      <c r="Q36" s="31" t="n">
        <v>238384.649663</v>
      </c>
      <c r="R36" s="31" t="n">
        <v>242555.452233</v>
      </c>
      <c r="S36" s="31" t="n">
        <v>238735.850209</v>
      </c>
      <c r="T36" s="31" t="n">
        <v>237378.773654</v>
      </c>
      <c r="U36" s="31" t="n">
        <v>236157.668855</v>
      </c>
      <c r="V36" s="31" t="n">
        <v>240116.455333</v>
      </c>
      <c r="W36" s="31" t="n">
        <v>236161.701099</v>
      </c>
    </row>
    <row r="37">
      <c r="A37" t="inlineStr">
        <is>
          <t>Owner's Capital</t>
        </is>
      </c>
      <c r="B37" t="inlineStr">
        <is>
          <t>Persisted FINMO</t>
        </is>
      </c>
      <c r="C37" s="31" t="n">
        <v>0</v>
      </c>
      <c r="D37" s="31" t="n">
        <v>1627881</v>
      </c>
      <c r="E37" s="31" t="n">
        <v>1627881</v>
      </c>
      <c r="F37" s="31" t="n">
        <v>1627881</v>
      </c>
      <c r="G37" s="31" t="n">
        <v>1627881</v>
      </c>
      <c r="H37" s="31" t="n">
        <v>1627881</v>
      </c>
      <c r="I37" s="31" t="n">
        <v>1627881</v>
      </c>
      <c r="J37" s="31" t="n">
        <v>1627881</v>
      </c>
      <c r="K37" s="31" t="n">
        <v>1627881</v>
      </c>
      <c r="L37" s="31" t="n">
        <v>1627881</v>
      </c>
      <c r="M37" s="31" t="n">
        <v>1627881</v>
      </c>
      <c r="N37" s="31" t="n">
        <v>1627881</v>
      </c>
      <c r="O37" s="31" t="n">
        <v>1627881</v>
      </c>
      <c r="P37" s="31" t="n">
        <v>1627881</v>
      </c>
      <c r="Q37" s="31" t="n">
        <v>1627881</v>
      </c>
      <c r="R37" s="31" t="n">
        <v>1627881</v>
      </c>
      <c r="S37" s="31" t="n">
        <v>1627881</v>
      </c>
      <c r="T37" s="31" t="n">
        <v>1627881</v>
      </c>
      <c r="U37" s="31" t="n">
        <v>1627881</v>
      </c>
      <c r="V37" s="31" t="n">
        <v>1627881</v>
      </c>
      <c r="W37" s="31" t="n">
        <v>1627881</v>
      </c>
    </row>
    <row r="38">
      <c r="A38" t="inlineStr">
        <is>
          <t>Retained Earnings</t>
        </is>
      </c>
      <c r="B38" t="inlineStr">
        <is>
          <t>Persisted FINMO</t>
        </is>
      </c>
      <c r="C38" s="31" t="n">
        <v>0</v>
      </c>
      <c r="D38" s="31" t="n">
        <v>40793.316738</v>
      </c>
      <c r="E38" s="31" t="n">
        <v>101188.186044</v>
      </c>
      <c r="F38" s="31" t="n">
        <v>181660.293383</v>
      </c>
      <c r="G38" s="31" t="n">
        <v>282690.0229</v>
      </c>
      <c r="H38" s="31" t="n">
        <v>399368.156002</v>
      </c>
      <c r="I38" s="31" t="n">
        <v>537578.775613</v>
      </c>
      <c r="J38" s="31" t="n">
        <v>626460.361918</v>
      </c>
      <c r="K38" s="31" t="n">
        <v>645266.093783</v>
      </c>
      <c r="L38" s="31" t="n">
        <v>663320.432212</v>
      </c>
      <c r="M38" s="31" t="n">
        <v>681850.369976</v>
      </c>
      <c r="N38" s="31" t="n">
        <v>706808.181983</v>
      </c>
      <c r="O38" s="31" t="n">
        <v>714774.997349</v>
      </c>
      <c r="P38" s="31" t="n">
        <v>725048.93959</v>
      </c>
      <c r="Q38" s="31" t="n">
        <v>736066.582861</v>
      </c>
      <c r="R38" s="31" t="n">
        <v>754005.6903510001</v>
      </c>
      <c r="S38" s="31" t="n">
        <v>761364.562505</v>
      </c>
      <c r="T38" s="31" t="n">
        <v>771100.73594</v>
      </c>
      <c r="U38" s="31" t="n">
        <v>781746.103637</v>
      </c>
      <c r="V38" s="31" t="n">
        <v>799816.8783400001</v>
      </c>
      <c r="W38" s="31" t="n">
        <v>806539.642866</v>
      </c>
    </row>
    <row r="39">
      <c r="A39" t="inlineStr">
        <is>
          <t>Other Equity</t>
        </is>
      </c>
      <c r="B39" t="inlineStr">
        <is>
          <t>Persisted FINMO</t>
        </is>
      </c>
      <c r="C39" s="31" t="n">
        <v>0</v>
      </c>
      <c r="D39" s="31" t="n">
        <v>0</v>
      </c>
      <c r="E39" s="31" t="n">
        <v>0</v>
      </c>
      <c r="F39" s="31" t="n">
        <v>0</v>
      </c>
      <c r="G39" s="31" t="n">
        <v>0</v>
      </c>
      <c r="H39" s="31" t="n">
        <v>0</v>
      </c>
      <c r="I39" s="31" t="n">
        <v>0</v>
      </c>
      <c r="J39" s="31" t="n">
        <v>0</v>
      </c>
      <c r="K39" s="31" t="n">
        <v>0</v>
      </c>
      <c r="L39" s="31" t="n">
        <v>0</v>
      </c>
      <c r="M39" s="31" t="n">
        <v>0</v>
      </c>
      <c r="N39" s="31" t="n">
        <v>0</v>
      </c>
      <c r="O39" s="31" t="n">
        <v>0</v>
      </c>
      <c r="P39" s="31" t="n">
        <v>0</v>
      </c>
      <c r="Q39" s="31" t="n">
        <v>0</v>
      </c>
      <c r="R39" s="31" t="n">
        <v>0</v>
      </c>
      <c r="S39" s="31" t="n">
        <v>0</v>
      </c>
      <c r="T39" s="31" t="n">
        <v>0</v>
      </c>
      <c r="U39" s="31" t="n">
        <v>0</v>
      </c>
      <c r="V39" s="31" t="n">
        <v>0</v>
      </c>
      <c r="W39" s="31" t="n">
        <v>0</v>
      </c>
    </row>
    <row r="40">
      <c r="A40" t="inlineStr">
        <is>
          <t>Total Equity</t>
        </is>
      </c>
      <c r="B40" t="inlineStr">
        <is>
          <t>Persisted FINMO</t>
        </is>
      </c>
      <c r="C40" s="31" t="n">
        <v>0</v>
      </c>
      <c r="D40" s="31" t="n">
        <v>1668674.316738</v>
      </c>
      <c r="E40" s="31" t="n">
        <v>1729069.186044</v>
      </c>
      <c r="F40" s="31" t="n">
        <v>1809541.293383</v>
      </c>
      <c r="G40" s="31" t="n">
        <v>1910571.0229</v>
      </c>
      <c r="H40" s="31" t="n">
        <v>2027249.156002</v>
      </c>
      <c r="I40" s="31" t="n">
        <v>2165459.775613</v>
      </c>
      <c r="J40" s="31" t="n">
        <v>2254341.361918</v>
      </c>
      <c r="K40" s="31" t="n">
        <v>2273147.093783</v>
      </c>
      <c r="L40" s="31" t="n">
        <v>2291201.432212</v>
      </c>
      <c r="M40" s="31" t="n">
        <v>2309731.369976</v>
      </c>
      <c r="N40" s="31" t="n">
        <v>2334689.181983</v>
      </c>
      <c r="O40" s="31" t="n">
        <v>2342655.997349</v>
      </c>
      <c r="P40" s="31" t="n">
        <v>2352929.93959</v>
      </c>
      <c r="Q40" s="31" t="n">
        <v>2363947.582861</v>
      </c>
      <c r="R40" s="31" t="n">
        <v>2381886.690351</v>
      </c>
      <c r="S40" s="31" t="n">
        <v>2389245.562505</v>
      </c>
      <c r="T40" s="31" t="n">
        <v>2398981.73594</v>
      </c>
      <c r="U40" s="31" t="n">
        <v>2409627.103637</v>
      </c>
      <c r="V40" s="31" t="n">
        <v>2427697.87834</v>
      </c>
      <c r="W40" s="31" t="n">
        <v>2434420.642866</v>
      </c>
    </row>
    <row r="41">
      <c r="A41" t="inlineStr">
        <is>
          <t>Total Liabilities &amp; Equity</t>
        </is>
      </c>
      <c r="B41" t="inlineStr">
        <is>
          <t>Persisted FINMO</t>
        </is>
      </c>
      <c r="C41" s="31" t="n">
        <v>0</v>
      </c>
      <c r="D41" s="31" t="n">
        <v>1921516.59527</v>
      </c>
      <c r="E41" s="31" t="n">
        <v>1980503.811992</v>
      </c>
      <c r="F41" s="31" t="n">
        <v>2065033.19789</v>
      </c>
      <c r="G41" s="31" t="n">
        <v>2161650.646201</v>
      </c>
      <c r="H41" s="31" t="n">
        <v>2276134.451348</v>
      </c>
      <c r="I41" s="31" t="n">
        <v>2412573.845179</v>
      </c>
      <c r="J41" s="31" t="n">
        <v>2502285.604173</v>
      </c>
      <c r="K41" s="31" t="n">
        <v>2519110.178922</v>
      </c>
      <c r="L41" s="31" t="n">
        <v>2534715.53164</v>
      </c>
      <c r="M41" s="31" t="n">
        <v>2551093.042637</v>
      </c>
      <c r="N41" s="31" t="n">
        <v>2579113.955316</v>
      </c>
      <c r="O41" s="31" t="n">
        <v>2583397.691861</v>
      </c>
      <c r="P41" s="31" t="n">
        <v>2592377.918071</v>
      </c>
      <c r="Q41" s="31" t="n">
        <v>2602332.232524</v>
      </c>
      <c r="R41" s="31" t="n">
        <v>2624442.142584</v>
      </c>
      <c r="S41" s="31" t="n">
        <v>2627981.412714</v>
      </c>
      <c r="T41" s="31" t="n">
        <v>2636360.509595</v>
      </c>
      <c r="U41" s="31" t="n">
        <v>2645784.772492</v>
      </c>
      <c r="V41" s="31" t="n">
        <v>2667814.333673</v>
      </c>
      <c r="W41" s="31" t="n">
        <v>2670582.343965</v>
      </c>
    </row>
    <row r="44">
      <c r="A44" s="7" t="inlineStr">
        <is>
          <t>Cash Flow</t>
        </is>
      </c>
    </row>
    <row r="45">
      <c r="A45" t="inlineStr">
        <is>
          <t>Beginning Cash</t>
        </is>
      </c>
      <c r="B45" t="inlineStr">
        <is>
          <t>Persisted FINMO</t>
        </is>
      </c>
      <c r="C45" s="31" t="n">
        <v>0</v>
      </c>
      <c r="D45" s="31" t="n">
        <v>0</v>
      </c>
      <c r="E45" s="31" t="n">
        <v>1399706.429238</v>
      </c>
      <c r="F45" s="31" t="n">
        <v>1451323.882626</v>
      </c>
      <c r="G45" s="31" t="n">
        <v>1517810.408023</v>
      </c>
      <c r="H45" s="31" t="n">
        <v>1612251.013336</v>
      </c>
      <c r="I45" s="31" t="n">
        <v>1724536.011146</v>
      </c>
      <c r="J45" s="31" t="n">
        <v>1853399.494418</v>
      </c>
      <c r="K45" s="31" t="n">
        <v>1929935.773516</v>
      </c>
      <c r="L45" s="31" t="n">
        <v>1939006.199804</v>
      </c>
      <c r="M45" s="31" t="n">
        <v>1952504.228364</v>
      </c>
      <c r="N45" s="31" t="n">
        <v>1961099.681576</v>
      </c>
      <c r="O45" s="31" t="n">
        <v>1969453.52865</v>
      </c>
      <c r="P45" s="31" t="n">
        <v>1974039.789376</v>
      </c>
      <c r="Q45" s="31" t="n">
        <v>1983276.407466</v>
      </c>
      <c r="R45" s="31" t="n">
        <v>1987555.644399</v>
      </c>
      <c r="S45" s="31" t="n">
        <v>1991682.448301</v>
      </c>
      <c r="T45" s="31" t="n">
        <v>1995648.090679</v>
      </c>
      <c r="U45" s="31" t="n">
        <v>2004404.482001</v>
      </c>
      <c r="V45" s="31" t="n">
        <v>2008051.870696</v>
      </c>
      <c r="W45" s="31" t="n">
        <v>2011540.101967</v>
      </c>
    </row>
    <row r="46">
      <c r="A46" t="inlineStr">
        <is>
          <t>Net Income</t>
        </is>
      </c>
      <c r="B46" t="inlineStr">
        <is>
          <t>Persisted FINMO</t>
        </is>
      </c>
      <c r="C46" s="31" t="n">
        <v>2397286.636261</v>
      </c>
      <c r="D46" s="31" t="n">
        <v>40793.316738</v>
      </c>
      <c r="E46" s="31" t="n">
        <v>60394.869306</v>
      </c>
      <c r="F46" s="31" t="n">
        <v>80472.10733899999</v>
      </c>
      <c r="G46" s="31" t="n">
        <v>101029.729517</v>
      </c>
      <c r="H46" s="31" t="n">
        <v>116678.133103</v>
      </c>
      <c r="I46" s="31" t="n">
        <v>138210.619611</v>
      </c>
      <c r="J46" s="31" t="n">
        <v>160237.586305</v>
      </c>
      <c r="K46" s="31" t="n">
        <v>182763.731865</v>
      </c>
      <c r="L46" s="31" t="n">
        <v>200237.338429</v>
      </c>
      <c r="M46" s="31" t="n">
        <v>223775.937764</v>
      </c>
      <c r="N46" s="31" t="n">
        <v>247827.812007</v>
      </c>
      <c r="O46" s="31" t="n">
        <v>266777.815366</v>
      </c>
      <c r="P46" s="31" t="n">
        <v>280299.942241</v>
      </c>
      <c r="Q46" s="31" t="n">
        <v>299836.643271</v>
      </c>
      <c r="R46" s="31" t="n">
        <v>319670.10749</v>
      </c>
      <c r="S46" s="31" t="n">
        <v>339800.872154</v>
      </c>
      <c r="T46" s="31" t="n">
        <v>354337.173435</v>
      </c>
      <c r="U46" s="31" t="n">
        <v>375069.367697</v>
      </c>
      <c r="V46" s="31" t="n">
        <v>396105.774703</v>
      </c>
      <c r="W46" s="31" t="n">
        <v>417446.764526</v>
      </c>
    </row>
    <row r="47">
      <c r="A47" t="inlineStr">
        <is>
          <t>Depreciatoin</t>
        </is>
      </c>
      <c r="B47" t="inlineStr">
        <is>
          <t>Persisted FINMO</t>
        </is>
      </c>
      <c r="C47" s="31" t="n">
        <v>0</v>
      </c>
      <c r="D47" s="31" t="n">
        <v>0</v>
      </c>
      <c r="E47" s="31" t="n">
        <v>0</v>
      </c>
      <c r="F47" s="31" t="n">
        <v>0</v>
      </c>
      <c r="G47" s="31" t="n">
        <v>0</v>
      </c>
      <c r="H47" s="31" t="n">
        <v>0</v>
      </c>
      <c r="I47" s="31" t="n">
        <v>0</v>
      </c>
      <c r="J47" s="31" t="n">
        <v>0</v>
      </c>
      <c r="K47" s="31" t="n">
        <v>0</v>
      </c>
      <c r="L47" s="31" t="n">
        <v>0</v>
      </c>
      <c r="M47" s="31" t="n">
        <v>0</v>
      </c>
      <c r="N47" s="31" t="n">
        <v>0</v>
      </c>
      <c r="O47" s="31" t="n">
        <v>0</v>
      </c>
      <c r="P47" s="31" t="n">
        <v>0</v>
      </c>
      <c r="Q47" s="31" t="n">
        <v>0</v>
      </c>
      <c r="R47" s="31" t="n">
        <v>0</v>
      </c>
      <c r="S47" s="31" t="n">
        <v>0</v>
      </c>
      <c r="T47" s="31" t="n">
        <v>0</v>
      </c>
      <c r="U47" s="31" t="n">
        <v>0</v>
      </c>
      <c r="V47" s="31" t="n">
        <v>0</v>
      </c>
      <c r="W47" s="31" t="n">
        <v>0</v>
      </c>
    </row>
    <row r="48">
      <c r="A48" t="inlineStr">
        <is>
          <t>Changes in Current Assets</t>
        </is>
      </c>
      <c r="B48" t="inlineStr">
        <is>
          <t>Persisted FINMO</t>
        </is>
      </c>
      <c r="C48" s="31" t="n">
        <v>0</v>
      </c>
      <c r="D48" s="31" t="n">
        <v>-521810.166033</v>
      </c>
      <c r="E48" s="31" t="n">
        <v>-7369.763333</v>
      </c>
      <c r="F48" s="31" t="n">
        <v>-18042.860501</v>
      </c>
      <c r="G48" s="31" t="n">
        <v>-2176.842998</v>
      </c>
      <c r="H48" s="31" t="n">
        <v>-2198.807337</v>
      </c>
      <c r="I48" s="31" t="n">
        <v>-7575.910559</v>
      </c>
      <c r="J48" s="31" t="n">
        <v>-13175.479896</v>
      </c>
      <c r="K48" s="31" t="n">
        <v>-7754.14846</v>
      </c>
      <c r="L48" s="31" t="n">
        <v>-2107.324159</v>
      </c>
      <c r="M48" s="31" t="n">
        <v>-7782.057785</v>
      </c>
      <c r="N48" s="31" t="n">
        <v>-19667.065606</v>
      </c>
      <c r="O48" s="31" t="n">
        <v>302.524181</v>
      </c>
      <c r="P48" s="31" t="n">
        <v>256.391881</v>
      </c>
      <c r="Q48" s="31" t="n">
        <v>-5675.077521</v>
      </c>
      <c r="R48" s="31" t="n">
        <v>-17983.106157</v>
      </c>
      <c r="S48" s="31" t="n">
        <v>426.372248</v>
      </c>
      <c r="T48" s="31" t="n">
        <v>377.294441</v>
      </c>
      <c r="U48" s="31" t="n">
        <v>-5776.874202</v>
      </c>
      <c r="V48" s="31" t="n">
        <v>-18541.32991</v>
      </c>
      <c r="W48" s="31" t="n">
        <v>554.2947830000001</v>
      </c>
    </row>
    <row r="49">
      <c r="A49" t="inlineStr">
        <is>
          <t>Changes in Current Liabilites</t>
        </is>
      </c>
      <c r="B49" t="inlineStr">
        <is>
          <t>Persisted FINMO</t>
        </is>
      </c>
      <c r="C49" s="31" t="n">
        <v>0</v>
      </c>
      <c r="D49" s="31" t="n">
        <v>252842.278533</v>
      </c>
      <c r="E49" s="31" t="n">
        <v>-1407.652585</v>
      </c>
      <c r="F49" s="31" t="n">
        <v>4057.278559</v>
      </c>
      <c r="G49" s="31" t="n">
        <v>-4412.281206</v>
      </c>
      <c r="H49" s="31" t="n">
        <v>-2194.327955</v>
      </c>
      <c r="I49" s="31" t="n">
        <v>-1771.22578</v>
      </c>
      <c r="J49" s="31" t="n">
        <v>830.17269</v>
      </c>
      <c r="K49" s="31" t="n">
        <v>-1981.157116</v>
      </c>
      <c r="L49" s="31" t="n">
        <v>-2448.98571</v>
      </c>
      <c r="M49" s="31" t="n">
        <v>-2152.426767</v>
      </c>
      <c r="N49" s="31" t="n">
        <v>3063.100672</v>
      </c>
      <c r="O49" s="31" t="n">
        <v>-3683.078821</v>
      </c>
      <c r="P49" s="31" t="n">
        <v>-1293.716032</v>
      </c>
      <c r="Q49" s="31" t="n">
        <v>-1063.328818</v>
      </c>
      <c r="R49" s="31" t="n">
        <v>4170.80257</v>
      </c>
      <c r="S49" s="31" t="n">
        <v>-3819.602024</v>
      </c>
      <c r="T49" s="31" t="n">
        <v>-1357.076555</v>
      </c>
      <c r="U49" s="31" t="n">
        <v>-1221.104799</v>
      </c>
      <c r="V49" s="31" t="n">
        <v>3958.786478</v>
      </c>
      <c r="W49" s="31" t="n">
        <v>-3954.754234</v>
      </c>
    </row>
    <row r="50">
      <c r="A50" t="inlineStr">
        <is>
          <t>Operating Cash Flow</t>
        </is>
      </c>
      <c r="B50" t="inlineStr">
        <is>
          <t>Persisted FINMO</t>
        </is>
      </c>
      <c r="C50" s="31" t="n">
        <v>0</v>
      </c>
      <c r="D50" s="31" t="n">
        <v>-228174.570762</v>
      </c>
      <c r="E50" s="31" t="n">
        <v>51617.453389</v>
      </c>
      <c r="F50" s="31" t="n">
        <v>66486.525397</v>
      </c>
      <c r="G50" s="31" t="n">
        <v>94440.60531299999</v>
      </c>
      <c r="H50" s="31" t="n">
        <v>112284.99781</v>
      </c>
      <c r="I50" s="31" t="n">
        <v>128863.483272</v>
      </c>
      <c r="J50" s="31" t="n">
        <v>147892.279098</v>
      </c>
      <c r="K50" s="31" t="n">
        <v>173028.426288</v>
      </c>
      <c r="L50" s="31" t="n">
        <v>195681.02856</v>
      </c>
      <c r="M50" s="31" t="n">
        <v>213841.453212</v>
      </c>
      <c r="N50" s="31" t="n">
        <v>231223.847074</v>
      </c>
      <c r="O50" s="31" t="n">
        <v>263397.260726</v>
      </c>
      <c r="P50" s="31" t="n">
        <v>279262.618091</v>
      </c>
      <c r="Q50" s="31" t="n">
        <v>293098.236932</v>
      </c>
      <c r="R50" s="31" t="n">
        <v>305857.803903</v>
      </c>
      <c r="S50" s="31" t="n">
        <v>336407.642378</v>
      </c>
      <c r="T50" s="31" t="n">
        <v>353357.391321</v>
      </c>
      <c r="U50" s="31" t="n">
        <v>368071.388696</v>
      </c>
      <c r="V50" s="31" t="n">
        <v>381523.23127</v>
      </c>
      <c r="W50" s="31" t="n">
        <v>414046.305075</v>
      </c>
    </row>
    <row r="51">
      <c r="A51" t="inlineStr">
        <is>
          <t>Capital Expenditures</t>
        </is>
      </c>
      <c r="B51" t="inlineStr">
        <is>
          <t>Persisted FINMO</t>
        </is>
      </c>
      <c r="C51" s="31" t="n">
        <v>0</v>
      </c>
      <c r="D51" s="31" t="n">
        <v>0</v>
      </c>
      <c r="E51" s="31" t="n">
        <v>0</v>
      </c>
      <c r="F51" s="31" t="n">
        <v>0</v>
      </c>
      <c r="G51" s="31" t="n">
        <v>0</v>
      </c>
      <c r="H51" s="31" t="n">
        <v>0</v>
      </c>
      <c r="I51" s="31" t="n">
        <v>0</v>
      </c>
      <c r="J51" s="31" t="n">
        <v>0</v>
      </c>
      <c r="K51" s="31" t="n">
        <v>0</v>
      </c>
      <c r="L51" s="31" t="n">
        <v>0</v>
      </c>
      <c r="M51" s="31" t="n">
        <v>0</v>
      </c>
      <c r="N51" s="31" t="n">
        <v>0</v>
      </c>
      <c r="O51" s="31" t="n">
        <v>0</v>
      </c>
      <c r="P51" s="31" t="n">
        <v>0</v>
      </c>
      <c r="Q51" s="31" t="n">
        <v>0</v>
      </c>
      <c r="R51" s="31" t="n">
        <v>0</v>
      </c>
      <c r="S51" s="31" t="n">
        <v>0</v>
      </c>
      <c r="T51" s="31" t="n">
        <v>0</v>
      </c>
      <c r="U51" s="31" t="n">
        <v>0</v>
      </c>
      <c r="V51" s="31" t="n">
        <v>0</v>
      </c>
      <c r="W51" s="31" t="n">
        <v>0</v>
      </c>
    </row>
    <row r="52">
      <c r="A52" t="inlineStr">
        <is>
          <t>Investing Cash Flow</t>
        </is>
      </c>
      <c r="B52" t="inlineStr">
        <is>
          <t>Persisted FINMO</t>
        </is>
      </c>
      <c r="C52" s="31" t="n">
        <v>0</v>
      </c>
      <c r="D52" s="31" t="n">
        <v>0</v>
      </c>
      <c r="E52" s="31" t="n">
        <v>0</v>
      </c>
      <c r="F52" s="31" t="n">
        <v>0</v>
      </c>
      <c r="G52" s="31" t="n">
        <v>0</v>
      </c>
      <c r="H52" s="31" t="n">
        <v>0</v>
      </c>
      <c r="I52" s="31" t="n">
        <v>0</v>
      </c>
      <c r="J52" s="31" t="n">
        <v>0</v>
      </c>
      <c r="K52" s="31" t="n">
        <v>0</v>
      </c>
      <c r="L52" s="31" t="n">
        <v>0</v>
      </c>
      <c r="M52" s="31" t="n">
        <v>0</v>
      </c>
      <c r="N52" s="31" t="n">
        <v>0</v>
      </c>
      <c r="O52" s="31" t="n">
        <v>0</v>
      </c>
      <c r="P52" s="31" t="n">
        <v>0</v>
      </c>
      <c r="Q52" s="31" t="n">
        <v>0</v>
      </c>
      <c r="R52" s="31" t="n">
        <v>0</v>
      </c>
      <c r="S52" s="31" t="n">
        <v>0</v>
      </c>
      <c r="T52" s="31" t="n">
        <v>0</v>
      </c>
      <c r="U52" s="31" t="n">
        <v>0</v>
      </c>
      <c r="V52" s="31" t="n">
        <v>0</v>
      </c>
      <c r="W52" s="31" t="n">
        <v>0</v>
      </c>
    </row>
    <row r="53">
      <c r="A53" t="inlineStr">
        <is>
          <t>Debt Issuance (New Borrowing)</t>
        </is>
      </c>
      <c r="B53" t="inlineStr">
        <is>
          <t>Persisted FINMO</t>
        </is>
      </c>
      <c r="C53" s="31" t="n">
        <v>0</v>
      </c>
      <c r="D53" s="31" t="n">
        <v>0</v>
      </c>
      <c r="E53" s="31" t="n">
        <v>0</v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0</v>
      </c>
      <c r="K53" s="31" t="n">
        <v>0</v>
      </c>
      <c r="L53" s="31" t="n">
        <v>0</v>
      </c>
      <c r="M53" s="31" t="n">
        <v>0</v>
      </c>
      <c r="N53" s="31" t="n">
        <v>0</v>
      </c>
      <c r="O53" s="31" t="n">
        <v>0</v>
      </c>
      <c r="P53" s="31" t="n">
        <v>0</v>
      </c>
      <c r="Q53" s="31" t="n">
        <v>0</v>
      </c>
      <c r="R53" s="31" t="n">
        <v>0</v>
      </c>
      <c r="S53" s="31" t="n">
        <v>0</v>
      </c>
      <c r="T53" s="31" t="n">
        <v>0</v>
      </c>
      <c r="U53" s="31" t="n">
        <v>0</v>
      </c>
      <c r="V53" s="31" t="n">
        <v>0</v>
      </c>
      <c r="W53" s="31" t="n">
        <v>0</v>
      </c>
    </row>
    <row r="54">
      <c r="A54" t="inlineStr">
        <is>
          <t>Debt Repayment</t>
        </is>
      </c>
      <c r="B54" t="inlineStr">
        <is>
          <t>Persisted FINMO</t>
        </is>
      </c>
      <c r="C54" s="31" t="n">
        <v>-0</v>
      </c>
      <c r="D54" s="31" t="n">
        <v>-0</v>
      </c>
      <c r="E54" s="31" t="n">
        <v>-0</v>
      </c>
      <c r="F54" s="31" t="n">
        <v>-0</v>
      </c>
      <c r="G54" s="31" t="n">
        <v>-0</v>
      </c>
      <c r="H54" s="31" t="n">
        <v>-0</v>
      </c>
      <c r="I54" s="31" t="n">
        <v>-0</v>
      </c>
      <c r="J54" s="31" t="n">
        <v>-0</v>
      </c>
      <c r="K54" s="31" t="n">
        <v>-0</v>
      </c>
      <c r="L54" s="31" t="n">
        <v>-0</v>
      </c>
      <c r="M54" s="31" t="n">
        <v>-0</v>
      </c>
      <c r="N54" s="31" t="n">
        <v>-0</v>
      </c>
      <c r="O54" s="31" t="n">
        <v>-0</v>
      </c>
      <c r="P54" s="31" t="n">
        <v>-0</v>
      </c>
      <c r="Q54" s="31" t="n">
        <v>-0</v>
      </c>
      <c r="R54" s="31" t="n">
        <v>-0</v>
      </c>
      <c r="S54" s="31" t="n">
        <v>-0</v>
      </c>
      <c r="T54" s="31" t="n">
        <v>-0</v>
      </c>
      <c r="U54" s="31" t="n">
        <v>-0</v>
      </c>
      <c r="V54" s="31" t="n">
        <v>-0</v>
      </c>
      <c r="W54" s="31" t="n">
        <v>-0</v>
      </c>
    </row>
    <row r="55">
      <c r="A55" t="inlineStr">
        <is>
          <t>Equity</t>
        </is>
      </c>
      <c r="B55" t="inlineStr">
        <is>
          <t>Persisted FINMO</t>
        </is>
      </c>
      <c r="C55" s="31" t="n">
        <v>0</v>
      </c>
      <c r="D55" s="31" t="n">
        <v>1627881</v>
      </c>
      <c r="E55" s="31" t="n">
        <v>0</v>
      </c>
      <c r="F55" s="31" t="n">
        <v>0</v>
      </c>
      <c r="G55" s="31" t="n">
        <v>0</v>
      </c>
      <c r="H55" s="31" t="n">
        <v>0</v>
      </c>
      <c r="I55" s="31" t="n">
        <v>0</v>
      </c>
      <c r="J55" s="31" t="n">
        <v>0</v>
      </c>
      <c r="K55" s="31" t="n">
        <v>0</v>
      </c>
      <c r="L55" s="31" t="n">
        <v>0</v>
      </c>
      <c r="M55" s="31" t="n">
        <v>0</v>
      </c>
      <c r="N55" s="31" t="n">
        <v>0</v>
      </c>
      <c r="O55" s="31" t="n">
        <v>0</v>
      </c>
      <c r="P55" s="31" t="n">
        <v>0</v>
      </c>
      <c r="Q55" s="31" t="n">
        <v>0</v>
      </c>
      <c r="R55" s="31" t="n">
        <v>0</v>
      </c>
      <c r="S55" s="31" t="n">
        <v>0</v>
      </c>
      <c r="T55" s="31" t="n">
        <v>0</v>
      </c>
      <c r="U55" s="31" t="n">
        <v>0</v>
      </c>
      <c r="V55" s="31" t="n">
        <v>0</v>
      </c>
      <c r="W55" s="31" t="n">
        <v>0</v>
      </c>
    </row>
    <row r="56">
      <c r="A56" t="inlineStr">
        <is>
          <t>Distributions</t>
        </is>
      </c>
      <c r="B56" t="inlineStr">
        <is>
          <t>Persisted FINMO</t>
        </is>
      </c>
      <c r="C56" s="31" t="n">
        <v>0</v>
      </c>
      <c r="D56" s="31" t="n">
        <v>0</v>
      </c>
      <c r="E56" s="31" t="n">
        <v>0</v>
      </c>
      <c r="F56" s="31" t="n">
        <v>0</v>
      </c>
      <c r="G56" s="31" t="n">
        <v>0</v>
      </c>
      <c r="H56" s="31" t="n">
        <v>0</v>
      </c>
      <c r="I56" s="31" t="n">
        <v>0</v>
      </c>
      <c r="J56" s="31" t="n">
        <v>71356</v>
      </c>
      <c r="K56" s="31" t="n">
        <v>163958</v>
      </c>
      <c r="L56" s="31" t="n">
        <v>182183</v>
      </c>
      <c r="M56" s="31" t="n">
        <v>205246</v>
      </c>
      <c r="N56" s="31" t="n">
        <v>222870</v>
      </c>
      <c r="O56" s="31" t="n">
        <v>258811</v>
      </c>
      <c r="P56" s="31" t="n">
        <v>270026</v>
      </c>
      <c r="Q56" s="31" t="n">
        <v>288819</v>
      </c>
      <c r="R56" s="31" t="n">
        <v>301731</v>
      </c>
      <c r="S56" s="31" t="n">
        <v>332442</v>
      </c>
      <c r="T56" s="31" t="n">
        <v>344601</v>
      </c>
      <c r="U56" s="31" t="n">
        <v>364424</v>
      </c>
      <c r="V56" s="31" t="n">
        <v>378035</v>
      </c>
      <c r="W56" s="31" t="n">
        <v>410724</v>
      </c>
    </row>
    <row r="57">
      <c r="A57" t="inlineStr">
        <is>
          <t>Financing Cash Flow</t>
        </is>
      </c>
      <c r="B57" t="inlineStr">
        <is>
          <t>Persisted FINMO</t>
        </is>
      </c>
      <c r="C57" s="31" t="n">
        <v>0</v>
      </c>
      <c r="D57" s="31" t="n">
        <v>1627881</v>
      </c>
      <c r="E57" s="31" t="n">
        <v>0</v>
      </c>
      <c r="F57" s="31" t="n">
        <v>0</v>
      </c>
      <c r="G57" s="31" t="n">
        <v>0</v>
      </c>
      <c r="H57" s="31" t="n">
        <v>0</v>
      </c>
      <c r="I57" s="31" t="n">
        <v>0</v>
      </c>
      <c r="J57" s="31" t="n">
        <v>-71356</v>
      </c>
      <c r="K57" s="31" t="n">
        <v>-163958</v>
      </c>
      <c r="L57" s="31" t="n">
        <v>-182183</v>
      </c>
      <c r="M57" s="31" t="n">
        <v>-205246</v>
      </c>
      <c r="N57" s="31" t="n">
        <v>-222870</v>
      </c>
      <c r="O57" s="31" t="n">
        <v>-258811</v>
      </c>
      <c r="P57" s="31" t="n">
        <v>-270026</v>
      </c>
      <c r="Q57" s="31" t="n">
        <v>-288819</v>
      </c>
      <c r="R57" s="31" t="n">
        <v>-301731</v>
      </c>
      <c r="S57" s="31" t="n">
        <v>-332442</v>
      </c>
      <c r="T57" s="31" t="n">
        <v>-344601</v>
      </c>
      <c r="U57" s="31" t="n">
        <v>-364424</v>
      </c>
      <c r="V57" s="31" t="n">
        <v>-378035</v>
      </c>
      <c r="W57" s="31" t="n">
        <v>-410724</v>
      </c>
    </row>
    <row r="58">
      <c r="A58" t="inlineStr">
        <is>
          <t>Net Cash Flow</t>
        </is>
      </c>
      <c r="B58" t="inlineStr">
        <is>
          <t>Persisted FINMO</t>
        </is>
      </c>
      <c r="C58" s="31" t="n">
        <v>0</v>
      </c>
      <c r="D58" s="31" t="n">
        <v>1399706.429238</v>
      </c>
      <c r="E58" s="31" t="n">
        <v>51617.453389</v>
      </c>
      <c r="F58" s="31" t="n">
        <v>66486.525397</v>
      </c>
      <c r="G58" s="31" t="n">
        <v>94440.60531299999</v>
      </c>
      <c r="H58" s="31" t="n">
        <v>112284.99781</v>
      </c>
      <c r="I58" s="31" t="n">
        <v>128863.483272</v>
      </c>
      <c r="J58" s="31" t="n">
        <v>76536.279098</v>
      </c>
      <c r="K58" s="31" t="n">
        <v>9070.426288000001</v>
      </c>
      <c r="L58" s="31" t="n">
        <v>13498.02856</v>
      </c>
      <c r="M58" s="31" t="n">
        <v>8595.453212</v>
      </c>
      <c r="N58" s="31" t="n">
        <v>8353.847073999999</v>
      </c>
      <c r="O58" s="31" t="n">
        <v>4586.260726</v>
      </c>
      <c r="P58" s="31" t="n">
        <v>9236.618091</v>
      </c>
      <c r="Q58" s="31" t="n">
        <v>4279.236932</v>
      </c>
      <c r="R58" s="31" t="n">
        <v>4126.803903</v>
      </c>
      <c r="S58" s="31" t="n">
        <v>3965.642378</v>
      </c>
      <c r="T58" s="31" t="n">
        <v>8756.391320999999</v>
      </c>
      <c r="U58" s="31" t="n">
        <v>3647.388696</v>
      </c>
      <c r="V58" s="31" t="n">
        <v>3488.23127</v>
      </c>
      <c r="W58" s="31" t="n">
        <v>3322.305075</v>
      </c>
    </row>
    <row r="59">
      <c r="A59" t="inlineStr">
        <is>
          <t>Ending Cash</t>
        </is>
      </c>
      <c r="B59" t="inlineStr">
        <is>
          <t>Persisted FINMO</t>
        </is>
      </c>
      <c r="C59" s="31" t="n">
        <v>0</v>
      </c>
      <c r="D59" s="31" t="n">
        <v>1399706.429238</v>
      </c>
      <c r="E59" s="31" t="n">
        <v>1451323.882626</v>
      </c>
      <c r="F59" s="31" t="n">
        <v>1517810.408023</v>
      </c>
      <c r="G59" s="31" t="n">
        <v>1612251.013336</v>
      </c>
      <c r="H59" s="31" t="n">
        <v>1724536.011146</v>
      </c>
      <c r="I59" s="31" t="n">
        <v>1853399.494418</v>
      </c>
      <c r="J59" s="31" t="n">
        <v>1929935.773516</v>
      </c>
      <c r="K59" s="31" t="n">
        <v>1939006.199804</v>
      </c>
      <c r="L59" s="31" t="n">
        <v>1952504.228364</v>
      </c>
      <c r="M59" s="31" t="n">
        <v>1961099.681576</v>
      </c>
      <c r="N59" s="31" t="n">
        <v>1969453.52865</v>
      </c>
      <c r="O59" s="31" t="n">
        <v>1974039.789376</v>
      </c>
      <c r="P59" s="31" t="n">
        <v>1983276.407466</v>
      </c>
      <c r="Q59" s="31" t="n">
        <v>1987555.644399</v>
      </c>
      <c r="R59" s="31" t="n">
        <v>1991682.448301</v>
      </c>
      <c r="S59" s="31" t="n">
        <v>1995648.090679</v>
      </c>
      <c r="T59" s="31" t="n">
        <v>2004404.482001</v>
      </c>
      <c r="U59" s="31" t="n">
        <v>2008051.870696</v>
      </c>
      <c r="V59" s="31" t="n">
        <v>2011540.101967</v>
      </c>
      <c r="W59" s="31" t="n">
        <v>2014862.407042</v>
      </c>
    </row>
  </sheetData>
  <mergeCells count="3">
    <mergeCell ref="A6:AB6"/>
    <mergeCell ref="A22:AB22"/>
    <mergeCell ref="A44:AB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J17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28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70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Checks</t>
        </is>
      </c>
    </row>
    <row r="2">
      <c r="A2" s="2" t="inlineStr">
        <is>
          <t>Model Status</t>
        </is>
      </c>
      <c r="B2" s="37">
        <f>IF(COUNTIF(I7:I172,"FAIL")=0,"OK","FAIL")</f>
        <v/>
      </c>
    </row>
    <row r="3">
      <c r="A3" t="inlineStr">
        <is>
          <t>Rule</t>
        </is>
      </c>
      <c r="B3" t="inlineStr">
        <is>
          <t>Only real formula/coherence failures return FAIL. Baseline scenario changes show CHANGED.</t>
        </is>
      </c>
    </row>
    <row r="5">
      <c r="A5" s="38" t="inlineStr">
        <is>
          <t>Category</t>
        </is>
      </c>
      <c r="B5" s="38" t="inlineStr">
        <is>
          <t>Line Item</t>
        </is>
      </c>
      <c r="C5" s="38" t="inlineStr">
        <is>
          <t>Sheet</t>
        </is>
      </c>
      <c r="D5" s="38" t="inlineStr">
        <is>
          <t>Range / Cell</t>
        </is>
      </c>
      <c r="E5" s="38" t="inlineStr">
        <is>
          <t>Actual</t>
        </is>
      </c>
      <c r="F5" s="38" t="inlineStr">
        <is>
          <t>Expected</t>
        </is>
      </c>
      <c r="G5" s="38" t="inlineStr">
        <is>
          <t>Difference</t>
        </is>
      </c>
      <c r="H5" s="38" t="inlineStr">
        <is>
          <t>Tolerance</t>
        </is>
      </c>
      <c r="I5" s="38" t="inlineStr">
        <is>
          <t>Status</t>
        </is>
      </c>
      <c r="J5" s="38" t="inlineStr">
        <is>
          <t>Notes</t>
        </is>
      </c>
    </row>
    <row r="6">
      <c r="A6" s="7" t="inlineStr">
        <is>
          <t>Model Coherence Checks</t>
        </is>
      </c>
    </row>
    <row r="7">
      <c r="A7" t="inlineStr">
        <is>
          <t>Statement Coherence</t>
        </is>
      </c>
      <c r="B7" t="inlineStr">
        <is>
          <t>Balance Sheet balances Q1</t>
        </is>
      </c>
      <c r="C7" t="inlineStr">
        <is>
          <t>Cross-sheet</t>
        </is>
      </c>
      <c r="D7" t="inlineStr">
        <is>
          <t>'FINMO'!D31</t>
        </is>
      </c>
      <c r="E7" s="39">
        <f>'FINMO'!D31</f>
        <v/>
      </c>
      <c r="F7" s="39">
        <f>'FINMO'!D43</f>
        <v/>
      </c>
      <c r="G7" s="39">
        <f>E7-F7</f>
        <v/>
      </c>
      <c r="H7" s="39" t="n">
        <v>1</v>
      </c>
      <c r="I7" s="40">
        <f>IF(ABS(G7)&lt;=H7,"OK","FAIL")</f>
        <v/>
      </c>
      <c r="J7" t="inlineStr">
        <is>
          <t>Total assets must equal total liabilities and equity.</t>
        </is>
      </c>
    </row>
    <row r="8">
      <c r="A8" t="inlineStr">
        <is>
          <t>Statement Coherence</t>
        </is>
      </c>
      <c r="B8" t="inlineStr">
        <is>
          <t>Cash Flow ties to Balance Sheet Q1</t>
        </is>
      </c>
      <c r="C8" t="inlineStr">
        <is>
          <t>Cross-sheet</t>
        </is>
      </c>
      <c r="D8" t="inlineStr">
        <is>
          <t>'FINMO'!D61</t>
        </is>
      </c>
      <c r="E8" s="39">
        <f>'FINMO'!D61</f>
        <v/>
      </c>
      <c r="F8" s="39">
        <f>'FINMO'!D23</f>
        <v/>
      </c>
      <c r="G8" s="39">
        <f>E8-F8</f>
        <v/>
      </c>
      <c r="H8" s="39" t="n">
        <v>1</v>
      </c>
      <c r="I8" s="40">
        <f>IF(ABS(G8)&lt;=H8,"OK","FAIL")</f>
        <v/>
      </c>
      <c r="J8" t="inlineStr">
        <is>
          <t>Ending cash must tie to balance-sheet cash.</t>
        </is>
      </c>
    </row>
    <row r="9">
      <c r="A9" t="inlineStr">
        <is>
          <t>Statement Coherence</t>
        </is>
      </c>
      <c r="B9" t="inlineStr">
        <is>
          <t>Balance Sheet balances Q20</t>
        </is>
      </c>
      <c r="C9" t="inlineStr">
        <is>
          <t>Cross-sheet</t>
        </is>
      </c>
      <c r="D9" t="inlineStr">
        <is>
          <t>'FINMO'!W31</t>
        </is>
      </c>
      <c r="E9" s="39">
        <f>'FINMO'!W31</f>
        <v/>
      </c>
      <c r="F9" s="39">
        <f>'FINMO'!W43</f>
        <v/>
      </c>
      <c r="G9" s="39">
        <f>E9-F9</f>
        <v/>
      </c>
      <c r="H9" s="39" t="n">
        <v>1</v>
      </c>
      <c r="I9" s="40">
        <f>IF(ABS(G9)&lt;=H9,"OK","FAIL")</f>
        <v/>
      </c>
      <c r="J9" t="inlineStr">
        <is>
          <t>Total assets must equal total liabilities and equity.</t>
        </is>
      </c>
    </row>
    <row r="10">
      <c r="A10" t="inlineStr">
        <is>
          <t>Statement Coherence</t>
        </is>
      </c>
      <c r="B10" t="inlineStr">
        <is>
          <t>Cash Flow ties to Balance Sheet Q20</t>
        </is>
      </c>
      <c r="C10" t="inlineStr">
        <is>
          <t>Cross-sheet</t>
        </is>
      </c>
      <c r="D10" t="inlineStr">
        <is>
          <t>'FINMO'!W61</t>
        </is>
      </c>
      <c r="E10" s="39">
        <f>'FINMO'!W61</f>
        <v/>
      </c>
      <c r="F10" s="39">
        <f>'FINMO'!W23</f>
        <v/>
      </c>
      <c r="G10" s="39">
        <f>E10-F10</f>
        <v/>
      </c>
      <c r="H10" s="39" t="n">
        <v>1</v>
      </c>
      <c r="I10" s="40">
        <f>IF(ABS(G10)&lt;=H10,"OK","FAIL")</f>
        <v/>
      </c>
      <c r="J10" t="inlineStr">
        <is>
          <t>Ending cash must tie to balance-sheet cash.</t>
        </is>
      </c>
    </row>
    <row r="11">
      <c r="A11" t="inlineStr">
        <is>
          <t>Schedule Bridge</t>
        </is>
      </c>
      <c r="B11" t="inlineStr">
        <is>
          <t>Revenue Drivers total feeds Model Inputs Revenue</t>
        </is>
      </c>
      <c r="C11" t="inlineStr">
        <is>
          <t>Cross-sheet</t>
        </is>
      </c>
      <c r="D11" t="inlineStr">
        <is>
          <t>'Revenue Drivers'!C14:W14</t>
        </is>
      </c>
      <c r="E11" s="39">
        <f>SUMPRODUCT(ABS('Revenue Drivers'!C14:W14-'Model Inputs'!C11:W11))</f>
        <v/>
      </c>
      <c r="F11" s="39" t="n">
        <v>0</v>
      </c>
      <c r="G11" s="39">
        <f>E11-F11</f>
        <v/>
      </c>
      <c r="H11" s="39" t="n">
        <v>1</v>
      </c>
      <c r="I11" s="40">
        <f>IF(ABS(G11)&lt;=H11,"OK","FAIL")</f>
        <v/>
      </c>
      <c r="J11" t="inlineStr">
        <is>
          <t>Changing Revenue Drivers should update Model Inputs and FINMO without creating a model failure.</t>
        </is>
      </c>
    </row>
    <row r="12">
      <c r="A12" t="inlineStr">
        <is>
          <t>Schedule Bridge</t>
        </is>
      </c>
      <c r="B12" t="inlineStr">
        <is>
          <t>Payroll Schedule total feeds Model Inputs Payroll</t>
        </is>
      </c>
      <c r="C12" t="inlineStr">
        <is>
          <t>Cross-sheet</t>
        </is>
      </c>
      <c r="D12" t="inlineStr">
        <is>
          <t>'Payroll Schedule'!D17:W17</t>
        </is>
      </c>
      <c r="E12" s="39">
        <f>SUMPRODUCT(ABS('Payroll Schedule'!D17:W17-'Model Inputs'!D16:W16))</f>
        <v/>
      </c>
      <c r="F12" s="39" t="n">
        <v>0</v>
      </c>
      <c r="G12" s="39">
        <f>E12-F12</f>
        <v/>
      </c>
      <c r="H12" s="39" t="n">
        <v>1</v>
      </c>
      <c r="I12" s="40">
        <f>IF(ABS(G12)&lt;=H12,"OK","FAIL")</f>
        <v/>
      </c>
      <c r="J12" t="inlineStr">
        <is>
          <t>Changing payroll detail should update payroll summary, Model Inputs, and FINMO payroll.</t>
        </is>
      </c>
    </row>
    <row r="13">
      <c r="A13" t="inlineStr">
        <is>
          <t>Schedule Bridge</t>
        </is>
      </c>
      <c r="B13" t="inlineStr">
        <is>
          <t>Debt repayment feeds Model Inputs</t>
        </is>
      </c>
      <c r="C13" t="inlineStr">
        <is>
          <t>Cross-sheet</t>
        </is>
      </c>
      <c r="D13" t="inlineStr">
        <is>
          <t>'Debt Schedule'!C10:W10</t>
        </is>
      </c>
      <c r="E13" s="39">
        <f>SUMPRODUCT(ABS('Debt Schedule'!C10:W10-'Model Inputs'!C43:W43))</f>
        <v/>
      </c>
      <c r="F13" s="39" t="n">
        <v>0</v>
      </c>
      <c r="G13" s="39">
        <f>E13-F13</f>
        <v/>
      </c>
      <c r="H13" s="39" t="n">
        <v>1</v>
      </c>
      <c r="I13" s="40">
        <f>IF(ABS(G13)&lt;=H13,"OK","FAIL")</f>
        <v/>
      </c>
      <c r="J13" t="inlineStr">
        <is>
          <t>Debt repayment must flow through the model from actual mechanically capped repayment.</t>
        </is>
      </c>
    </row>
    <row r="14">
      <c r="A14" t="inlineStr">
        <is>
          <t>Schedule Bridge</t>
        </is>
      </c>
      <c r="B14" t="inlineStr">
        <is>
          <t>Capital lease additions feed CapEx schedule</t>
        </is>
      </c>
      <c r="C14" t="inlineStr">
        <is>
          <t>Cross-sheet</t>
        </is>
      </c>
      <c r="D14" t="inlineStr">
        <is>
          <t>'Debt Schedule'!C21:W21</t>
        </is>
      </c>
      <c r="E14" s="39">
        <f>SUMPRODUCT(ABS('Debt Schedule'!C21:W21-'CapEx Depreciation'!C9:W9))</f>
        <v/>
      </c>
      <c r="F14" s="39" t="n">
        <v>0</v>
      </c>
      <c r="G14" s="39">
        <f>E14-F14</f>
        <v/>
      </c>
      <c r="H14" s="39" t="n">
        <v>1</v>
      </c>
      <c r="I14" s="40">
        <f>IF(ABS(G14)&lt;=H14,"OK","FAIL")</f>
        <v/>
      </c>
      <c r="J14" t="inlineStr">
        <is>
          <t>Lease additions must affect PPE/depreciation through the CapEx schedule.</t>
        </is>
      </c>
    </row>
    <row r="15">
      <c r="A15" t="inlineStr">
        <is>
          <t>Schedule Bridge</t>
        </is>
      </c>
      <c r="B15" t="inlineStr">
        <is>
          <t>Lease/rent feeds Model Inputs</t>
        </is>
      </c>
      <c r="C15" t="inlineStr">
        <is>
          <t>Cross-sheet</t>
        </is>
      </c>
      <c r="D15" t="inlineStr">
        <is>
          <t>'Cash Equity Schedule'!C12:W12</t>
        </is>
      </c>
      <c r="E15" s="39">
        <f>SUMPRODUCT(ABS('Cash Equity Schedule'!C12:W12-'Model Inputs'!C15:W15))</f>
        <v/>
      </c>
      <c r="F15" s="39" t="n">
        <v>0</v>
      </c>
      <c r="G15" s="39">
        <f>E15-F15</f>
        <v/>
      </c>
      <c r="H15" s="39" t="n">
        <v>1</v>
      </c>
      <c r="I15" s="40">
        <f>IF(ABS(G15)&lt;=H15,"OK","FAIL")</f>
        <v/>
      </c>
      <c r="J15" t="inlineStr">
        <is>
          <t>Operating lease/rent must flow through Model Inputs into FINMO.</t>
        </is>
      </c>
    </row>
    <row r="16">
      <c r="A16" t="inlineStr">
        <is>
          <t>Schedule Coherence</t>
        </is>
      </c>
      <c r="B16" t="inlineStr">
        <is>
          <t>Payroll summary totals equal payroll detail by quarter</t>
        </is>
      </c>
      <c r="C16" t="inlineStr">
        <is>
          <t>Payroll Schedule</t>
        </is>
      </c>
      <c r="D16" t="inlineStr">
        <is>
          <t>A27:N86</t>
        </is>
      </c>
      <c r="E16" s="39">
        <f>SUM(ABS('Payroll Schedule'!C15-SUMIFS('Payroll Schedule'!$G$27:$G$86,'Payroll Schedule'!$A$27:$A$86,0)),ABS('Payroll Schedule'!C16-SUMIFS('Payroll Schedule'!$H$27:$H$86,'Payroll Schedule'!$A$27:$A$86,0)),ABS('Payroll Schedule'!C17-SUMIFS('Payroll Schedule'!$M$27:$M$86,'Payroll Schedule'!$A$27:$A$86,0)),ABS('Payroll Schedule'!D15-SUMIFS('Payroll Schedule'!$G$27:$G$86,'Payroll Schedule'!$A$27:$A$86,1)),ABS('Payroll Schedule'!D16-SUMIFS('Payroll Schedule'!$H$27:$H$86,'Payroll Schedule'!$A$27:$A$86,1)),ABS('Payroll Schedule'!D17-SUMIFS('Payroll Schedule'!$M$27:$M$86,'Payroll Schedule'!$A$27:$A$86,1)),ABS('Payroll Schedule'!E15-SUMIFS('Payroll Schedule'!$G$27:$G$86,'Payroll Schedule'!$A$27:$A$86,2)),ABS('Payroll Schedule'!E16-SUMIFS('Payroll Schedule'!$H$27:$H$86,'Payroll Schedule'!$A$27:$A$86,2)),ABS('Payroll Schedule'!E17-SUMIFS('Payroll Schedule'!$M$27:$M$86,'Payroll Schedule'!$A$27:$A$86,2)),ABS('Payroll Schedule'!F15-SUMIFS('Payroll Schedule'!$G$27:$G$86,'Payroll Schedule'!$A$27:$A$86,3)),ABS('Payroll Schedule'!F16-SUMIFS('Payroll Schedule'!$H$27:$H$86,'Payroll Schedule'!$A$27:$A$86,3)),ABS('Payroll Schedule'!F17-SUMIFS('Payroll Schedule'!$M$27:$M$86,'Payroll Schedule'!$A$27:$A$86,3)),ABS('Payroll Schedule'!G15-SUMIFS('Payroll Schedule'!$G$27:$G$86,'Payroll Schedule'!$A$27:$A$86,4)),ABS('Payroll Schedule'!G16-SUMIFS('Payroll Schedule'!$H$27:$H$86,'Payroll Schedule'!$A$27:$A$86,4)),ABS('Payroll Schedule'!G17-SUMIFS('Payroll Schedule'!$M$27:$M$86,'Payroll Schedule'!$A$27:$A$86,4)),ABS('Payroll Schedule'!H15-SUMIFS('Payroll Schedule'!$G$27:$G$86,'Payroll Schedule'!$A$27:$A$86,5)),ABS('Payroll Schedule'!H16-SUMIFS('Payroll Schedule'!$H$27:$H$86,'Payroll Schedule'!$A$27:$A$86,5)),ABS('Payroll Schedule'!H17-SUMIFS('Payroll Schedule'!$M$27:$M$86,'Payroll Schedule'!$A$27:$A$86,5)),ABS('Payroll Schedule'!I15-SUMIFS('Payroll Schedule'!$G$27:$G$86,'Payroll Schedule'!$A$27:$A$86,6)),ABS('Payroll Schedule'!I16-SUMIFS('Payroll Schedule'!$H$27:$H$86,'Payroll Schedule'!$A$27:$A$86,6)),ABS('Payroll Schedule'!I17-SUMIFS('Payroll Schedule'!$M$27:$M$86,'Payroll Schedule'!$A$27:$A$86,6)),ABS('Payroll Schedule'!J15-SUMIFS('Payroll Schedule'!$G$27:$G$86,'Payroll Schedule'!$A$27:$A$86,7)),ABS('Payroll Schedule'!J16-SUMIFS('Payroll Schedule'!$H$27:$H$86,'Payroll Schedule'!$A$27:$A$86,7)),ABS('Payroll Schedule'!J17-SUMIFS('Payroll Schedule'!$M$27:$M$86,'Payroll Schedule'!$A$27:$A$86,7)),ABS('Payroll Schedule'!K15-SUMIFS('Payroll Schedule'!$G$27:$G$86,'Payroll Schedule'!$A$27:$A$86,8)),ABS('Payroll Schedule'!K16-SUMIFS('Payroll Schedule'!$H$27:$H$86,'Payroll Schedule'!$A$27:$A$86,8)),ABS('Payroll Schedule'!K17-SUMIFS('Payroll Schedule'!$M$27:$M$86,'Payroll Schedule'!$A$27:$A$86,8)),ABS('Payroll Schedule'!L15-SUMIFS('Payroll Schedule'!$G$27:$G$86,'Payroll Schedule'!$A$27:$A$86,9)),ABS('Payroll Schedule'!L16-SUMIFS('Payroll Schedule'!$H$27:$H$86,'Payroll Schedule'!$A$27:$A$86,9)),ABS('Payroll Schedule'!L17-SUMIFS('Payroll Schedule'!$M$27:$M$86,'Payroll Schedule'!$A$27:$A$86,9)),ABS('Payroll Schedule'!M15-SUMIFS('Payroll Schedule'!$G$27:$G$86,'Payroll Schedule'!$A$27:$A$86,10)),ABS('Payroll Schedule'!M16-SUMIFS('Payroll Schedule'!$H$27:$H$86,'Payroll Schedule'!$A$27:$A$86,10)),ABS('Payroll Schedule'!M17-SUMIFS('Payroll Schedule'!$M$27:$M$86,'Payroll Schedule'!$A$27:$A$86,10)),ABS('Payroll Schedule'!N15-SUMIFS('Payroll Schedule'!$G$27:$G$86,'Payroll Schedule'!$A$27:$A$86,11)),ABS('Payroll Schedule'!N16-SUMIFS('Payroll Schedule'!$H$27:$H$86,'Payroll Schedule'!$A$27:$A$86,11)),ABS('Payroll Schedule'!N17-SUMIFS('Payroll Schedule'!$M$27:$M$86,'Payroll Schedule'!$A$27:$A$86,11)),ABS('Payroll Schedule'!O15-SUMIFS('Payroll Schedule'!$G$27:$G$86,'Payroll Schedule'!$A$27:$A$86,12)),ABS('Payroll Schedule'!O16-SUMIFS('Payroll Schedule'!$H$27:$H$86,'Payroll Schedule'!$A$27:$A$86,12)),ABS('Payroll Schedule'!O17-SUMIFS('Payroll Schedule'!$M$27:$M$86,'Payroll Schedule'!$A$27:$A$86,12)),ABS('Payroll Schedule'!P15-SUMIFS('Payroll Schedule'!$G$27:$G$86,'Payroll Schedule'!$A$27:$A$86,13)),ABS('Payroll Schedule'!P16-SUMIFS('Payroll Schedule'!$H$27:$H$86,'Payroll Schedule'!$A$27:$A$86,13)),ABS('Payroll Schedule'!P17-SUMIFS('Payroll Schedule'!$M$27:$M$86,'Payroll Schedule'!$A$27:$A$86,13)),ABS('Payroll Schedule'!Q15-SUMIFS('Payroll Schedule'!$G$27:$G$86,'Payroll Schedule'!$A$27:$A$86,14)),ABS('Payroll Schedule'!Q16-SUMIFS('Payroll Schedule'!$H$27:$H$86,'Payroll Schedule'!$A$27:$A$86,14)),ABS('Payroll Schedule'!Q17-SUMIFS('Payroll Schedule'!$M$27:$M$86,'Payroll Schedule'!$A$27:$A$86,14)),ABS('Payroll Schedule'!R15-SUMIFS('Payroll Schedule'!$G$27:$G$86,'Payroll Schedule'!$A$27:$A$86,15)),ABS('Payroll Schedule'!R16-SUMIFS('Payroll Schedule'!$H$27:$H$86,'Payroll Schedule'!$A$27:$A$86,15)),ABS('Payroll Schedule'!R17-SUMIFS('Payroll Schedule'!$M$27:$M$86,'Payroll Schedule'!$A$27:$A$86,15)),ABS('Payroll Schedule'!S15-SUMIFS('Payroll Schedule'!$G$27:$G$86,'Payroll Schedule'!$A$27:$A$86,16)),ABS('Payroll Schedule'!S16-SUMIFS('Payroll Schedule'!$H$27:$H$86,'Payroll Schedule'!$A$27:$A$86,16)),ABS('Payroll Schedule'!S17-SUMIFS('Payroll Schedule'!$M$27:$M$86,'Payroll Schedule'!$A$27:$A$86,16)),ABS('Payroll Schedule'!T15-SUMIFS('Payroll Schedule'!$G$27:$G$86,'Payroll Schedule'!$A$27:$A$86,17)),ABS('Payroll Schedule'!T16-SUMIFS('Payroll Schedule'!$H$27:$H$86,'Payroll Schedule'!$A$27:$A$86,17)),ABS('Payroll Schedule'!T17-SUMIFS('Payroll Schedule'!$M$27:$M$86,'Payroll Schedule'!$A$27:$A$86,17)),ABS('Payroll Schedule'!U15-SUMIFS('Payroll Schedule'!$G$27:$G$86,'Payroll Schedule'!$A$27:$A$86,18)),ABS('Payroll Schedule'!U16-SUMIFS('Payroll Schedule'!$H$27:$H$86,'Payroll Schedule'!$A$27:$A$86,18)),ABS('Payroll Schedule'!U17-SUMIFS('Payroll Schedule'!$M$27:$M$86,'Payroll Schedule'!$A$27:$A$86,18)),ABS('Payroll Schedule'!V15-SUMIFS('Payroll Schedule'!$G$27:$G$86,'Payroll Schedule'!$A$27:$A$86,19)),ABS('Payroll Schedule'!V16-SUMIFS('Payroll Schedule'!$H$27:$H$86,'Payroll Schedule'!$A$27:$A$86,19)),ABS('Payroll Schedule'!V17-SUMIFS('Payroll Schedule'!$M$27:$M$86,'Payroll Schedule'!$A$27:$A$86,19)),ABS('Payroll Schedule'!W15-SUMIFS('Payroll Schedule'!$G$27:$G$86,'Payroll Schedule'!$A$27:$A$86,20)),ABS('Payroll Schedule'!W16-SUMIFS('Payroll Schedule'!$H$27:$H$86,'Payroll Schedule'!$A$27:$A$86,20)),ABS('Payroll Schedule'!W17-SUMIFS('Payroll Schedule'!$M$27:$M$86,'Payroll Schedule'!$A$27:$A$86,20)))</f>
        <v/>
      </c>
      <c r="F16" s="39" t="n">
        <v>0</v>
      </c>
      <c r="G16" s="39">
        <f>E16-F16</f>
        <v/>
      </c>
      <c r="H16" s="39" t="n">
        <v>1</v>
      </c>
      <c r="I16" s="40">
        <f>IF(ABS(G16)&lt;=H16,"OK","FAIL")</f>
        <v/>
      </c>
      <c r="J16" t="inlineStr">
        <is>
          <t>If this fails, payroll summary is no longer tied to detail FTE/payroll rows.</t>
        </is>
      </c>
    </row>
    <row r="17">
      <c r="A17" t="inlineStr">
        <is>
          <t>Schedule Coherence</t>
        </is>
      </c>
      <c r="B17" t="inlineStr">
        <is>
          <t>Payroll productivity metrics</t>
        </is>
      </c>
      <c r="C17" t="inlineStr">
        <is>
          <t>Payroll Schedule</t>
        </is>
      </c>
      <c r="D17" t="inlineStr">
        <is>
          <t>A16:W22</t>
        </is>
      </c>
      <c r="E17" s="41">
        <f>SUM(ABS('Payroll Schedule'!C20-IFERROR('Payroll Schedule'!C18/'Payroll Schedule'!C16,0)),ABS('Payroll Schedule'!C21-IFERROR('Payroll Schedule'!C19/'Payroll Schedule'!C16,0)),ABS('Payroll Schedule'!C22-IFERROR('Payroll Schedule'!C17/'Payroll Schedule'!C18,0)),ABS('Payroll Schedule'!D20-IFERROR('Payroll Schedule'!D18/'Payroll Schedule'!D16,0)),ABS('Payroll Schedule'!D21-IFERROR('Payroll Schedule'!D19/'Payroll Schedule'!D16,0)),ABS('Payroll Schedule'!D22-IFERROR('Payroll Schedule'!D17/'Payroll Schedule'!D18,0)),ABS('Payroll Schedule'!E20-IFERROR('Payroll Schedule'!E18/'Payroll Schedule'!E16,0)),ABS('Payroll Schedule'!E21-IFERROR('Payroll Schedule'!E19/'Payroll Schedule'!E16,0)),ABS('Payroll Schedule'!E22-IFERROR('Payroll Schedule'!E17/'Payroll Schedule'!E18,0)),ABS('Payroll Schedule'!F20-IFERROR('Payroll Schedule'!F18/'Payroll Schedule'!F16,0)),ABS('Payroll Schedule'!F21-IFERROR('Payroll Schedule'!F19/'Payroll Schedule'!F16,0)),ABS('Payroll Schedule'!F22-IFERROR('Payroll Schedule'!F17/'Payroll Schedule'!F18,0)),ABS('Payroll Schedule'!G20-IFERROR('Payroll Schedule'!G18/'Payroll Schedule'!G16,0)),ABS('Payroll Schedule'!G21-IFERROR('Payroll Schedule'!G19/'Payroll Schedule'!G16,0)),ABS('Payroll Schedule'!G22-IFERROR('Payroll Schedule'!G17/'Payroll Schedule'!G18,0)),ABS('Payroll Schedule'!H20-IFERROR('Payroll Schedule'!H18/'Payroll Schedule'!H16,0)),ABS('Payroll Schedule'!H21-IFERROR('Payroll Schedule'!H19/'Payroll Schedule'!H16,0)),ABS('Payroll Schedule'!H22-IFERROR('Payroll Schedule'!H17/'Payroll Schedule'!H18,0)),ABS('Payroll Schedule'!I20-IFERROR('Payroll Schedule'!I18/'Payroll Schedule'!I16,0)),ABS('Payroll Schedule'!I21-IFERROR('Payroll Schedule'!I19/'Payroll Schedule'!I16,0)),ABS('Payroll Schedule'!I22-IFERROR('Payroll Schedule'!I17/'Payroll Schedule'!I18,0)),ABS('Payroll Schedule'!J20-IFERROR('Payroll Schedule'!J18/'Payroll Schedule'!J16,0)),ABS('Payroll Schedule'!J21-IFERROR('Payroll Schedule'!J19/'Payroll Schedule'!J16,0)),ABS('Payroll Schedule'!J22-IFERROR('Payroll Schedule'!J17/'Payroll Schedule'!J18,0)),ABS('Payroll Schedule'!K20-IFERROR('Payroll Schedule'!K18/'Payroll Schedule'!K16,0)),ABS('Payroll Schedule'!K21-IFERROR('Payroll Schedule'!K19/'Payroll Schedule'!K16,0)),ABS('Payroll Schedule'!K22-IFERROR('Payroll Schedule'!K17/'Payroll Schedule'!K18,0)),ABS('Payroll Schedule'!L20-IFERROR('Payroll Schedule'!L18/'Payroll Schedule'!L16,0)),ABS('Payroll Schedule'!L21-IFERROR('Payroll Schedule'!L19/'Payroll Schedule'!L16,0)),ABS('Payroll Schedule'!L22-IFERROR('Payroll Schedule'!L17/'Payroll Schedule'!L18,0)),ABS('Payroll Schedule'!M20-IFERROR('Payroll Schedule'!M18/'Payroll Schedule'!M16,0)),ABS('Payroll Schedule'!M21-IFERROR('Payroll Schedule'!M19/'Payroll Schedule'!M16,0)),ABS('Payroll Schedule'!M22-IFERROR('Payroll Schedule'!M17/'Payroll Schedule'!M18,0)),ABS('Payroll Schedule'!N20-IFERROR('Payroll Schedule'!N18/'Payroll Schedule'!N16,0)),ABS('Payroll Schedule'!N21-IFERROR('Payroll Schedule'!N19/'Payroll Schedule'!N16,0)),ABS('Payroll Schedule'!N22-IFERROR('Payroll Schedule'!N17/'Payroll Schedule'!N18,0)),ABS('Payroll Schedule'!O20-IFERROR('Payroll Schedule'!O18/'Payroll Schedule'!O16,0)),ABS('Payroll Schedule'!O21-IFERROR('Payroll Schedule'!O19/'Payroll Schedule'!O16,0)),ABS('Payroll Schedule'!O22-IFERROR('Payroll Schedule'!O17/'Payroll Schedule'!O18,0)),ABS('Payroll Schedule'!P20-IFERROR('Payroll Schedule'!P18/'Payroll Schedule'!P16,0)),ABS('Payroll Schedule'!P21-IFERROR('Payroll Schedule'!P19/'Payroll Schedule'!P16,0)),ABS('Payroll Schedule'!P22-IFERROR('Payroll Schedule'!P17/'Payroll Schedule'!P18,0)),ABS('Payroll Schedule'!Q20-IFERROR('Payroll Schedule'!Q18/'Payroll Schedule'!Q16,0)),ABS('Payroll Schedule'!Q21-IFERROR('Payroll Schedule'!Q19/'Payroll Schedule'!Q16,0)),ABS('Payroll Schedule'!Q22-IFERROR('Payroll Schedule'!Q17/'Payroll Schedule'!Q18,0)),ABS('Payroll Schedule'!R20-IFERROR('Payroll Schedule'!R18/'Payroll Schedule'!R16,0)),ABS('Payroll Schedule'!R21-IFERROR('Payroll Schedule'!R19/'Payroll Schedule'!R16,0)),ABS('Payroll Schedule'!R22-IFERROR('Payroll Schedule'!R17/'Payroll Schedule'!R18,0)),ABS('Payroll Schedule'!S20-IFERROR('Payroll Schedule'!S18/'Payroll Schedule'!S16,0)),ABS('Payroll Schedule'!S21-IFERROR('Payroll Schedule'!S19/'Payroll Schedule'!S16,0)),ABS('Payroll Schedule'!S22-IFERROR('Payroll Schedule'!S17/'Payroll Schedule'!S18,0)),ABS('Payroll Schedule'!T20-IFERROR('Payroll Schedule'!T18/'Payroll Schedule'!T16,0)),ABS('Payroll Schedule'!T21-IFERROR('Payroll Schedule'!T19/'Payroll Schedule'!T16,0)),ABS('Payroll Schedule'!T22-IFERROR('Payroll Schedule'!T17/'Payroll Schedule'!T18,0)),ABS('Payroll Schedule'!U20-IFERROR('Payroll Schedule'!U18/'Payroll Schedule'!U16,0)),ABS('Payroll Schedule'!U21-IFERROR('Payroll Schedule'!U19/'Payroll Schedule'!U16,0)),ABS('Payroll Schedule'!U22-IFERROR('Payroll Schedule'!U17/'Payroll Schedule'!U18,0)),ABS('Payroll Schedule'!V20-IFERROR('Payroll Schedule'!V18/'Payroll Schedule'!V16,0)),ABS('Payroll Schedule'!V21-IFERROR('Payroll Schedule'!V19/'Payroll Schedule'!V16,0)),ABS('Payroll Schedule'!V22-IFERROR('Payroll Schedule'!V17/'Payroll Schedule'!V18,0)),ABS('Payroll Schedule'!W20-IFERROR('Payroll Schedule'!W18/'Payroll Schedule'!W16,0)),ABS('Payroll Schedule'!W21-IFERROR('Payroll Schedule'!W19/'Payroll Schedule'!W16,0)),ABS('Payroll Schedule'!W22-IFERROR('Payroll Schedule'!W17/'Payroll Schedule'!W18,0)))</f>
        <v/>
      </c>
      <c r="F17" s="41" t="n">
        <v>0</v>
      </c>
      <c r="G17" s="41">
        <f>E17-F17</f>
        <v/>
      </c>
      <c r="H17" s="41" t="n">
        <v>0.01</v>
      </c>
      <c r="I17" s="40">
        <f>IF(ABS(G17)&lt;=H17,"OK","FAIL")</f>
        <v/>
      </c>
      <c r="J17" t="inlineStr">
        <is>
          <t>Revenue per employee, units per employee, and payroll percent must stay tied to revenue/capacity and average FTE.</t>
        </is>
      </c>
    </row>
    <row r="18">
      <c r="A18" t="inlineStr">
        <is>
          <t>Schedule Coherence</t>
        </is>
      </c>
      <c r="B18" t="inlineStr">
        <is>
          <t>Payroll detail FTE math</t>
        </is>
      </c>
      <c r="C18" t="inlineStr">
        <is>
          <t>Payroll Schedule</t>
        </is>
      </c>
      <c r="D18" t="inlineStr">
        <is>
          <t>E27:H86</t>
        </is>
      </c>
      <c r="E18" s="39">
        <f>SUMPRODUCT(ABS('Payroll Schedule'!G27:G86-('Payroll Schedule'!E27:E86+'Payroll Schedule'!F27:F86)))+SUMPRODUCT(ABS('Payroll Schedule'!H27:H86-(('Payroll Schedule'!E27:E86+'Payroll Schedule'!G27:G86)/2)))</f>
        <v/>
      </c>
      <c r="F18" s="39" t="n">
        <v>0</v>
      </c>
      <c r="G18" s="39">
        <f>E18-F18</f>
        <v/>
      </c>
      <c r="H18" s="39" t="n">
        <v>0.01</v>
      </c>
      <c r="I18" s="40">
        <f>IF(ABS(G18)&lt;=H18,"OK","FAIL")</f>
        <v/>
      </c>
      <c r="J18" t="inlineStr">
        <is>
          <t>Ending FTE must equal starting FTE plus hires; average FTE must be the average of starting and ending FTE.</t>
        </is>
      </c>
    </row>
    <row r="19">
      <c r="A19" t="inlineStr">
        <is>
          <t>Schedule Coherence</t>
        </is>
      </c>
      <c r="B19" t="inlineStr">
        <is>
          <t>Payroll detail wage and tax math</t>
        </is>
      </c>
      <c r="C19" t="inlineStr">
        <is>
          <t>Payroll Schedule</t>
        </is>
      </c>
      <c r="D19" t="inlineStr">
        <is>
          <t>I27:M86</t>
        </is>
      </c>
      <c r="E19" s="39">
        <f>SUMPRODUCT(ABS('Payroll Schedule'!K27:K86-('Payroll Schedule'!H27:H86*'Payroll Schedule'!I27:I86/4)))+SUMPRODUCT(ABS('Payroll Schedule'!L27:L86-('Payroll Schedule'!K27:K86*'Payroll Schedule'!J27:J86)))+SUMPRODUCT(ABS('Payroll Schedule'!M27:M86-('Payroll Schedule'!K27:K86+'Payroll Schedule'!L27:L86)))</f>
        <v/>
      </c>
      <c r="F19" s="39" t="n">
        <v>0</v>
      </c>
      <c r="G19" s="39">
        <f>E19-F19</f>
        <v/>
      </c>
      <c r="H19" s="39" t="n">
        <v>1</v>
      </c>
      <c r="I19" s="40">
        <f>IF(ABS(G19)&lt;=H19,"OK","FAIL")</f>
        <v/>
      </c>
      <c r="J19" t="inlineStr">
        <is>
          <t>Payroll dollars must flow from average FTE, wage, benefits/taxes, and total payroll formulas.</t>
        </is>
      </c>
    </row>
    <row r="21">
      <c r="A21" s="7" t="inlineStr">
        <is>
          <t>Line-Item Formula Logic Diagnostics</t>
        </is>
      </c>
    </row>
    <row r="22">
      <c r="A22" t="inlineStr">
        <is>
          <t>Formula Logic</t>
        </is>
      </c>
      <c r="B22" t="inlineStr">
        <is>
          <t>Revenue calculation - lob_1_product_1</t>
        </is>
      </c>
      <c r="C22" t="inlineStr">
        <is>
          <t>Revenue Drivers</t>
        </is>
      </c>
      <c r="D22" t="inlineStr">
        <is>
          <t>'Revenue Drivers'!C11:W11</t>
        </is>
      </c>
      <c r="E22" s="39">
        <f>SUMPRODUCT(ABS('Revenue Drivers'!C11:W11-('Revenue Drivers'!C8:W8*'Revenue Drivers'!C9:W9*'Revenue Drivers'!C10:W10)))</f>
        <v/>
      </c>
      <c r="F22" s="39" t="n">
        <v>0</v>
      </c>
      <c r="G22" s="39">
        <f>E22-F22</f>
        <v/>
      </c>
      <c r="H22" s="39" t="n">
        <v>1</v>
      </c>
      <c r="I22" s="40">
        <f>IF(ABS(G22)&lt;=H22,"OK","FAIL")</f>
        <v/>
      </c>
      <c r="J22" t="inlineStr">
        <is>
          <t>Revenue rows must equal capacity x unit price x utilization.</t>
        </is>
      </c>
    </row>
    <row r="23">
      <c r="A23" t="inlineStr">
        <is>
          <t>Formula Logic</t>
        </is>
      </c>
      <c r="B23" t="inlineStr">
        <is>
          <t>Revenue total equals all revenue products</t>
        </is>
      </c>
      <c r="C23" t="inlineStr">
        <is>
          <t>Revenue Drivers</t>
        </is>
      </c>
      <c r="D23" t="inlineStr">
        <is>
          <t>'Revenue Drivers'!C14:W14</t>
        </is>
      </c>
      <c r="E23" s="39">
        <f>SUMPRODUCT(ABS('Revenue Drivers'!C14:W14-('Revenue Drivers'!C11:W11)))</f>
        <v/>
      </c>
      <c r="F23" s="39" t="n">
        <v>0</v>
      </c>
      <c r="G23" s="39">
        <f>E23-F23</f>
        <v/>
      </c>
      <c r="H23" s="39" t="n">
        <v>1</v>
      </c>
      <c r="I23" s="40">
        <f>IF(ABS(G23)&lt;=H23,"OK","FAIL")</f>
        <v/>
      </c>
      <c r="J23" t="inlineStr">
        <is>
          <t>Total revenue must stay tied to all revenue-product rows.</t>
        </is>
      </c>
    </row>
    <row r="24">
      <c r="A24" t="inlineStr">
        <is>
          <t>Formula Logic</t>
        </is>
      </c>
      <c r="B24" t="inlineStr">
        <is>
          <t>Revenue total capacity equals all capacity products</t>
        </is>
      </c>
      <c r="C24" t="inlineStr">
        <is>
          <t>Revenue Drivers</t>
        </is>
      </c>
      <c r="D24" t="inlineStr">
        <is>
          <t>'Revenue Drivers'!C13:W13</t>
        </is>
      </c>
      <c r="E24" s="39">
        <f>SUMPRODUCT(ABS('Revenue Drivers'!C13:W13-('Revenue Drivers'!C8:W8)))</f>
        <v/>
      </c>
      <c r="F24" s="39" t="n">
        <v>0</v>
      </c>
      <c r="G24" s="39">
        <f>E24-F24</f>
        <v/>
      </c>
      <c r="H24" s="39" t="n">
        <v>0.01</v>
      </c>
      <c r="I24" s="40">
        <f>IF(ABS(G24)&lt;=H24,"OK","FAIL")</f>
        <v/>
      </c>
      <c r="J24" t="inlineStr">
        <is>
          <t>Total capacity units must stay tied to all revenue-driver capacity rows.</t>
        </is>
      </c>
    </row>
    <row r="25">
      <c r="A25" t="inlineStr">
        <is>
          <t>Formula Logic</t>
        </is>
      </c>
      <c r="B25" t="inlineStr">
        <is>
          <t>Debt opening balance continuity</t>
        </is>
      </c>
      <c r="C25" t="inlineStr">
        <is>
          <t>Debt Schedule</t>
        </is>
      </c>
      <c r="D25" t="inlineStr">
        <is>
          <t>'Debt Schedule'!D7:W7</t>
        </is>
      </c>
      <c r="E25" s="39">
        <f>SUMPRODUCT(ABS('Debt Schedule'!D7:W7-'Debt Schedule'!C11:V11))</f>
        <v/>
      </c>
      <c r="F25" s="39" t="n">
        <v>0</v>
      </c>
      <c r="G25" s="39">
        <f>E25-F25</f>
        <v/>
      </c>
      <c r="H25" s="39" t="n">
        <v>1</v>
      </c>
      <c r="I25" s="40">
        <f>IF(ABS(G25)&lt;=H25,"OK","FAIL")</f>
        <v/>
      </c>
      <c r="J25" t="inlineStr">
        <is>
          <t>Each quarter's opening debt must equal the prior quarter's closing debt.</t>
        </is>
      </c>
    </row>
    <row r="26">
      <c r="A26" t="inlineStr">
        <is>
          <t>Formula Logic</t>
        </is>
      </c>
      <c r="B26" t="inlineStr">
        <is>
          <t>Actual debt repayment cap</t>
        </is>
      </c>
      <c r="C26" t="inlineStr">
        <is>
          <t>Debt Schedule</t>
        </is>
      </c>
      <c r="D26" t="inlineStr">
        <is>
          <t>'Debt Schedule'!C10:W10</t>
        </is>
      </c>
      <c r="E26" s="39">
        <f>SUMPRODUCT(--(('Debt Schedule'!C10:W10-'Debt Schedule'!C9:W9)&gt;1))+SUMPRODUCT(--(('Debt Schedule'!C10:W10-('Debt Schedule'!C7:W7+'Debt Schedule'!C8:W8))&gt;1))</f>
        <v/>
      </c>
      <c r="F26" s="39" t="n">
        <v>0</v>
      </c>
      <c r="G26" s="39">
        <f>E26-F26</f>
        <v/>
      </c>
      <c r="H26" s="39" t="n">
        <v>0</v>
      </c>
      <c r="I26" s="40">
        <f>IF(ABS(G26)&lt;=H26,"OK","FAIL")</f>
        <v/>
      </c>
      <c r="J26" t="inlineStr">
        <is>
          <t>Actual repayment must not exceed requested repayment or available debt balance.</t>
        </is>
      </c>
    </row>
    <row r="27">
      <c r="A27" t="inlineStr">
        <is>
          <t>Formula Logic</t>
        </is>
      </c>
      <c r="B27" t="inlineStr">
        <is>
          <t>Closing debt formula</t>
        </is>
      </c>
      <c r="C27" t="inlineStr">
        <is>
          <t>Debt Schedule</t>
        </is>
      </c>
      <c r="D27" t="inlineStr">
        <is>
          <t>'Debt Schedule'!C11:W11</t>
        </is>
      </c>
      <c r="E27" s="39">
        <f>SUMPRODUCT(ABS('Debt Schedule'!C11:W11-('Debt Schedule'!C7:W7+'Debt Schedule'!C8:W8-'Debt Schedule'!C10:W10)))</f>
        <v/>
      </c>
      <c r="F27" s="39" t="n">
        <v>0</v>
      </c>
      <c r="G27" s="39">
        <f>E27-F27</f>
        <v/>
      </c>
      <c r="H27" s="39" t="n">
        <v>1</v>
      </c>
      <c r="I27" s="40">
        <f>IF(ABS(G27)&lt;=H27,"OK","FAIL")</f>
        <v/>
      </c>
      <c r="J27" t="inlineStr">
        <is>
          <t>Closing debt must equal opening debt plus issuance less actual repayment, floored at zero.</t>
        </is>
      </c>
    </row>
    <row r="28">
      <c r="A28" t="inlineStr">
        <is>
          <t>Formula Logic</t>
        </is>
      </c>
      <c r="B28" t="inlineStr">
        <is>
          <t>Interest expense formula</t>
        </is>
      </c>
      <c r="C28" t="inlineStr">
        <is>
          <t>Debt Schedule</t>
        </is>
      </c>
      <c r="D28" t="inlineStr">
        <is>
          <t>'Debt Schedule'!C13:W13</t>
        </is>
      </c>
      <c r="E28" s="39">
        <f>SUMPRODUCT(ABS('Debt Schedule'!C13:W13-((('Debt Schedule'!C7:W7+'Debt Schedule'!C11:W11)/2)*'Debt Schedule'!C12:W12)))</f>
        <v/>
      </c>
      <c r="F28" s="39" t="n">
        <v>0</v>
      </c>
      <c r="G28" s="39">
        <f>E28-F28</f>
        <v/>
      </c>
      <c r="H28" s="39" t="n">
        <v>1</v>
      </c>
      <c r="I28" s="40">
        <f>IF(ABS(G28)&lt;=H28,"OK","FAIL")</f>
        <v/>
      </c>
      <c r="J28" t="inlineStr">
        <is>
          <t>Interest expense must equal average debt balance times interest rate.</t>
        </is>
      </c>
    </row>
    <row r="29">
      <c r="A29" t="inlineStr">
        <is>
          <t>Formula Logic</t>
        </is>
      </c>
      <c r="B29" t="inlineStr">
        <is>
          <t>Debt service formula</t>
        </is>
      </c>
      <c r="C29" t="inlineStr">
        <is>
          <t>Debt Schedule</t>
        </is>
      </c>
      <c r="D29" t="inlineStr">
        <is>
          <t>'Debt Schedule'!C14:W14</t>
        </is>
      </c>
      <c r="E29" s="39">
        <f>SUMPRODUCT(ABS('Debt Schedule'!C14:W14-('Debt Schedule'!C13:W13+'Debt Schedule'!C10:W10)))</f>
        <v/>
      </c>
      <c r="F29" s="39" t="n">
        <v>0</v>
      </c>
      <c r="G29" s="39">
        <f>E29-F29</f>
        <v/>
      </c>
      <c r="H29" s="39" t="n">
        <v>1</v>
      </c>
      <c r="I29" s="40">
        <f>IF(ABS(G29)&lt;=H29,"OK","FAIL")</f>
        <v/>
      </c>
      <c r="J29" t="inlineStr">
        <is>
          <t>Debt service must equal interest expense plus actual debt repayment.</t>
        </is>
      </c>
    </row>
    <row r="30">
      <c r="A30" t="inlineStr">
        <is>
          <t>Formula Logic</t>
        </is>
      </c>
      <c r="B30" t="inlineStr">
        <is>
          <t>Lease opening balance continuity</t>
        </is>
      </c>
      <c r="C30" t="inlineStr">
        <is>
          <t>Debt Schedule</t>
        </is>
      </c>
      <c r="D30" t="inlineStr">
        <is>
          <t>'Debt Schedule'!D18:W18</t>
        </is>
      </c>
      <c r="E30" s="39">
        <f>SUMPRODUCT(ABS('Debt Schedule'!D18:W18-'Debt Schedule'!C23:V23))</f>
        <v/>
      </c>
      <c r="F30" s="39" t="n">
        <v>0</v>
      </c>
      <c r="G30" s="39">
        <f>E30-F30</f>
        <v/>
      </c>
      <c r="H30" s="39" t="n">
        <v>1</v>
      </c>
      <c r="I30" s="40">
        <f>IF(ABS(G30)&lt;=H30,"OK","FAIL")</f>
        <v/>
      </c>
      <c r="J30" t="inlineStr">
        <is>
          <t>Each quarter's opening lease balance must equal the prior quarter's closing lease balance.</t>
        </is>
      </c>
    </row>
    <row r="31">
      <c r="A31" t="inlineStr">
        <is>
          <t>Formula Logic</t>
        </is>
      </c>
      <c r="B31" t="inlineStr">
        <is>
          <t>Lease principal repayment cap</t>
        </is>
      </c>
      <c r="C31" t="inlineStr">
        <is>
          <t>Debt Schedule</t>
        </is>
      </c>
      <c r="D31" t="inlineStr">
        <is>
          <t>'Debt Schedule'!C20:W20</t>
        </is>
      </c>
      <c r="E31" s="39">
        <f>SUMPRODUCT(--(('Debt Schedule'!C20:W20-'Debt Schedule'!C19:W19)&gt;1))+SUMPRODUCT(--(('Debt Schedule'!C20:W20-('Debt Schedule'!C18:W18+'Debt Schedule'!C21:W21))&gt;1))</f>
        <v/>
      </c>
      <c r="F31" s="39" t="n">
        <v>0</v>
      </c>
      <c r="G31" s="39">
        <f>E31-F31</f>
        <v/>
      </c>
      <c r="H31" s="39" t="n">
        <v>0</v>
      </c>
      <c r="I31" s="40">
        <f>IF(ABS(G31)&lt;=H31,"OK","FAIL")</f>
        <v/>
      </c>
      <c r="J31" t="inlineStr">
        <is>
          <t>Lease principal repayment must not exceed requested repayment or available lease balance.</t>
        </is>
      </c>
    </row>
    <row r="32">
      <c r="A32" t="inlineStr">
        <is>
          <t>Formula Logic</t>
        </is>
      </c>
      <c r="B32" t="inlineStr">
        <is>
          <t>Lease closing balance formula</t>
        </is>
      </c>
      <c r="C32" t="inlineStr">
        <is>
          <t>Debt Schedule</t>
        </is>
      </c>
      <c r="D32" t="inlineStr">
        <is>
          <t>'Debt Schedule'!C23:W23</t>
        </is>
      </c>
      <c r="E32" s="39">
        <f>SUMPRODUCT(ABS('Debt Schedule'!C23:W23-('Debt Schedule'!C18:W18+'Debt Schedule'!C21:W21-'Debt Schedule'!C20:W20)))</f>
        <v/>
      </c>
      <c r="F32" s="39" t="n">
        <v>0</v>
      </c>
      <c r="G32" s="39">
        <f>E32-F32</f>
        <v/>
      </c>
      <c r="H32" s="39" t="n">
        <v>1</v>
      </c>
      <c r="I32" s="40">
        <f>IF(ABS(G32)&lt;=H32,"OK","FAIL")</f>
        <v/>
      </c>
      <c r="J32" t="inlineStr">
        <is>
          <t>Lease closing balance must equal opening balance plus additions less principal repayment, floored at zero.</t>
        </is>
      </c>
    </row>
    <row r="33">
      <c r="A33" t="inlineStr">
        <is>
          <t>Formula Logic</t>
        </is>
      </c>
      <c r="B33" t="inlineStr">
        <is>
          <t>PPE opening balance continuity</t>
        </is>
      </c>
      <c r="C33" t="inlineStr">
        <is>
          <t>CapEx Depreciation</t>
        </is>
      </c>
      <c r="D33" t="inlineStr">
        <is>
          <t>'CapEx Depreciation'!D7:W7</t>
        </is>
      </c>
      <c r="E33" s="39">
        <f>SUMPRODUCT(ABS('CapEx Depreciation'!D7:W7-'CapEx Depreciation'!C12:V12))</f>
        <v/>
      </c>
      <c r="F33" s="39" t="n">
        <v>0</v>
      </c>
      <c r="G33" s="39">
        <f>E33-F33</f>
        <v/>
      </c>
      <c r="H33" s="39" t="n">
        <v>1</v>
      </c>
      <c r="I33" s="40">
        <f>IF(ABS(G33)&lt;=H33,"OK","FAIL")</f>
        <v/>
      </c>
      <c r="J33" t="inlineStr">
        <is>
          <t>Each quarter's opening PPE must equal the prior quarter's closing PPE.</t>
        </is>
      </c>
    </row>
    <row r="34">
      <c r="A34" t="inlineStr">
        <is>
          <t>Formula Logic</t>
        </is>
      </c>
      <c r="B34" t="inlineStr">
        <is>
          <t>Depreciation expense formula</t>
        </is>
      </c>
      <c r="C34" t="inlineStr">
        <is>
          <t>CapEx Depreciation</t>
        </is>
      </c>
      <c r="D34" t="inlineStr">
        <is>
          <t>'CapEx Depreciation'!C11:W11</t>
        </is>
      </c>
      <c r="E34" s="39">
        <f>SUMPRODUCT(ABS('CapEx Depreciation'!C11:W11-('CapEx Depreciation'!C7:W7*'CapEx Depreciation'!C10:W10)))</f>
        <v/>
      </c>
      <c r="F34" s="39" t="n">
        <v>0</v>
      </c>
      <c r="G34" s="39">
        <f>E34-F34</f>
        <v/>
      </c>
      <c r="H34" s="39" t="n">
        <v>1</v>
      </c>
      <c r="I34" s="40">
        <f>IF(ABS(G34)&lt;=H34,"OK","FAIL")</f>
        <v/>
      </c>
      <c r="J34" t="inlineStr">
        <is>
          <t>Depreciation must equal opening PPE times rate, capped at opening PPE.</t>
        </is>
      </c>
    </row>
    <row r="35">
      <c r="A35" t="inlineStr">
        <is>
          <t>Formula Logic</t>
        </is>
      </c>
      <c r="B35" t="inlineStr">
        <is>
          <t>Closing PPE formula</t>
        </is>
      </c>
      <c r="C35" t="inlineStr">
        <is>
          <t>CapEx Depreciation</t>
        </is>
      </c>
      <c r="D35" t="inlineStr">
        <is>
          <t>'CapEx Depreciation'!C12:W12</t>
        </is>
      </c>
      <c r="E35" s="39">
        <f>SUMPRODUCT(ABS('CapEx Depreciation'!C12:W12-('CapEx Depreciation'!C7:W7+'CapEx Depreciation'!C8:W8+'CapEx Depreciation'!C9:W9-'CapEx Depreciation'!C11:W11)))</f>
        <v/>
      </c>
      <c r="F35" s="39" t="n">
        <v>0</v>
      </c>
      <c r="G35" s="39">
        <f>E35-F35</f>
        <v/>
      </c>
      <c r="H35" s="39" t="n">
        <v>1</v>
      </c>
      <c r="I35" s="40">
        <f>IF(ABS(G35)&lt;=H35,"OK","FAIL")</f>
        <v/>
      </c>
      <c r="J35" t="inlineStr">
        <is>
          <t>Closing PPE must include capex and lease additions and subtract depreciation.</t>
        </is>
      </c>
    </row>
    <row r="36">
      <c r="A36" t="inlineStr">
        <is>
          <t>Formula Logic</t>
        </is>
      </c>
      <c r="B36" t="inlineStr">
        <is>
          <t>Accumulated depreciation continuity</t>
        </is>
      </c>
      <c r="C36" t="inlineStr">
        <is>
          <t>CapEx Depreciation</t>
        </is>
      </c>
      <c r="D36" t="inlineStr">
        <is>
          <t>'CapEx Depreciation'!D13:W13</t>
        </is>
      </c>
      <c r="E36" s="39">
        <f>SUMPRODUCT(ABS('CapEx Depreciation'!D13:W13-'CapEx Depreciation'!C14:V14))</f>
        <v/>
      </c>
      <c r="F36" s="39" t="n">
        <v>0</v>
      </c>
      <c r="G36" s="39">
        <f>E36-F36</f>
        <v/>
      </c>
      <c r="H36" s="39" t="n">
        <v>1</v>
      </c>
      <c r="I36" s="40">
        <f>IF(ABS(G36)&lt;=H36,"OK","FAIL")</f>
        <v/>
      </c>
      <c r="J36" t="inlineStr">
        <is>
          <t>Opening accumulated depreciation must equal the prior quarter's accumulated depreciation.</t>
        </is>
      </c>
    </row>
    <row r="37">
      <c r="A37" t="inlineStr">
        <is>
          <t>Formula Logic</t>
        </is>
      </c>
      <c r="B37" t="inlineStr">
        <is>
          <t>Accumulated depreciation formula</t>
        </is>
      </c>
      <c r="C37" t="inlineStr">
        <is>
          <t>CapEx Depreciation</t>
        </is>
      </c>
      <c r="D37" t="inlineStr">
        <is>
          <t>'CapEx Depreciation'!C14:W14</t>
        </is>
      </c>
      <c r="E37" s="39">
        <f>SUMPRODUCT(ABS('CapEx Depreciation'!C14:W14-('CapEx Depreciation'!C13:W13-'CapEx Depreciation'!C11:W11)))</f>
        <v/>
      </c>
      <c r="F37" s="39" t="n">
        <v>0</v>
      </c>
      <c r="G37" s="39">
        <f>E37-F37</f>
        <v/>
      </c>
      <c r="H37" s="39" t="n">
        <v>1</v>
      </c>
      <c r="I37" s="40">
        <f>IF(ABS(G37)&lt;=H37,"OK","FAIL")</f>
        <v/>
      </c>
      <c r="J37" t="inlineStr">
        <is>
          <t>Accumulated depreciation must roll forward by depreciation expense.</t>
        </is>
      </c>
    </row>
    <row r="39">
      <c r="A39" s="7" t="inlineStr">
        <is>
          <t>Formula Manifest by Line Item</t>
        </is>
      </c>
    </row>
    <row r="40">
      <c r="A40" t="inlineStr">
        <is>
          <t>Formula Manifest</t>
        </is>
      </c>
      <c r="B40" t="inlineStr">
        <is>
          <t>Revenue Drivers - Total Revenue</t>
        </is>
      </c>
      <c r="C40" t="inlineStr">
        <is>
          <t>Revenue Drivers</t>
        </is>
      </c>
      <c r="D40" t="inlineStr">
        <is>
          <t>'Revenue Drivers'!C14:W14</t>
        </is>
      </c>
      <c r="E40" s="39">
        <f>21</f>
        <v/>
      </c>
      <c r="F40" s="39" t="n">
        <v>21</v>
      </c>
      <c r="G40" s="39">
        <f>E40-F40</f>
        <v/>
      </c>
      <c r="H40" s="39" t="n">
        <v>0</v>
      </c>
      <c r="I40" s="40">
        <f>IF(G40=0,"OK","FAIL")</f>
        <v/>
      </c>
      <c r="J40" t="inlineStr">
        <is>
          <t>This line is expected to be formula-driven across every period. Formula presence is verified at export; live edit integrity is covered by the logic and bridge checks above.</t>
        </is>
      </c>
    </row>
    <row r="41">
      <c r="A41" t="inlineStr">
        <is>
          <t>Formula Manifest</t>
        </is>
      </c>
      <c r="B41" t="inlineStr">
        <is>
          <t>Revenue Drivers - Total Capacity Units</t>
        </is>
      </c>
      <c r="C41" t="inlineStr">
        <is>
          <t>Revenue Drivers</t>
        </is>
      </c>
      <c r="D41" t="inlineStr">
        <is>
          <t>'Revenue Drivers'!C13:W13</t>
        </is>
      </c>
      <c r="E41" s="39">
        <f>21</f>
        <v/>
      </c>
      <c r="F41" s="39" t="n">
        <v>21</v>
      </c>
      <c r="G41" s="39">
        <f>E41-F41</f>
        <v/>
      </c>
      <c r="H41" s="39" t="n">
        <v>0</v>
      </c>
      <c r="I41" s="40">
        <f>IF(G41=0,"OK","FAIL")</f>
        <v/>
      </c>
      <c r="J41" t="inlineStr">
        <is>
          <t>This line is expected to be formula-driven across every period. Formula presence is verified at export; live edit integrity is covered by the logic and bridge checks above.</t>
        </is>
      </c>
    </row>
    <row r="42">
      <c r="A42" t="inlineStr">
        <is>
          <t>Formula Manifest</t>
        </is>
      </c>
      <c r="B42" t="inlineStr">
        <is>
          <t>Revenue Drivers - Actual Revenue QoQ Growth</t>
        </is>
      </c>
      <c r="C42" t="inlineStr">
        <is>
          <t>Revenue Drivers</t>
        </is>
      </c>
      <c r="D42" t="inlineStr">
        <is>
          <t>'Revenue Drivers'!C17:W17</t>
        </is>
      </c>
      <c r="E42" s="39">
        <f>21</f>
        <v/>
      </c>
      <c r="F42" s="39" t="n">
        <v>21</v>
      </c>
      <c r="G42" s="39">
        <f>E42-F42</f>
        <v/>
      </c>
      <c r="H42" s="39" t="n">
        <v>0</v>
      </c>
      <c r="I42" s="40">
        <f>IF(G42=0,"OK","FAIL")</f>
        <v/>
      </c>
      <c r="J42" t="inlineStr">
        <is>
          <t>This line is expected to be formula-driven across every period. Formula presence is verified at export; live edit integrity is covered by the logic and bridge checks above.</t>
        </is>
      </c>
    </row>
    <row r="43">
      <c r="A43" t="inlineStr">
        <is>
          <t>Formula Manifest</t>
        </is>
      </c>
      <c r="B43" t="inlineStr">
        <is>
          <t>Payroll Schedule - Total Ending FTE</t>
        </is>
      </c>
      <c r="C43" t="inlineStr">
        <is>
          <t>Payroll Schedule</t>
        </is>
      </c>
      <c r="D43" t="inlineStr">
        <is>
          <t>'Payroll Schedule'!C15:W15</t>
        </is>
      </c>
      <c r="E43" s="39">
        <f>21</f>
        <v/>
      </c>
      <c r="F43" s="39" t="n">
        <v>21</v>
      </c>
      <c r="G43" s="39">
        <f>E43-F43</f>
        <v/>
      </c>
      <c r="H43" s="39" t="n">
        <v>0</v>
      </c>
      <c r="I43" s="40">
        <f>IF(G43=0,"OK","FAIL")</f>
        <v/>
      </c>
      <c r="J43" t="inlineStr">
        <is>
          <t>This line is expected to be formula-driven across every period. Formula presence is verified at export; live edit integrity is covered by the logic and bridge checks above.</t>
        </is>
      </c>
    </row>
    <row r="44">
      <c r="A44" t="inlineStr">
        <is>
          <t>Formula Manifest</t>
        </is>
      </c>
      <c r="B44" t="inlineStr">
        <is>
          <t>Payroll Schedule - Total Average FTE</t>
        </is>
      </c>
      <c r="C44" t="inlineStr">
        <is>
          <t>Payroll Schedule</t>
        </is>
      </c>
      <c r="D44" t="inlineStr">
        <is>
          <t>'Payroll Schedule'!C16:W16</t>
        </is>
      </c>
      <c r="E44" s="39">
        <f>21</f>
        <v/>
      </c>
      <c r="F44" s="39" t="n">
        <v>21</v>
      </c>
      <c r="G44" s="39">
        <f>E44-F44</f>
        <v/>
      </c>
      <c r="H44" s="39" t="n">
        <v>0</v>
      </c>
      <c r="I44" s="40">
        <f>IF(G44=0,"OK","FAIL")</f>
        <v/>
      </c>
      <c r="J44" t="inlineStr">
        <is>
          <t>This line is expected to be formula-driven across every period. Formula presence is verified at export; live edit integrity is covered by the logic and bridge checks above.</t>
        </is>
      </c>
    </row>
    <row r="45">
      <c r="A45" t="inlineStr">
        <is>
          <t>Formula Manifest</t>
        </is>
      </c>
      <c r="B45" t="inlineStr">
        <is>
          <t>Payroll Schedule - Total Payroll</t>
        </is>
      </c>
      <c r="C45" t="inlineStr">
        <is>
          <t>Payroll Schedule</t>
        </is>
      </c>
      <c r="D45" t="inlineStr">
        <is>
          <t>'Payroll Schedule'!C17:W17</t>
        </is>
      </c>
      <c r="E45" s="39">
        <f>21</f>
        <v/>
      </c>
      <c r="F45" s="39" t="n">
        <v>21</v>
      </c>
      <c r="G45" s="39">
        <f>E45-F45</f>
        <v/>
      </c>
      <c r="H45" s="39" t="n">
        <v>0</v>
      </c>
      <c r="I45" s="40">
        <f>IF(G45=0,"OK","FAIL")</f>
        <v/>
      </c>
      <c r="J45" t="inlineStr">
        <is>
          <t>This line is expected to be formula-driven across every period. Formula presence is verified at export; live edit integrity is covered by the logic and bridge checks above.</t>
        </is>
      </c>
    </row>
    <row r="46">
      <c r="A46" t="inlineStr">
        <is>
          <t>Formula Manifest</t>
        </is>
      </c>
      <c r="B46" t="inlineStr">
        <is>
          <t>Payroll Schedule - Total Revenue</t>
        </is>
      </c>
      <c r="C46" t="inlineStr">
        <is>
          <t>Payroll Schedule</t>
        </is>
      </c>
      <c r="D46" t="inlineStr">
        <is>
          <t>'Payroll Schedule'!C18:W18</t>
        </is>
      </c>
      <c r="E46" s="39">
        <f>21</f>
        <v/>
      </c>
      <c r="F46" s="39" t="n">
        <v>21</v>
      </c>
      <c r="G46" s="39">
        <f>E46-F46</f>
        <v/>
      </c>
      <c r="H46" s="39" t="n">
        <v>0</v>
      </c>
      <c r="I46" s="40">
        <f>IF(G46=0,"OK","FAIL")</f>
        <v/>
      </c>
      <c r="J46" t="inlineStr">
        <is>
          <t>This line is expected to be formula-driven across every period. Formula presence is verified at export; live edit integrity is covered by the logic and bridge checks above.</t>
        </is>
      </c>
    </row>
    <row r="47">
      <c r="A47" t="inlineStr">
        <is>
          <t>Formula Manifest</t>
        </is>
      </c>
      <c r="B47" t="inlineStr">
        <is>
          <t>Payroll Schedule - Total Capacity Units</t>
        </is>
      </c>
      <c r="C47" t="inlineStr">
        <is>
          <t>Payroll Schedule</t>
        </is>
      </c>
      <c r="D47" t="inlineStr">
        <is>
          <t>'Payroll Schedule'!C19:W19</t>
        </is>
      </c>
      <c r="E47" s="39">
        <f>21</f>
        <v/>
      </c>
      <c r="F47" s="39" t="n">
        <v>21</v>
      </c>
      <c r="G47" s="39">
        <f>E47-F47</f>
        <v/>
      </c>
      <c r="H47" s="39" t="n">
        <v>0</v>
      </c>
      <c r="I47" s="40">
        <f>IF(G47=0,"OK","FAIL")</f>
        <v/>
      </c>
      <c r="J47" t="inlineStr">
        <is>
          <t>This line is expected to be formula-driven across every period. Formula presence is verified at export; live edit integrity is covered by the logic and bridge checks above.</t>
        </is>
      </c>
    </row>
    <row r="48">
      <c r="A48" t="inlineStr">
        <is>
          <t>Formula Manifest</t>
        </is>
      </c>
      <c r="B48" t="inlineStr">
        <is>
          <t>Payroll Schedule - Revenue per Employee</t>
        </is>
      </c>
      <c r="C48" t="inlineStr">
        <is>
          <t>Payroll Schedule</t>
        </is>
      </c>
      <c r="D48" t="inlineStr">
        <is>
          <t>'Payroll Schedule'!C20:W20</t>
        </is>
      </c>
      <c r="E48" s="39">
        <f>21</f>
        <v/>
      </c>
      <c r="F48" s="39" t="n">
        <v>21</v>
      </c>
      <c r="G48" s="39">
        <f>E48-F48</f>
        <v/>
      </c>
      <c r="H48" s="39" t="n">
        <v>0</v>
      </c>
      <c r="I48" s="40">
        <f>IF(G48=0,"OK","FAIL")</f>
        <v/>
      </c>
      <c r="J48" t="inlineStr">
        <is>
          <t>This line is expected to be formula-driven across every period. Formula presence is verified at export; live edit integrity is covered by the logic and bridge checks above.</t>
        </is>
      </c>
    </row>
    <row r="49">
      <c r="A49" t="inlineStr">
        <is>
          <t>Formula Manifest</t>
        </is>
      </c>
      <c r="B49" t="inlineStr">
        <is>
          <t>Payroll Schedule - Units per Employee</t>
        </is>
      </c>
      <c r="C49" t="inlineStr">
        <is>
          <t>Payroll Schedule</t>
        </is>
      </c>
      <c r="D49" t="inlineStr">
        <is>
          <t>'Payroll Schedule'!C21:W21</t>
        </is>
      </c>
      <c r="E49" s="39">
        <f>21</f>
        <v/>
      </c>
      <c r="F49" s="39" t="n">
        <v>21</v>
      </c>
      <c r="G49" s="39">
        <f>E49-F49</f>
        <v/>
      </c>
      <c r="H49" s="39" t="n">
        <v>0</v>
      </c>
      <c r="I49" s="40">
        <f>IF(G49=0,"OK","FAIL")</f>
        <v/>
      </c>
      <c r="J49" t="inlineStr">
        <is>
          <t>This line is expected to be formula-driven across every period. Formula presence is verified at export; live edit integrity is covered by the logic and bridge checks above.</t>
        </is>
      </c>
    </row>
    <row r="50">
      <c r="A50" t="inlineStr">
        <is>
          <t>Formula Manifest</t>
        </is>
      </c>
      <c r="B50" t="inlineStr">
        <is>
          <t>Payroll Schedule - Payroll % of Revenue</t>
        </is>
      </c>
      <c r="C50" t="inlineStr">
        <is>
          <t>Payroll Schedule</t>
        </is>
      </c>
      <c r="D50" t="inlineStr">
        <is>
          <t>'Payroll Schedule'!C22:W22</t>
        </is>
      </c>
      <c r="E50" s="39">
        <f>21</f>
        <v/>
      </c>
      <c r="F50" s="39" t="n">
        <v>21</v>
      </c>
      <c r="G50" s="39">
        <f>E50-F50</f>
        <v/>
      </c>
      <c r="H50" s="39" t="n">
        <v>0</v>
      </c>
      <c r="I50" s="40">
        <f>IF(G50=0,"OK","FAIL")</f>
        <v/>
      </c>
      <c r="J50" t="inlineStr">
        <is>
          <t>This line is expected to be formula-driven across every period. Formula presence is verified at export; live edit integrity is covered by the logic and bridge checks above.</t>
        </is>
      </c>
    </row>
    <row r="51">
      <c r="A51" t="inlineStr">
        <is>
          <t>Formula Manifest</t>
        </is>
      </c>
      <c r="B51" t="inlineStr">
        <is>
          <t>CapEx Schedule - Lease Additions</t>
        </is>
      </c>
      <c r="C51" t="inlineStr">
        <is>
          <t>CapEx Depreciation</t>
        </is>
      </c>
      <c r="D51" t="inlineStr">
        <is>
          <t>'CapEx Depreciation'!D9:W9</t>
        </is>
      </c>
      <c r="E51" s="39">
        <f>20</f>
        <v/>
      </c>
      <c r="F51" s="39" t="n">
        <v>20</v>
      </c>
      <c r="G51" s="39">
        <f>E51-F51</f>
        <v/>
      </c>
      <c r="H51" s="39" t="n">
        <v>0</v>
      </c>
      <c r="I51" s="40">
        <f>IF(G51=0,"OK","FAIL")</f>
        <v/>
      </c>
      <c r="J51" t="inlineStr">
        <is>
          <t>This line is expected to be formula-driven across every period. Formula presence is verified at export; live edit integrity is covered by the logic and bridge checks above.</t>
        </is>
      </c>
    </row>
    <row r="52">
      <c r="A52" t="inlineStr">
        <is>
          <t>Formula Manifest</t>
        </is>
      </c>
      <c r="B52" t="inlineStr">
        <is>
          <t>CapEx Schedule - Closing PPE</t>
        </is>
      </c>
      <c r="C52" t="inlineStr">
        <is>
          <t>CapEx Depreciation</t>
        </is>
      </c>
      <c r="D52" t="inlineStr">
        <is>
          <t>'CapEx Depreciation'!C12:W12</t>
        </is>
      </c>
      <c r="E52" s="39">
        <f>21</f>
        <v/>
      </c>
      <c r="F52" s="39" t="n">
        <v>21</v>
      </c>
      <c r="G52" s="39">
        <f>E52-F52</f>
        <v/>
      </c>
      <c r="H52" s="39" t="n">
        <v>0</v>
      </c>
      <c r="I52" s="40">
        <f>IF(G52=0,"OK","FAIL")</f>
        <v/>
      </c>
      <c r="J52" t="inlineStr">
        <is>
          <t>This line is expected to be formula-driven across every period. Formula presence is verified at export; live edit integrity is covered by the logic and bridge checks above.</t>
        </is>
      </c>
    </row>
    <row r="53">
      <c r="A53" t="inlineStr">
        <is>
          <t>Formula Manifest</t>
        </is>
      </c>
      <c r="B53" t="inlineStr">
        <is>
          <t>Debt Schedule - Opening Debt</t>
        </is>
      </c>
      <c r="C53" t="inlineStr">
        <is>
          <t>Debt Schedule</t>
        </is>
      </c>
      <c r="D53" t="inlineStr">
        <is>
          <t>'Debt Schedule'!D7:W7</t>
        </is>
      </c>
      <c r="E53" s="39">
        <f>20</f>
        <v/>
      </c>
      <c r="F53" s="39" t="n">
        <v>20</v>
      </c>
      <c r="G53" s="39">
        <f>E53-F53</f>
        <v/>
      </c>
      <c r="H53" s="39" t="n">
        <v>0</v>
      </c>
      <c r="I53" s="40">
        <f>IF(G53=0,"OK","FAIL")</f>
        <v/>
      </c>
      <c r="J53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4">
      <c r="A54" t="inlineStr">
        <is>
          <t>Formula Manifest</t>
        </is>
      </c>
      <c r="B54" t="inlineStr">
        <is>
          <t>Debt Schedule - Actual Debt Repayment</t>
        </is>
      </c>
      <c r="C54" t="inlineStr">
        <is>
          <t>Debt Schedule</t>
        </is>
      </c>
      <c r="D54" t="inlineStr">
        <is>
          <t>'Debt Schedule'!C10:W10</t>
        </is>
      </c>
      <c r="E54" s="39">
        <f>21</f>
        <v/>
      </c>
      <c r="F54" s="39" t="n">
        <v>21</v>
      </c>
      <c r="G54" s="39">
        <f>E54-F54</f>
        <v/>
      </c>
      <c r="H54" s="39" t="n">
        <v>0</v>
      </c>
      <c r="I54" s="40">
        <f>IF(G54=0,"OK","FAIL")</f>
        <v/>
      </c>
      <c r="J54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5">
      <c r="A55" t="inlineStr">
        <is>
          <t>Formula Manifest</t>
        </is>
      </c>
      <c r="B55" t="inlineStr">
        <is>
          <t>Debt Schedule - Closing Debt</t>
        </is>
      </c>
      <c r="C55" t="inlineStr">
        <is>
          <t>Debt Schedule</t>
        </is>
      </c>
      <c r="D55" t="inlineStr">
        <is>
          <t>'Debt Schedule'!C11:W11</t>
        </is>
      </c>
      <c r="E55" s="39">
        <f>21</f>
        <v/>
      </c>
      <c r="F55" s="39" t="n">
        <v>21</v>
      </c>
      <c r="G55" s="39">
        <f>E55-F55</f>
        <v/>
      </c>
      <c r="H55" s="39" t="n">
        <v>0</v>
      </c>
      <c r="I55" s="40">
        <f>IF(G55=0,"OK","FAIL")</f>
        <v/>
      </c>
      <c r="J55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6">
      <c r="A56" t="inlineStr">
        <is>
          <t>Formula Manifest</t>
        </is>
      </c>
      <c r="B56" t="inlineStr">
        <is>
          <t>Debt Schedule - Interest Expense</t>
        </is>
      </c>
      <c r="C56" t="inlineStr">
        <is>
          <t>Debt Schedule</t>
        </is>
      </c>
      <c r="D56" t="inlineStr">
        <is>
          <t>'Debt Schedule'!C13:W13</t>
        </is>
      </c>
      <c r="E56" s="39">
        <f>21</f>
        <v/>
      </c>
      <c r="F56" s="39" t="n">
        <v>21</v>
      </c>
      <c r="G56" s="39">
        <f>E56-F56</f>
        <v/>
      </c>
      <c r="H56" s="39" t="n">
        <v>0</v>
      </c>
      <c r="I56" s="40">
        <f>IF(G56=0,"OK","FAIL")</f>
        <v/>
      </c>
      <c r="J56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7">
      <c r="A57" t="inlineStr">
        <is>
          <t>Formula Manifest</t>
        </is>
      </c>
      <c r="B57" t="inlineStr">
        <is>
          <t>Debt Schedule - Total Debt Service</t>
        </is>
      </c>
      <c r="C57" t="inlineStr">
        <is>
          <t>Debt Schedule</t>
        </is>
      </c>
      <c r="D57" t="inlineStr">
        <is>
          <t>'Debt Schedule'!C14:W14</t>
        </is>
      </c>
      <c r="E57" s="39">
        <f>21</f>
        <v/>
      </c>
      <c r="F57" s="39" t="n">
        <v>21</v>
      </c>
      <c r="G57" s="39">
        <f>E57-F57</f>
        <v/>
      </c>
      <c r="H57" s="39" t="n">
        <v>0</v>
      </c>
      <c r="I57" s="40">
        <f>IF(G57=0,"OK","FAIL")</f>
        <v/>
      </c>
      <c r="J57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8">
      <c r="A58" t="inlineStr">
        <is>
          <t>Formula Manifest</t>
        </is>
      </c>
      <c r="B58" t="inlineStr">
        <is>
          <t>Debt Schedule - Lease Opening Balance</t>
        </is>
      </c>
      <c r="C58" t="inlineStr">
        <is>
          <t>Debt Schedule</t>
        </is>
      </c>
      <c r="D58" t="inlineStr">
        <is>
          <t>'Debt Schedule'!D18:W18</t>
        </is>
      </c>
      <c r="E58" s="39">
        <f>20</f>
        <v/>
      </c>
      <c r="F58" s="39" t="n">
        <v>20</v>
      </c>
      <c r="G58" s="39">
        <f>E58-F58</f>
        <v/>
      </c>
      <c r="H58" s="39" t="n">
        <v>0</v>
      </c>
      <c r="I58" s="40">
        <f>IF(G58=0,"OK","FAIL")</f>
        <v/>
      </c>
      <c r="J58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9">
      <c r="A59" t="inlineStr">
        <is>
          <t>Formula Manifest</t>
        </is>
      </c>
      <c r="B59" t="inlineStr">
        <is>
          <t>Debt Schedule - Lease Principal Repayments</t>
        </is>
      </c>
      <c r="C59" t="inlineStr">
        <is>
          <t>Debt Schedule</t>
        </is>
      </c>
      <c r="D59" t="inlineStr">
        <is>
          <t>'Debt Schedule'!C20:W20</t>
        </is>
      </c>
      <c r="E59" s="39">
        <f>21</f>
        <v/>
      </c>
      <c r="F59" s="39" t="n">
        <v>21</v>
      </c>
      <c r="G59" s="39">
        <f>E59-F59</f>
        <v/>
      </c>
      <c r="H59" s="39" t="n">
        <v>0</v>
      </c>
      <c r="I59" s="40">
        <f>IF(G59=0,"OK","FAIL")</f>
        <v/>
      </c>
      <c r="J59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0">
      <c r="A60" t="inlineStr">
        <is>
          <t>Formula Manifest</t>
        </is>
      </c>
      <c r="B60" t="inlineStr">
        <is>
          <t>Debt Schedule - Lease Closing Balance</t>
        </is>
      </c>
      <c r="C60" t="inlineStr">
        <is>
          <t>Debt Schedule</t>
        </is>
      </c>
      <c r="D60" t="inlineStr">
        <is>
          <t>'Debt Schedule'!C23:W23</t>
        </is>
      </c>
      <c r="E60" s="39">
        <f>21</f>
        <v/>
      </c>
      <c r="F60" s="39" t="n">
        <v>21</v>
      </c>
      <c r="G60" s="39">
        <f>E60-F60</f>
        <v/>
      </c>
      <c r="H60" s="39" t="n">
        <v>0</v>
      </c>
      <c r="I60" s="40">
        <f>IF(G60=0,"OK","FAIL")</f>
        <v/>
      </c>
      <c r="J60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1">
      <c r="A61" t="inlineStr">
        <is>
          <t>Formula Manifest</t>
        </is>
      </c>
      <c r="B61" t="inlineStr">
        <is>
          <t>Payroll Detail - Ending FTE</t>
        </is>
      </c>
      <c r="C61" t="inlineStr">
        <is>
          <t>Payroll Schedule</t>
        </is>
      </c>
      <c r="D61" t="inlineStr">
        <is>
          <t>'Payroll Schedule'!G27:G86</t>
        </is>
      </c>
      <c r="E61" s="39">
        <f>60</f>
        <v/>
      </c>
      <c r="F61" s="39" t="n">
        <v>60</v>
      </c>
      <c r="G61" s="39">
        <f>E61-F61</f>
        <v/>
      </c>
      <c r="H61" s="39" t="n">
        <v>0</v>
      </c>
      <c r="I61" s="40">
        <f>IF(G61=0,"OK","FAIL")</f>
        <v/>
      </c>
      <c r="J61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2">
      <c r="A62" t="inlineStr">
        <is>
          <t>Formula Manifest</t>
        </is>
      </c>
      <c r="B62" t="inlineStr">
        <is>
          <t>Payroll Detail - Average FTE</t>
        </is>
      </c>
      <c r="C62" t="inlineStr">
        <is>
          <t>Payroll Schedule</t>
        </is>
      </c>
      <c r="D62" t="inlineStr">
        <is>
          <t>'Payroll Schedule'!H27:H86</t>
        </is>
      </c>
      <c r="E62" s="39">
        <f>60</f>
        <v/>
      </c>
      <c r="F62" s="39" t="n">
        <v>60</v>
      </c>
      <c r="G62" s="39">
        <f>E62-F62</f>
        <v/>
      </c>
      <c r="H62" s="39" t="n">
        <v>0</v>
      </c>
      <c r="I62" s="40">
        <f>IF(G62=0,"OK","FAIL")</f>
        <v/>
      </c>
      <c r="J62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3">
      <c r="A63" t="inlineStr">
        <is>
          <t>Formula Manifest</t>
        </is>
      </c>
      <c r="B63" t="inlineStr">
        <is>
          <t>Payroll Detail - Wage Cost</t>
        </is>
      </c>
      <c r="C63" t="inlineStr">
        <is>
          <t>Payroll Schedule</t>
        </is>
      </c>
      <c r="D63" t="inlineStr">
        <is>
          <t>'Payroll Schedule'!K27:K86</t>
        </is>
      </c>
      <c r="E63" s="39">
        <f>60</f>
        <v/>
      </c>
      <c r="F63" s="39" t="n">
        <v>60</v>
      </c>
      <c r="G63" s="39">
        <f>E63-F63</f>
        <v/>
      </c>
      <c r="H63" s="39" t="n">
        <v>0</v>
      </c>
      <c r="I63" s="40">
        <f>IF(G63=0,"OK","FAIL")</f>
        <v/>
      </c>
      <c r="J63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4">
      <c r="A64" t="inlineStr">
        <is>
          <t>Formula Manifest</t>
        </is>
      </c>
      <c r="B64" t="inlineStr">
        <is>
          <t>Payroll Detail - Taxes &amp; Benefits</t>
        </is>
      </c>
      <c r="C64" t="inlineStr">
        <is>
          <t>Payroll Schedule</t>
        </is>
      </c>
      <c r="D64" t="inlineStr">
        <is>
          <t>'Payroll Schedule'!L27:L86</t>
        </is>
      </c>
      <c r="E64" s="39">
        <f>60</f>
        <v/>
      </c>
      <c r="F64" s="39" t="n">
        <v>60</v>
      </c>
      <c r="G64" s="39">
        <f>E64-F64</f>
        <v/>
      </c>
      <c r="H64" s="39" t="n">
        <v>0</v>
      </c>
      <c r="I64" s="40">
        <f>IF(G64=0,"OK","FAIL")</f>
        <v/>
      </c>
      <c r="J64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5">
      <c r="A65" t="inlineStr">
        <is>
          <t>Formula Manifest</t>
        </is>
      </c>
      <c r="B65" t="inlineStr">
        <is>
          <t>Payroll Detail - Total Payroll</t>
        </is>
      </c>
      <c r="C65" t="inlineStr">
        <is>
          <t>Payroll Schedule</t>
        </is>
      </c>
      <c r="D65" t="inlineStr">
        <is>
          <t>'Payroll Schedule'!M27:M86</t>
        </is>
      </c>
      <c r="E65" s="39">
        <f>60</f>
        <v/>
      </c>
      <c r="F65" s="39" t="n">
        <v>60</v>
      </c>
      <c r="G65" s="39">
        <f>E65-F65</f>
        <v/>
      </c>
      <c r="H65" s="39" t="n">
        <v>0</v>
      </c>
      <c r="I65" s="40">
        <f>IF(G65=0,"OK","FAIL")</f>
        <v/>
      </c>
      <c r="J65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6">
      <c r="A66" t="inlineStr">
        <is>
          <t>Formula Manifest</t>
        </is>
      </c>
      <c r="B66" t="inlineStr">
        <is>
          <t>Model Inputs - revenue::lob_1_product_1::Capacity</t>
        </is>
      </c>
      <c r="C66" t="inlineStr">
        <is>
          <t>Model Inputs</t>
        </is>
      </c>
      <c r="D66" t="inlineStr">
        <is>
          <t>'Model Inputs'!C7:W7</t>
        </is>
      </c>
      <c r="E66" s="39">
        <f>21</f>
        <v/>
      </c>
      <c r="F66" s="39" t="n">
        <v>21</v>
      </c>
      <c r="G66" s="39">
        <f>E66-F66</f>
        <v/>
      </c>
      <c r="H66" s="39" t="n">
        <v>0</v>
      </c>
      <c r="I66" s="40">
        <f>IF(G66=0,"OK","FAIL")</f>
        <v/>
      </c>
      <c r="J66" t="inlineStr">
        <is>
          <t>Formula bridge rows in Model Inputs must stay linked to schedules. Formula presence is verified at export; live edit integrity is covered by the logic and bridge checks above.</t>
        </is>
      </c>
    </row>
    <row r="67">
      <c r="A67" t="inlineStr">
        <is>
          <t>Formula Manifest</t>
        </is>
      </c>
      <c r="B67" t="inlineStr">
        <is>
          <t>Model Inputs - revenue::lob_1_product_1::Unit Price</t>
        </is>
      </c>
      <c r="C67" t="inlineStr">
        <is>
          <t>Model Inputs</t>
        </is>
      </c>
      <c r="D67" t="inlineStr">
        <is>
          <t>'Model Inputs'!C8:W8</t>
        </is>
      </c>
      <c r="E67" s="39">
        <f>21</f>
        <v/>
      </c>
      <c r="F67" s="39" t="n">
        <v>21</v>
      </c>
      <c r="G67" s="39">
        <f>E67-F67</f>
        <v/>
      </c>
      <c r="H67" s="39" t="n">
        <v>0</v>
      </c>
      <c r="I67" s="40">
        <f>IF(G67=0,"OK","FAIL")</f>
        <v/>
      </c>
      <c r="J67" t="inlineStr">
        <is>
          <t>Formula bridge rows in Model Inputs must stay linked to schedules. Formula presence is verified at export; live edit integrity is covered by the logic and bridge checks above.</t>
        </is>
      </c>
    </row>
    <row r="68">
      <c r="A68" t="inlineStr">
        <is>
          <t>Formula Manifest</t>
        </is>
      </c>
      <c r="B68" t="inlineStr">
        <is>
          <t>Model Inputs - revenue::lob_1_product_1::Utilization</t>
        </is>
      </c>
      <c r="C68" t="inlineStr">
        <is>
          <t>Model Inputs</t>
        </is>
      </c>
      <c r="D68" t="inlineStr">
        <is>
          <t>'Model Inputs'!C9:W9</t>
        </is>
      </c>
      <c r="E68" s="39">
        <f>21</f>
        <v/>
      </c>
      <c r="F68" s="39" t="n">
        <v>21</v>
      </c>
      <c r="G68" s="39">
        <f>E68-F68</f>
        <v/>
      </c>
      <c r="H68" s="39" t="n">
        <v>0</v>
      </c>
      <c r="I68" s="40">
        <f>IF(G68=0,"OK","FAIL")</f>
        <v/>
      </c>
      <c r="J68" t="inlineStr">
        <is>
          <t>Formula bridge rows in Model Inputs must stay linked to schedules. Formula presence is verified at export; live edit integrity is covered by the logic and bridge checks above.</t>
        </is>
      </c>
    </row>
    <row r="69">
      <c r="A69" t="inlineStr">
        <is>
          <t>Formula Manifest</t>
        </is>
      </c>
      <c r="B69" t="inlineStr">
        <is>
          <t>Model Inputs - revenue::lob_1_product_1::Revenue</t>
        </is>
      </c>
      <c r="C69" t="inlineStr">
        <is>
          <t>Model Inputs</t>
        </is>
      </c>
      <c r="D69" t="inlineStr">
        <is>
          <t>'Model Inputs'!C10:W10</t>
        </is>
      </c>
      <c r="E69" s="39">
        <f>21</f>
        <v/>
      </c>
      <c r="F69" s="39" t="n">
        <v>21</v>
      </c>
      <c r="G69" s="39">
        <f>E69-F69</f>
        <v/>
      </c>
      <c r="H69" s="39" t="n">
        <v>0</v>
      </c>
      <c r="I69" s="40">
        <f>IF(G69=0,"OK","FAIL")</f>
        <v/>
      </c>
      <c r="J69" t="inlineStr">
        <is>
          <t>Formula bridge rows in Model Inputs must stay linked to schedules. Formula presence is verified at export; live edit integrity is covered by the logic and bridge checks above.</t>
        </is>
      </c>
    </row>
    <row r="70">
      <c r="A70" t="inlineStr">
        <is>
          <t>Formula Manifest</t>
        </is>
      </c>
      <c r="B70" t="inlineStr">
        <is>
          <t>Model Inputs - is::Revenue</t>
        </is>
      </c>
      <c r="C70" t="inlineStr">
        <is>
          <t>Model Inputs</t>
        </is>
      </c>
      <c r="D70" t="inlineStr">
        <is>
          <t>'Model Inputs'!C11:W11</t>
        </is>
      </c>
      <c r="E70" s="39">
        <f>21</f>
        <v/>
      </c>
      <c r="F70" s="39" t="n">
        <v>21</v>
      </c>
      <c r="G70" s="39">
        <f>E70-F70</f>
        <v/>
      </c>
      <c r="H70" s="39" t="n">
        <v>0</v>
      </c>
      <c r="I70" s="40">
        <f>IF(G70=0,"OK","FAIL")</f>
        <v/>
      </c>
      <c r="J70" t="inlineStr">
        <is>
          <t>Formula bridge rows in Model Inputs must stay linked to schedules. Formula presence is verified at export; live edit integrity is covered by the logic and bridge checks above.</t>
        </is>
      </c>
    </row>
    <row r="71">
      <c r="A71" t="inlineStr">
        <is>
          <t>Formula Manifest</t>
        </is>
      </c>
      <c r="B71" t="inlineStr">
        <is>
          <t>Model Inputs - is::Lease</t>
        </is>
      </c>
      <c r="C71" t="inlineStr">
        <is>
          <t>Model Inputs</t>
        </is>
      </c>
      <c r="D71" t="inlineStr">
        <is>
          <t>'Model Inputs'!C15:W15</t>
        </is>
      </c>
      <c r="E71" s="39">
        <f>21</f>
        <v/>
      </c>
      <c r="F71" s="39" t="n">
        <v>21</v>
      </c>
      <c r="G71" s="39">
        <f>E71-F71</f>
        <v/>
      </c>
      <c r="H71" s="39" t="n">
        <v>0</v>
      </c>
      <c r="I71" s="40">
        <f>IF(G71=0,"OK","FAIL")</f>
        <v/>
      </c>
      <c r="J71" t="inlineStr">
        <is>
          <t>Formula bridge rows in Model Inputs must stay linked to schedules. Formula presence is verified at export; live edit integrity is covered by the logic and bridge checks above.</t>
        </is>
      </c>
    </row>
    <row r="72">
      <c r="A72" t="inlineStr">
        <is>
          <t>Formula Manifest</t>
        </is>
      </c>
      <c r="B72" t="inlineStr">
        <is>
          <t>Model Inputs - is::Payroll</t>
        </is>
      </c>
      <c r="C72" t="inlineStr">
        <is>
          <t>Model Inputs</t>
        </is>
      </c>
      <c r="D72" t="inlineStr">
        <is>
          <t>'Model Inputs'!D16:W16</t>
        </is>
      </c>
      <c r="E72" s="39">
        <f>20</f>
        <v/>
      </c>
      <c r="F72" s="39" t="n">
        <v>20</v>
      </c>
      <c r="G72" s="39">
        <f>E72-F72</f>
        <v/>
      </c>
      <c r="H72" s="39" t="n">
        <v>0</v>
      </c>
      <c r="I72" s="40">
        <f>IF(G72=0,"OK","FAIL")</f>
        <v/>
      </c>
      <c r="J72" t="inlineStr">
        <is>
          <t>Formula bridge rows in Model Inputs must stay linked to schedules. Formula presence is verified at export; live edit integrity is covered by the logic and bridge checks above.</t>
        </is>
      </c>
    </row>
    <row r="73">
      <c r="A73" t="inlineStr">
        <is>
          <t>Formula Manifest</t>
        </is>
      </c>
      <c r="B73" t="inlineStr">
        <is>
          <t>Model Inputs - is::Interest Rate</t>
        </is>
      </c>
      <c r="C73" t="inlineStr">
        <is>
          <t>Model Inputs</t>
        </is>
      </c>
      <c r="D73" t="inlineStr">
        <is>
          <t>'Model Inputs'!C18:W18</t>
        </is>
      </c>
      <c r="E73" s="39">
        <f>21</f>
        <v/>
      </c>
      <c r="F73" s="39" t="n">
        <v>21</v>
      </c>
      <c r="G73" s="39">
        <f>E73-F73</f>
        <v/>
      </c>
      <c r="H73" s="39" t="n">
        <v>0</v>
      </c>
      <c r="I73" s="40">
        <f>IF(G73=0,"OK","FAIL")</f>
        <v/>
      </c>
      <c r="J73" t="inlineStr">
        <is>
          <t>Formula bridge rows in Model Inputs must stay linked to schedules. Formula presence is verified at export; live edit integrity is covered by the logic and bridge checks above.</t>
        </is>
      </c>
    </row>
    <row r="74">
      <c r="A74" t="inlineStr">
        <is>
          <t>Formula Manifest</t>
        </is>
      </c>
      <c r="B74" t="inlineStr">
        <is>
          <t>Model Inputs - is::Interest Expense</t>
        </is>
      </c>
      <c r="C74" t="inlineStr">
        <is>
          <t>Model Inputs</t>
        </is>
      </c>
      <c r="D74" t="inlineStr">
        <is>
          <t>'Model Inputs'!D19:W19</t>
        </is>
      </c>
      <c r="E74" s="39">
        <f>20</f>
        <v/>
      </c>
      <c r="F74" s="39" t="n">
        <v>20</v>
      </c>
      <c r="G74" s="39">
        <f>E74-F74</f>
        <v/>
      </c>
      <c r="H74" s="39" t="n">
        <v>0</v>
      </c>
      <c r="I74" s="40">
        <f>IF(G74=0,"OK","FAIL")</f>
        <v/>
      </c>
      <c r="J74" t="inlineStr">
        <is>
          <t>Formula bridge rows in Model Inputs must stay linked to schedules. Formula presence is verified at export; live edit integrity is covered by the logic and bridge checks above.</t>
        </is>
      </c>
    </row>
    <row r="75">
      <c r="A75" t="inlineStr">
        <is>
          <t>Formula Manifest</t>
        </is>
      </c>
      <c r="B75" t="inlineStr">
        <is>
          <t>Model Inputs - is::Depreciation</t>
        </is>
      </c>
      <c r="C75" t="inlineStr">
        <is>
          <t>Model Inputs</t>
        </is>
      </c>
      <c r="D75" t="inlineStr">
        <is>
          <t>'Model Inputs'!C20:W20</t>
        </is>
      </c>
      <c r="E75" s="39">
        <f>21</f>
        <v/>
      </c>
      <c r="F75" s="39" t="n">
        <v>21</v>
      </c>
      <c r="G75" s="39">
        <f>E75-F75</f>
        <v/>
      </c>
      <c r="H75" s="39" t="n">
        <v>0</v>
      </c>
      <c r="I75" s="40">
        <f>IF(G75=0,"OK","FAIL")</f>
        <v/>
      </c>
      <c r="J75" t="inlineStr">
        <is>
          <t>Formula bridge rows in Model Inputs must stay linked to schedules. Formula presence is verified at export; live edit integrity is covered by the logic and bridge checks above.</t>
        </is>
      </c>
    </row>
    <row r="76">
      <c r="A76" t="inlineStr">
        <is>
          <t>Formula Manifest</t>
        </is>
      </c>
      <c r="B76" t="inlineStr">
        <is>
          <t>Model Inputs - is::Depreciation Expense</t>
        </is>
      </c>
      <c r="C76" t="inlineStr">
        <is>
          <t>Model Inputs</t>
        </is>
      </c>
      <c r="D76" t="inlineStr">
        <is>
          <t>'Model Inputs'!C21:W21</t>
        </is>
      </c>
      <c r="E76" s="39">
        <f>21</f>
        <v/>
      </c>
      <c r="F76" s="39" t="n">
        <v>21</v>
      </c>
      <c r="G76" s="39">
        <f>E76-F76</f>
        <v/>
      </c>
      <c r="H76" s="39" t="n">
        <v>0</v>
      </c>
      <c r="I76" s="40">
        <f>IF(G76=0,"OK","FAIL")</f>
        <v/>
      </c>
      <c r="J76" t="inlineStr">
        <is>
          <t>Formula bridge rows in Model Inputs must stay linked to schedules. Formula presence is verified at export; live edit integrity is covered by the logic and bridge checks above.</t>
        </is>
      </c>
    </row>
    <row r="77">
      <c r="A77" t="inlineStr">
        <is>
          <t>Formula Manifest</t>
        </is>
      </c>
      <c r="B77" t="inlineStr">
        <is>
          <t>Model Inputs - bs::Accounts Receivable Days</t>
        </is>
      </c>
      <c r="C77" t="inlineStr">
        <is>
          <t>Model Inputs</t>
        </is>
      </c>
      <c r="D77" t="inlineStr">
        <is>
          <t>'Model Inputs'!C25:W25</t>
        </is>
      </c>
      <c r="E77" s="39">
        <f>21</f>
        <v/>
      </c>
      <c r="F77" s="39" t="n">
        <v>21</v>
      </c>
      <c r="G77" s="39">
        <f>E77-F77</f>
        <v/>
      </c>
      <c r="H77" s="39" t="n">
        <v>0</v>
      </c>
      <c r="I77" s="40">
        <f>IF(G77=0,"OK","FAIL")</f>
        <v/>
      </c>
      <c r="J77" t="inlineStr">
        <is>
          <t>Formula bridge rows in Model Inputs must stay linked to schedules. Formula presence is verified at export; live edit integrity is covered by the logic and bridge checks above.</t>
        </is>
      </c>
    </row>
    <row r="78">
      <c r="A78" t="inlineStr">
        <is>
          <t>Formula Manifest</t>
        </is>
      </c>
      <c r="B78" t="inlineStr">
        <is>
          <t>Model Inputs - bs::Inventory Days</t>
        </is>
      </c>
      <c r="C78" t="inlineStr">
        <is>
          <t>Model Inputs</t>
        </is>
      </c>
      <c r="D78" t="inlineStr">
        <is>
          <t>'Model Inputs'!C26:W26</t>
        </is>
      </c>
      <c r="E78" s="39">
        <f>21</f>
        <v/>
      </c>
      <c r="F78" s="39" t="n">
        <v>21</v>
      </c>
      <c r="G78" s="39">
        <f>E78-F78</f>
        <v/>
      </c>
      <c r="H78" s="39" t="n">
        <v>0</v>
      </c>
      <c r="I78" s="40">
        <f>IF(G78=0,"OK","FAIL")</f>
        <v/>
      </c>
      <c r="J78" t="inlineStr">
        <is>
          <t>Formula bridge rows in Model Inputs must stay linked to schedules. Formula presence is verified at export; live edit integrity is covered by the logic and bridge checks above.</t>
        </is>
      </c>
    </row>
    <row r="79">
      <c r="A79" t="inlineStr">
        <is>
          <t>Formula Manifest</t>
        </is>
      </c>
      <c r="B79" t="inlineStr">
        <is>
          <t>Model Inputs - bs::Accounts Payable Days</t>
        </is>
      </c>
      <c r="C79" t="inlineStr">
        <is>
          <t>Model Inputs</t>
        </is>
      </c>
      <c r="D79" t="inlineStr">
        <is>
          <t>'Model Inputs'!C27:W27</t>
        </is>
      </c>
      <c r="E79" s="39">
        <f>21</f>
        <v/>
      </c>
      <c r="F79" s="39" t="n">
        <v>21</v>
      </c>
      <c r="G79" s="39">
        <f>E79-F79</f>
        <v/>
      </c>
      <c r="H79" s="39" t="n">
        <v>0</v>
      </c>
      <c r="I79" s="40">
        <f>IF(G79=0,"OK","FAIL")</f>
        <v/>
      </c>
      <c r="J79" t="inlineStr">
        <is>
          <t>Formula bridge rows in Model Inputs must stay linked to schedules. Formula presence is verified at export; live edit integrity is covered by the logic and bridge checks above.</t>
        </is>
      </c>
    </row>
    <row r="80">
      <c r="A80" t="inlineStr">
        <is>
          <t>Formula Manifest</t>
        </is>
      </c>
      <c r="B80" t="inlineStr">
        <is>
          <t>Model Inputs - bs::Prepaid Expenses (% of Revenue)</t>
        </is>
      </c>
      <c r="C80" t="inlineStr">
        <is>
          <t>Model Inputs</t>
        </is>
      </c>
      <c r="D80" t="inlineStr">
        <is>
          <t>'Model Inputs'!C28:W28</t>
        </is>
      </c>
      <c r="E80" s="39">
        <f>21</f>
        <v/>
      </c>
      <c r="F80" s="39" t="n">
        <v>21</v>
      </c>
      <c r="G80" s="39">
        <f>E80-F80</f>
        <v/>
      </c>
      <c r="H80" s="39" t="n">
        <v>0</v>
      </c>
      <c r="I80" s="40">
        <f>IF(G80=0,"OK","FAIL")</f>
        <v/>
      </c>
      <c r="J80" t="inlineStr">
        <is>
          <t>Formula bridge rows in Model Inputs must stay linked to schedules. Formula presence is verified at export; live edit integrity is covered by the logic and bridge checks above.</t>
        </is>
      </c>
    </row>
    <row r="81">
      <c r="A81" t="inlineStr">
        <is>
          <t>Formula Manifest</t>
        </is>
      </c>
      <c r="B81" t="inlineStr">
        <is>
          <t>Model Inputs - bs::Deferred Revenue (% of Revenue)</t>
        </is>
      </c>
      <c r="C81" t="inlineStr">
        <is>
          <t>Model Inputs</t>
        </is>
      </c>
      <c r="D81" t="inlineStr">
        <is>
          <t>'Model Inputs'!C29:W29</t>
        </is>
      </c>
      <c r="E81" s="39">
        <f>21</f>
        <v/>
      </c>
      <c r="F81" s="39" t="n">
        <v>21</v>
      </c>
      <c r="G81" s="39">
        <f>E81-F81</f>
        <v/>
      </c>
      <c r="H81" s="39" t="n">
        <v>0</v>
      </c>
      <c r="I81" s="40">
        <f>IF(G81=0,"OK","FAIL")</f>
        <v/>
      </c>
      <c r="J81" t="inlineStr">
        <is>
          <t>Formula bridge rows in Model Inputs must stay linked to schedules. Formula presence is verified at export; live edit integrity is covered by the logic and bridge checks above.</t>
        </is>
      </c>
    </row>
    <row r="82">
      <c r="A82" t="inlineStr">
        <is>
          <t>Formula Manifest</t>
        </is>
      </c>
      <c r="B82" t="inlineStr">
        <is>
          <t>Model Inputs - bs::Short Term Debt (% of LTD)</t>
        </is>
      </c>
      <c r="C82" t="inlineStr">
        <is>
          <t>Model Inputs</t>
        </is>
      </c>
      <c r="D82" t="inlineStr">
        <is>
          <t>'Model Inputs'!C30:W30</t>
        </is>
      </c>
      <c r="E82" s="39">
        <f>21</f>
        <v/>
      </c>
      <c r="F82" s="39" t="n">
        <v>21</v>
      </c>
      <c r="G82" s="39">
        <f>E82-F82</f>
        <v/>
      </c>
      <c r="H82" s="39" t="n">
        <v>0</v>
      </c>
      <c r="I82" s="40">
        <f>IF(G82=0,"OK","FAIL")</f>
        <v/>
      </c>
      <c r="J82" t="inlineStr">
        <is>
          <t>Formula bridge rows in Model Inputs must stay linked to schedules. Formula presence is verified at export; live edit integrity is covered by the logic and bridge checks above.</t>
        </is>
      </c>
    </row>
    <row r="83">
      <c r="A83" t="inlineStr">
        <is>
          <t>Formula Manifest</t>
        </is>
      </c>
      <c r="B83" t="inlineStr">
        <is>
          <t>Model Inputs - bs::Owner's Capital</t>
        </is>
      </c>
      <c r="C83" t="inlineStr">
        <is>
          <t>Model Inputs</t>
        </is>
      </c>
      <c r="D83" t="inlineStr">
        <is>
          <t>'Model Inputs'!C31:W31</t>
        </is>
      </c>
      <c r="E83" s="39">
        <f>21</f>
        <v/>
      </c>
      <c r="F83" s="39" t="n">
        <v>21</v>
      </c>
      <c r="G83" s="39">
        <f>E83-F83</f>
        <v/>
      </c>
      <c r="H83" s="39" t="n">
        <v>0</v>
      </c>
      <c r="I83" s="40">
        <f>IF(G83=0,"OK","FAIL")</f>
        <v/>
      </c>
      <c r="J83" t="inlineStr">
        <is>
          <t>Formula bridge rows in Model Inputs must stay linked to schedules. Formula presence is verified at export; live edit integrity is covered by the logic and bridge checks above.</t>
        </is>
      </c>
    </row>
    <row r="84">
      <c r="A84" t="inlineStr">
        <is>
          <t>Formula Manifest</t>
        </is>
      </c>
      <c r="B84" t="inlineStr">
        <is>
          <t>Model Inputs - bs::Other Equity</t>
        </is>
      </c>
      <c r="C84" t="inlineStr">
        <is>
          <t>Model Inputs</t>
        </is>
      </c>
      <c r="D84" t="inlineStr">
        <is>
          <t>'Model Inputs'!C32:W32</t>
        </is>
      </c>
      <c r="E84" s="39">
        <f>21</f>
        <v/>
      </c>
      <c r="F84" s="39" t="n">
        <v>21</v>
      </c>
      <c r="G84" s="39">
        <f>E84-F84</f>
        <v/>
      </c>
      <c r="H84" s="39" t="n">
        <v>0</v>
      </c>
      <c r="I84" s="40">
        <f>IF(G84=0,"OK","FAIL")</f>
        <v/>
      </c>
      <c r="J84" t="inlineStr">
        <is>
          <t>Formula bridge rows in Model Inputs must stay linked to schedules. Formula presence is verified at export; live edit integrity is covered by the logic and bridge checks above.</t>
        </is>
      </c>
    </row>
    <row r="85">
      <c r="A85" t="inlineStr">
        <is>
          <t>Formula Manifest</t>
        </is>
      </c>
      <c r="B85" t="inlineStr">
        <is>
          <t>Model Inputs - bs::Distributions</t>
        </is>
      </c>
      <c r="C85" t="inlineStr">
        <is>
          <t>Model Inputs</t>
        </is>
      </c>
      <c r="D85" t="inlineStr">
        <is>
          <t>'Model Inputs'!C33:W33</t>
        </is>
      </c>
      <c r="E85" s="39">
        <f>21</f>
        <v/>
      </c>
      <c r="F85" s="39" t="n">
        <v>21</v>
      </c>
      <c r="G85" s="39">
        <f>E85-F85</f>
        <v/>
      </c>
      <c r="H85" s="39" t="n">
        <v>0</v>
      </c>
      <c r="I85" s="40">
        <f>IF(G85=0,"OK","FAIL")</f>
        <v/>
      </c>
      <c r="J85" t="inlineStr">
        <is>
          <t>Formula bridge rows in Model Inputs must stay linked to schedules. Formula presence is verified at export; live edit integrity is covered by the logic and bridge checks above.</t>
        </is>
      </c>
    </row>
    <row r="86">
      <c r="A86" t="inlineStr">
        <is>
          <t>Formula Manifest</t>
        </is>
      </c>
      <c r="B86" t="inlineStr">
        <is>
          <t>Model Inputs - cash::Cash Opening Balance</t>
        </is>
      </c>
      <c r="C86" t="inlineStr">
        <is>
          <t>Model Inputs</t>
        </is>
      </c>
      <c r="D86" t="inlineStr">
        <is>
          <t>'Model Inputs'!C36:W36</t>
        </is>
      </c>
      <c r="E86" s="39">
        <f>21</f>
        <v/>
      </c>
      <c r="F86" s="39" t="n">
        <v>21</v>
      </c>
      <c r="G86" s="39">
        <f>E86-F86</f>
        <v/>
      </c>
      <c r="H86" s="39" t="n">
        <v>0</v>
      </c>
      <c r="I86" s="40">
        <f>IF(G86=0,"OK","FAIL")</f>
        <v/>
      </c>
      <c r="J86" t="inlineStr">
        <is>
          <t>Formula bridge rows in Model Inputs must stay linked to schedules. Formula presence is verified at export; live edit integrity is covered by the logic and bridge checks above.</t>
        </is>
      </c>
    </row>
    <row r="87">
      <c r="A87" t="inlineStr">
        <is>
          <t>Formula Manifest</t>
        </is>
      </c>
      <c r="B87" t="inlineStr">
        <is>
          <t>Model Inputs - cash::Accounts Receivable Opening Balance</t>
        </is>
      </c>
      <c r="C87" t="inlineStr">
        <is>
          <t>Model Inputs</t>
        </is>
      </c>
      <c r="D87" t="inlineStr">
        <is>
          <t>'Model Inputs'!C37:W37</t>
        </is>
      </c>
      <c r="E87" s="39">
        <f>21</f>
        <v/>
      </c>
      <c r="F87" s="39" t="n">
        <v>21</v>
      </c>
      <c r="G87" s="39">
        <f>E87-F87</f>
        <v/>
      </c>
      <c r="H87" s="39" t="n">
        <v>0</v>
      </c>
      <c r="I87" s="40">
        <f>IF(G87=0,"OK","FAIL")</f>
        <v/>
      </c>
      <c r="J87" t="inlineStr">
        <is>
          <t>Formula bridge rows in Model Inputs must stay linked to schedules. Formula presence is verified at export; live edit integrity is covered by the logic and bridge checks above.</t>
        </is>
      </c>
    </row>
    <row r="88">
      <c r="A88" t="inlineStr">
        <is>
          <t>Formula Manifest</t>
        </is>
      </c>
      <c r="B88" t="inlineStr">
        <is>
          <t>Model Inputs - cash::Inventory Opening Balance</t>
        </is>
      </c>
      <c r="C88" t="inlineStr">
        <is>
          <t>Model Inputs</t>
        </is>
      </c>
      <c r="D88" t="inlineStr">
        <is>
          <t>'Model Inputs'!C38:W38</t>
        </is>
      </c>
      <c r="E88" s="39">
        <f>21</f>
        <v/>
      </c>
      <c r="F88" s="39" t="n">
        <v>21</v>
      </c>
      <c r="G88" s="39">
        <f>E88-F88</f>
        <v/>
      </c>
      <c r="H88" s="39" t="n">
        <v>0</v>
      </c>
      <c r="I88" s="40">
        <f>IF(G88=0,"OK","FAIL")</f>
        <v/>
      </c>
      <c r="J88" t="inlineStr">
        <is>
          <t>Formula bridge rows in Model Inputs must stay linked to schedules. Formula presence is verified at export; live edit integrity is covered by the logic and bridge checks above.</t>
        </is>
      </c>
    </row>
    <row r="89">
      <c r="A89" t="inlineStr">
        <is>
          <t>Formula Manifest</t>
        </is>
      </c>
      <c r="B89" t="inlineStr">
        <is>
          <t>Model Inputs - cash::Accounts Payable Opening Balance</t>
        </is>
      </c>
      <c r="C89" t="inlineStr">
        <is>
          <t>Model Inputs</t>
        </is>
      </c>
      <c r="D89" t="inlineStr">
        <is>
          <t>'Model Inputs'!C39:W39</t>
        </is>
      </c>
      <c r="E89" s="39">
        <f>21</f>
        <v/>
      </c>
      <c r="F89" s="39" t="n">
        <v>21</v>
      </c>
      <c r="G89" s="39">
        <f>E89-F89</f>
        <v/>
      </c>
      <c r="H89" s="39" t="n">
        <v>0</v>
      </c>
      <c r="I89" s="40">
        <f>IF(G89=0,"OK","FAIL")</f>
        <v/>
      </c>
      <c r="J89" t="inlineStr">
        <is>
          <t>Formula bridge rows in Model Inputs must stay linked to schedules. Formula presence is verified at export; live edit integrity is covered by the logic and bridge checks above.</t>
        </is>
      </c>
    </row>
    <row r="90">
      <c r="A90" t="inlineStr">
        <is>
          <t>Formula Manifest</t>
        </is>
      </c>
      <c r="B90" t="inlineStr">
        <is>
          <t>Model Inputs - cash::Short Term Debt Opening Balance</t>
        </is>
      </c>
      <c r="C90" t="inlineStr">
        <is>
          <t>Model Inputs</t>
        </is>
      </c>
      <c r="D90" t="inlineStr">
        <is>
          <t>'Model Inputs'!C40:W40</t>
        </is>
      </c>
      <c r="E90" s="39">
        <f>21</f>
        <v/>
      </c>
      <c r="F90" s="39" t="n">
        <v>21</v>
      </c>
      <c r="G90" s="39">
        <f>E90-F90</f>
        <v/>
      </c>
      <c r="H90" s="39" t="n">
        <v>0</v>
      </c>
      <c r="I90" s="40">
        <f>IF(G90=0,"OK","FAIL")</f>
        <v/>
      </c>
      <c r="J90" t="inlineStr">
        <is>
          <t>Formula bridge rows in Model Inputs must stay linked to schedules. Formula presence is verified at export; live edit integrity is covered by the logic and bridge checks above.</t>
        </is>
      </c>
    </row>
    <row r="91">
      <c r="A91" t="inlineStr">
        <is>
          <t>Formula Manifest</t>
        </is>
      </c>
      <c r="B91" t="inlineStr">
        <is>
          <t>Model Inputs - cash::Debt Opening Balance</t>
        </is>
      </c>
      <c r="C91" t="inlineStr">
        <is>
          <t>Model Inputs</t>
        </is>
      </c>
      <c r="D91" t="inlineStr">
        <is>
          <t>'Model Inputs'!C41:W41</t>
        </is>
      </c>
      <c r="E91" s="39">
        <f>21</f>
        <v/>
      </c>
      <c r="F91" s="39" t="n">
        <v>21</v>
      </c>
      <c r="G91" s="39">
        <f>E91-F91</f>
        <v/>
      </c>
      <c r="H91" s="39" t="n">
        <v>0</v>
      </c>
      <c r="I91" s="40">
        <f>IF(G91=0,"OK","FAIL")</f>
        <v/>
      </c>
      <c r="J91" t="inlineStr">
        <is>
          <t>Formula bridge rows in Model Inputs must stay linked to schedules. Formula presence is verified at export; live edit integrity is covered by the logic and bridge checks above.</t>
        </is>
      </c>
    </row>
    <row r="92">
      <c r="A92" t="inlineStr">
        <is>
          <t>Formula Manifest</t>
        </is>
      </c>
      <c r="B92" t="inlineStr">
        <is>
          <t>Model Inputs - cash::Debt Issuance</t>
        </is>
      </c>
      <c r="C92" t="inlineStr">
        <is>
          <t>Model Inputs</t>
        </is>
      </c>
      <c r="D92" t="inlineStr">
        <is>
          <t>'Model Inputs'!C42:W42</t>
        </is>
      </c>
      <c r="E92" s="39">
        <f>21</f>
        <v/>
      </c>
      <c r="F92" s="39" t="n">
        <v>21</v>
      </c>
      <c r="G92" s="39">
        <f>E92-F92</f>
        <v/>
      </c>
      <c r="H92" s="39" t="n">
        <v>0</v>
      </c>
      <c r="I92" s="40">
        <f>IF(G92=0,"OK","FAIL")</f>
        <v/>
      </c>
      <c r="J92" t="inlineStr">
        <is>
          <t>Formula bridge rows in Model Inputs must stay linked to schedules. Formula presence is verified at export; live edit integrity is covered by the logic and bridge checks above.</t>
        </is>
      </c>
    </row>
    <row r="93">
      <c r="A93" t="inlineStr">
        <is>
          <t>Formula Manifest</t>
        </is>
      </c>
      <c r="B93" t="inlineStr">
        <is>
          <t>Model Inputs - cash::Debt Repayment</t>
        </is>
      </c>
      <c r="C93" t="inlineStr">
        <is>
          <t>Model Inputs</t>
        </is>
      </c>
      <c r="D93" t="inlineStr">
        <is>
          <t>'Model Inputs'!C43:W43</t>
        </is>
      </c>
      <c r="E93" s="39">
        <f>21</f>
        <v/>
      </c>
      <c r="F93" s="39" t="n">
        <v>21</v>
      </c>
      <c r="G93" s="39">
        <f>E93-F93</f>
        <v/>
      </c>
      <c r="H93" s="39" t="n">
        <v>0</v>
      </c>
      <c r="I93" s="40">
        <f>IF(G93=0,"OK","FAIL")</f>
        <v/>
      </c>
      <c r="J93" t="inlineStr">
        <is>
          <t>Formula bridge rows in Model Inputs must stay linked to schedules. Formula presence is verified at export; live edit integrity is covered by the logic and bridge checks above.</t>
        </is>
      </c>
    </row>
    <row r="94">
      <c r="A94" t="inlineStr">
        <is>
          <t>Formula Manifest</t>
        </is>
      </c>
      <c r="B94" t="inlineStr">
        <is>
          <t>Model Inputs - cash::Debt Closing Balance</t>
        </is>
      </c>
      <c r="C94" t="inlineStr">
        <is>
          <t>Model Inputs</t>
        </is>
      </c>
      <c r="D94" t="inlineStr">
        <is>
          <t>'Model Inputs'!C44:W44</t>
        </is>
      </c>
      <c r="E94" s="39">
        <f>21</f>
        <v/>
      </c>
      <c r="F94" s="39" t="n">
        <v>21</v>
      </c>
      <c r="G94" s="39">
        <f>E94-F94</f>
        <v/>
      </c>
      <c r="H94" s="39" t="n">
        <v>0</v>
      </c>
      <c r="I94" s="40">
        <f>IF(G94=0,"OK","FAIL")</f>
        <v/>
      </c>
      <c r="J94" t="inlineStr">
        <is>
          <t>Formula bridge rows in Model Inputs must stay linked to schedules. Formula presence is verified at export; live edit integrity is covered by the logic and bridge checks above.</t>
        </is>
      </c>
    </row>
    <row r="95">
      <c r="A95" t="inlineStr">
        <is>
          <t>Formula Manifest</t>
        </is>
      </c>
      <c r="B95" t="inlineStr">
        <is>
          <t>Model Inputs - cash::Lease Opening Balance</t>
        </is>
      </c>
      <c r="C95" t="inlineStr">
        <is>
          <t>Model Inputs</t>
        </is>
      </c>
      <c r="D95" t="inlineStr">
        <is>
          <t>'Model Inputs'!C45:W45</t>
        </is>
      </c>
      <c r="E95" s="39">
        <f>21</f>
        <v/>
      </c>
      <c r="F95" s="39" t="n">
        <v>21</v>
      </c>
      <c r="G95" s="39">
        <f>E95-F95</f>
        <v/>
      </c>
      <c r="H95" s="39" t="n">
        <v>0</v>
      </c>
      <c r="I95" s="40">
        <f>IF(G95=0,"OK","FAIL")</f>
        <v/>
      </c>
      <c r="J95" t="inlineStr">
        <is>
          <t>Formula bridge rows in Model Inputs must stay linked to schedules. Formula presence is verified at export; live edit integrity is covered by the logic and bridge checks above.</t>
        </is>
      </c>
    </row>
    <row r="96">
      <c r="A96" t="inlineStr">
        <is>
          <t>Formula Manifest</t>
        </is>
      </c>
      <c r="B96" t="inlineStr">
        <is>
          <t>Model Inputs - cash::Lease Principal Repayments</t>
        </is>
      </c>
      <c r="C96" t="inlineStr">
        <is>
          <t>Model Inputs</t>
        </is>
      </c>
      <c r="D96" t="inlineStr">
        <is>
          <t>'Model Inputs'!C46:W46</t>
        </is>
      </c>
      <c r="E96" s="39">
        <f>21</f>
        <v/>
      </c>
      <c r="F96" s="39" t="n">
        <v>21</v>
      </c>
      <c r="G96" s="39">
        <f>E96-F96</f>
        <v/>
      </c>
      <c r="H96" s="39" t="n">
        <v>0</v>
      </c>
      <c r="I96" s="40">
        <f>IF(G96=0,"OK","FAIL")</f>
        <v/>
      </c>
      <c r="J96" t="inlineStr">
        <is>
          <t>Formula bridge rows in Model Inputs must stay linked to schedules. Formula presence is verified at export; live edit integrity is covered by the logic and bridge checks above.</t>
        </is>
      </c>
    </row>
    <row r="97">
      <c r="A97" t="inlineStr">
        <is>
          <t>Formula Manifest</t>
        </is>
      </c>
      <c r="B97" t="inlineStr">
        <is>
          <t>Model Inputs - cash::Lease Net Additions</t>
        </is>
      </c>
      <c r="C97" t="inlineStr">
        <is>
          <t>Model Inputs</t>
        </is>
      </c>
      <c r="D97" t="inlineStr">
        <is>
          <t>'Model Inputs'!C47:W47</t>
        </is>
      </c>
      <c r="E97" s="39">
        <f>21</f>
        <v/>
      </c>
      <c r="F97" s="39" t="n">
        <v>21</v>
      </c>
      <c r="G97" s="39">
        <f>E97-F97</f>
        <v/>
      </c>
      <c r="H97" s="39" t="n">
        <v>0</v>
      </c>
      <c r="I97" s="40">
        <f>IF(G97=0,"OK","FAIL")</f>
        <v/>
      </c>
      <c r="J97" t="inlineStr">
        <is>
          <t>Formula bridge rows in Model Inputs must stay linked to schedules. Formula presence is verified at export; live edit integrity is covered by the logic and bridge checks above.</t>
        </is>
      </c>
    </row>
    <row r="98">
      <c r="A98" t="inlineStr">
        <is>
          <t>Formula Manifest</t>
        </is>
      </c>
      <c r="B98" t="inlineStr">
        <is>
          <t>Model Inputs - cash::Lease Interest Expense</t>
        </is>
      </c>
      <c r="C98" t="inlineStr">
        <is>
          <t>Model Inputs</t>
        </is>
      </c>
      <c r="D98" t="inlineStr">
        <is>
          <t>'Model Inputs'!C48:W48</t>
        </is>
      </c>
      <c r="E98" s="39">
        <f>21</f>
        <v/>
      </c>
      <c r="F98" s="39" t="n">
        <v>21</v>
      </c>
      <c r="G98" s="39">
        <f>E98-F98</f>
        <v/>
      </c>
      <c r="H98" s="39" t="n">
        <v>0</v>
      </c>
      <c r="I98" s="40">
        <f>IF(G98=0,"OK","FAIL")</f>
        <v/>
      </c>
      <c r="J98" t="inlineStr">
        <is>
          <t>Formula bridge rows in Model Inputs must stay linked to schedules. Formula presence is verified at export; live edit integrity is covered by the logic and bridge checks above.</t>
        </is>
      </c>
    </row>
    <row r="99">
      <c r="A99" t="inlineStr">
        <is>
          <t>Formula Manifest</t>
        </is>
      </c>
      <c r="B99" t="inlineStr">
        <is>
          <t>Model Inputs - cash::Lease Closing Balance</t>
        </is>
      </c>
      <c r="C99" t="inlineStr">
        <is>
          <t>Model Inputs</t>
        </is>
      </c>
      <c r="D99" t="inlineStr">
        <is>
          <t>'Model Inputs'!C49:W49</t>
        </is>
      </c>
      <c r="E99" s="39">
        <f>21</f>
        <v/>
      </c>
      <c r="F99" s="39" t="n">
        <v>21</v>
      </c>
      <c r="G99" s="39">
        <f>E99-F99</f>
        <v/>
      </c>
      <c r="H99" s="39" t="n">
        <v>0</v>
      </c>
      <c r="I99" s="40">
        <f>IF(G99=0,"OK","FAIL")</f>
        <v/>
      </c>
      <c r="J99" t="inlineStr">
        <is>
          <t>Formula bridge rows in Model Inputs must stay linked to schedules. Formula presence is verified at export; live edit integrity is covered by the logic and bridge checks above.</t>
        </is>
      </c>
    </row>
    <row r="100">
      <c r="A100" t="inlineStr">
        <is>
          <t>Formula Manifest</t>
        </is>
      </c>
      <c r="B100" t="inlineStr">
        <is>
          <t>Model Inputs - cash::Right-of-Use Asset</t>
        </is>
      </c>
      <c r="C100" t="inlineStr">
        <is>
          <t>Model Inputs</t>
        </is>
      </c>
      <c r="D100" t="inlineStr">
        <is>
          <t>'Model Inputs'!C50:W50</t>
        </is>
      </c>
      <c r="E100" s="39">
        <f>21</f>
        <v/>
      </c>
      <c r="F100" s="39" t="n">
        <v>21</v>
      </c>
      <c r="G100" s="39">
        <f>E100-F100</f>
        <v/>
      </c>
      <c r="H100" s="39" t="n">
        <v>0</v>
      </c>
      <c r="I100" s="40">
        <f>IF(G100=0,"OK","FAIL")</f>
        <v/>
      </c>
      <c r="J100" t="inlineStr">
        <is>
          <t>Formula bridge rows in Model Inputs must stay linked to schedules. Formula presence is verified at export; live edit integrity is covered by the logic and bridge checks above.</t>
        </is>
      </c>
    </row>
    <row r="101">
      <c r="A101" t="inlineStr">
        <is>
          <t>Formula Manifest</t>
        </is>
      </c>
      <c r="B101" t="inlineStr">
        <is>
          <t>Model Inputs - cash::Lease Asset Depreciation</t>
        </is>
      </c>
      <c r="C101" t="inlineStr">
        <is>
          <t>Model Inputs</t>
        </is>
      </c>
      <c r="D101" t="inlineStr">
        <is>
          <t>'Model Inputs'!C51:W51</t>
        </is>
      </c>
      <c r="E101" s="39">
        <f>21</f>
        <v/>
      </c>
      <c r="F101" s="39" t="n">
        <v>21</v>
      </c>
      <c r="G101" s="39">
        <f>E101-F101</f>
        <v/>
      </c>
      <c r="H101" s="39" t="n">
        <v>0</v>
      </c>
      <c r="I101" s="40">
        <f>IF(G101=0,"OK","FAIL")</f>
        <v/>
      </c>
      <c r="J101" t="inlineStr">
        <is>
          <t>Formula bridge rows in Model Inputs must stay linked to schedules. Formula presence is verified at export; live edit integrity is covered by the logic and bridge checks above.</t>
        </is>
      </c>
    </row>
    <row r="102">
      <c r="A102" t="inlineStr">
        <is>
          <t>Formula Manifest</t>
        </is>
      </c>
      <c r="B102" t="inlineStr">
        <is>
          <t>Model Inputs - cash::Capital Expenditures</t>
        </is>
      </c>
      <c r="C102" t="inlineStr">
        <is>
          <t>Model Inputs</t>
        </is>
      </c>
      <c r="D102" t="inlineStr">
        <is>
          <t>'Model Inputs'!C52:W52</t>
        </is>
      </c>
      <c r="E102" s="39">
        <f>21</f>
        <v/>
      </c>
      <c r="F102" s="39" t="n">
        <v>21</v>
      </c>
      <c r="G102" s="39">
        <f>E102-F102</f>
        <v/>
      </c>
      <c r="H102" s="39" t="n">
        <v>0</v>
      </c>
      <c r="I102" s="40">
        <f>IF(G102=0,"OK","FAIL")</f>
        <v/>
      </c>
      <c r="J102" t="inlineStr">
        <is>
          <t>Formula bridge rows in Model Inputs must stay linked to schedules. Formula presence is verified at export; live edit integrity is covered by the logic and bridge checks above.</t>
        </is>
      </c>
    </row>
    <row r="103">
      <c r="A103" t="inlineStr">
        <is>
          <t>Formula Manifest</t>
        </is>
      </c>
      <c r="B103" t="inlineStr">
        <is>
          <t>Model Inputs - cash::PPE Closing Balance</t>
        </is>
      </c>
      <c r="C103" t="inlineStr">
        <is>
          <t>Model Inputs</t>
        </is>
      </c>
      <c r="D103" t="inlineStr">
        <is>
          <t>'Model Inputs'!C53:W53</t>
        </is>
      </c>
      <c r="E103" s="39">
        <f>21</f>
        <v/>
      </c>
      <c r="F103" s="39" t="n">
        <v>21</v>
      </c>
      <c r="G103" s="39">
        <f>E103-F103</f>
        <v/>
      </c>
      <c r="H103" s="39" t="n">
        <v>0</v>
      </c>
      <c r="I103" s="40">
        <f>IF(G103=0,"OK","FAIL")</f>
        <v/>
      </c>
      <c r="J103" t="inlineStr">
        <is>
          <t>Formula bridge rows in Model Inputs must stay linked to schedules. Formula presence is verified at export; live edit integrity is covered by the logic and bridge checks above.</t>
        </is>
      </c>
    </row>
    <row r="104">
      <c r="A104" t="inlineStr">
        <is>
          <t>Formula Manifest</t>
        </is>
      </c>
      <c r="B104" t="inlineStr">
        <is>
          <t>Model Inputs - cash::Accumulated Depreciation</t>
        </is>
      </c>
      <c r="C104" t="inlineStr">
        <is>
          <t>Model Inputs</t>
        </is>
      </c>
      <c r="D104" t="inlineStr">
        <is>
          <t>'Model Inputs'!C54:W54</t>
        </is>
      </c>
      <c r="E104" s="39">
        <f>21</f>
        <v/>
      </c>
      <c r="F104" s="39" t="n">
        <v>21</v>
      </c>
      <c r="G104" s="39">
        <f>E104-F104</f>
        <v/>
      </c>
      <c r="H104" s="39" t="n">
        <v>0</v>
      </c>
      <c r="I104" s="40">
        <f>IF(G104=0,"OK","FAIL")</f>
        <v/>
      </c>
      <c r="J104" t="inlineStr">
        <is>
          <t>Formula bridge rows in Model Inputs must stay linked to schedules. Formula presence is verified at export; live edit integrity is covered by the logic and bridge checks above.</t>
        </is>
      </c>
    </row>
    <row r="105">
      <c r="A105" t="inlineStr">
        <is>
          <t>Formula Manifest</t>
        </is>
      </c>
      <c r="B105" t="inlineStr">
        <is>
          <t>FINMO - Income Statement - Revenue</t>
        </is>
      </c>
      <c r="C105" t="inlineStr">
        <is>
          <t>FINMO</t>
        </is>
      </c>
      <c r="D105" t="inlineStr">
        <is>
          <t>'FINMO'!C8:W8</t>
        </is>
      </c>
      <c r="E105" s="39">
        <f>21</f>
        <v/>
      </c>
      <c r="F105" s="39" t="n">
        <v>21</v>
      </c>
      <c r="G105" s="39">
        <f>E105-F105</f>
        <v/>
      </c>
      <c r="H105" s="39" t="n">
        <v>0</v>
      </c>
      <c r="I105" s="40">
        <f>IF(G105=0,"OK","FAIL")</f>
        <v/>
      </c>
      <c r="J105" t="inlineStr">
        <is>
          <t>FINMO statement lines must remain formula-driven. Formula presence is verified at export; live edit integrity is covered by the logic and bridge checks above.</t>
        </is>
      </c>
    </row>
    <row r="106">
      <c r="A106" t="inlineStr">
        <is>
          <t>Formula Manifest</t>
        </is>
      </c>
      <c r="B106" t="inlineStr">
        <is>
          <t>FINMO - Income Statement - Cost of Goods Sold</t>
        </is>
      </c>
      <c r="C106" t="inlineStr">
        <is>
          <t>FINMO</t>
        </is>
      </c>
      <c r="D106" t="inlineStr">
        <is>
          <t>'FINMO'!C9:W9</t>
        </is>
      </c>
      <c r="E106" s="39">
        <f>21</f>
        <v/>
      </c>
      <c r="F106" s="39" t="n">
        <v>21</v>
      </c>
      <c r="G106" s="39">
        <f>E106-F106</f>
        <v/>
      </c>
      <c r="H106" s="39" t="n">
        <v>0</v>
      </c>
      <c r="I106" s="40">
        <f>IF(G106=0,"OK","FAIL")</f>
        <v/>
      </c>
      <c r="J106" t="inlineStr">
        <is>
          <t>FINMO statement lines must remain formula-driven. Formula presence is verified at export; live edit integrity is covered by the logic and bridge checks above.</t>
        </is>
      </c>
    </row>
    <row r="107">
      <c r="A107" t="inlineStr">
        <is>
          <t>Formula Manifest</t>
        </is>
      </c>
      <c r="B107" t="inlineStr">
        <is>
          <t>FINMO - Income Statement - Gross Profit</t>
        </is>
      </c>
      <c r="C107" t="inlineStr">
        <is>
          <t>FINMO</t>
        </is>
      </c>
      <c r="D107" t="inlineStr">
        <is>
          <t>'FINMO'!C10:W10</t>
        </is>
      </c>
      <c r="E107" s="39">
        <f>21</f>
        <v/>
      </c>
      <c r="F107" s="39" t="n">
        <v>21</v>
      </c>
      <c r="G107" s="39">
        <f>E107-F107</f>
        <v/>
      </c>
      <c r="H107" s="39" t="n">
        <v>0</v>
      </c>
      <c r="I107" s="40">
        <f>IF(G107=0,"OK","FAIL")</f>
        <v/>
      </c>
      <c r="J107" t="inlineStr">
        <is>
          <t>FINMO statement lines must remain formula-driven. Formula presence is verified at export; live edit integrity is covered by the logic and bridge checks above.</t>
        </is>
      </c>
    </row>
    <row r="108">
      <c r="A108" t="inlineStr">
        <is>
          <t>Formula Manifest</t>
        </is>
      </c>
      <c r="B108" t="inlineStr">
        <is>
          <t>FINMO - Income Statement - Marketing</t>
        </is>
      </c>
      <c r="C108" t="inlineStr">
        <is>
          <t>FINMO</t>
        </is>
      </c>
      <c r="D108" t="inlineStr">
        <is>
          <t>'FINMO'!C11:W11</t>
        </is>
      </c>
      <c r="E108" s="39">
        <f>21</f>
        <v/>
      </c>
      <c r="F108" s="39" t="n">
        <v>21</v>
      </c>
      <c r="G108" s="39">
        <f>E108-F108</f>
        <v/>
      </c>
      <c r="H108" s="39" t="n">
        <v>0</v>
      </c>
      <c r="I108" s="40">
        <f>IF(G108=0,"OK","FAIL")</f>
        <v/>
      </c>
      <c r="J108" t="inlineStr">
        <is>
          <t>FINMO statement lines must remain formula-driven. Formula presence is verified at export; live edit integrity is covered by the logic and bridge checks above.</t>
        </is>
      </c>
    </row>
    <row r="109">
      <c r="A109" t="inlineStr">
        <is>
          <t>Formula Manifest</t>
        </is>
      </c>
      <c r="B109" t="inlineStr">
        <is>
          <t>FINMO - Income Statement - Research &amp; Development</t>
        </is>
      </c>
      <c r="C109" t="inlineStr">
        <is>
          <t>FINMO</t>
        </is>
      </c>
      <c r="D109" t="inlineStr">
        <is>
          <t>'FINMO'!C12:W12</t>
        </is>
      </c>
      <c r="E109" s="39">
        <f>21</f>
        <v/>
      </c>
      <c r="F109" s="39" t="n">
        <v>21</v>
      </c>
      <c r="G109" s="39">
        <f>E109-F109</f>
        <v/>
      </c>
      <c r="H109" s="39" t="n">
        <v>0</v>
      </c>
      <c r="I109" s="40">
        <f>IF(G109=0,"OK","FAIL")</f>
        <v/>
      </c>
      <c r="J109" t="inlineStr">
        <is>
          <t>FINMO statement lines must remain formula-driven. Formula presence is verified at export; live edit integrity is covered by the logic and bridge checks above.</t>
        </is>
      </c>
    </row>
    <row r="110">
      <c r="A110" t="inlineStr">
        <is>
          <t>Formula Manifest</t>
        </is>
      </c>
      <c r="B110" t="inlineStr">
        <is>
          <t>FINMO - Income Statement - Lease/Rent</t>
        </is>
      </c>
      <c r="C110" t="inlineStr">
        <is>
          <t>FINMO</t>
        </is>
      </c>
      <c r="D110" t="inlineStr">
        <is>
          <t>'FINMO'!C13:W13</t>
        </is>
      </c>
      <c r="E110" s="39">
        <f>21</f>
        <v/>
      </c>
      <c r="F110" s="39" t="n">
        <v>21</v>
      </c>
      <c r="G110" s="39">
        <f>E110-F110</f>
        <v/>
      </c>
      <c r="H110" s="39" t="n">
        <v>0</v>
      </c>
      <c r="I110" s="40">
        <f>IF(G110=0,"OK","FAIL")</f>
        <v/>
      </c>
      <c r="J110" t="inlineStr">
        <is>
          <t>FINMO statement lines must remain formula-driven. Formula presence is verified at export; live edit integrity is covered by the logic and bridge checks above.</t>
        </is>
      </c>
    </row>
    <row r="111">
      <c r="A111" t="inlineStr">
        <is>
          <t>Formula Manifest</t>
        </is>
      </c>
      <c r="B111" t="inlineStr">
        <is>
          <t>FINMO - Income Statement - Payroll</t>
        </is>
      </c>
      <c r="C111" t="inlineStr">
        <is>
          <t>FINMO</t>
        </is>
      </c>
      <c r="D111" t="inlineStr">
        <is>
          <t>'FINMO'!C14:W14</t>
        </is>
      </c>
      <c r="E111" s="39">
        <f>21</f>
        <v/>
      </c>
      <c r="F111" s="39" t="n">
        <v>21</v>
      </c>
      <c r="G111" s="39">
        <f>E111-F111</f>
        <v/>
      </c>
      <c r="H111" s="39" t="n">
        <v>0</v>
      </c>
      <c r="I111" s="40">
        <f>IF(G111=0,"OK","FAIL")</f>
        <v/>
      </c>
      <c r="J111" t="inlineStr">
        <is>
          <t>FINMO statement lines must remain formula-driven. Formula presence is verified at export; live edit integrity is covered by the logic and bridge checks above.</t>
        </is>
      </c>
    </row>
    <row r="112">
      <c r="A112" t="inlineStr">
        <is>
          <t>Formula Manifest</t>
        </is>
      </c>
      <c r="B112" t="inlineStr">
        <is>
          <t>FINMO - Income Statement - General &amp; Administrative</t>
        </is>
      </c>
      <c r="C112" t="inlineStr">
        <is>
          <t>FINMO</t>
        </is>
      </c>
      <c r="D112" t="inlineStr">
        <is>
          <t>'FINMO'!C15:W15</t>
        </is>
      </c>
      <c r="E112" s="39">
        <f>21</f>
        <v/>
      </c>
      <c r="F112" s="39" t="n">
        <v>21</v>
      </c>
      <c r="G112" s="39">
        <f>E112-F112</f>
        <v/>
      </c>
      <c r="H112" s="39" t="n">
        <v>0</v>
      </c>
      <c r="I112" s="40">
        <f>IF(G112=0,"OK","FAIL")</f>
        <v/>
      </c>
      <c r="J112" t="inlineStr">
        <is>
          <t>FINMO statement lines must remain formula-driven. Formula presence is verified at export; live edit integrity is covered by the logic and bridge checks above.</t>
        </is>
      </c>
    </row>
    <row r="113">
      <c r="A113" t="inlineStr">
        <is>
          <t>Formula Manifest</t>
        </is>
      </c>
      <c r="B113" t="inlineStr">
        <is>
          <t>FINMO - Income Statement - EBITDA</t>
        </is>
      </c>
      <c r="C113" t="inlineStr">
        <is>
          <t>FINMO</t>
        </is>
      </c>
      <c r="D113" t="inlineStr">
        <is>
          <t>'FINMO'!C16:W16</t>
        </is>
      </c>
      <c r="E113" s="39">
        <f>21</f>
        <v/>
      </c>
      <c r="F113" s="39" t="n">
        <v>21</v>
      </c>
      <c r="G113" s="39">
        <f>E113-F113</f>
        <v/>
      </c>
      <c r="H113" s="39" t="n">
        <v>0</v>
      </c>
      <c r="I113" s="40">
        <f>IF(G113=0,"OK","FAIL")</f>
        <v/>
      </c>
      <c r="J113" t="inlineStr">
        <is>
          <t>FINMO statement lines must remain formula-driven. Formula presence is verified at export; live edit integrity is covered by the logic and bridge checks above.</t>
        </is>
      </c>
    </row>
    <row r="114">
      <c r="A114" t="inlineStr">
        <is>
          <t>Formula Manifest</t>
        </is>
      </c>
      <c r="B114" t="inlineStr">
        <is>
          <t>FINMO - Income Statement - Interest</t>
        </is>
      </c>
      <c r="C114" t="inlineStr">
        <is>
          <t>FINMO</t>
        </is>
      </c>
      <c r="D114" t="inlineStr">
        <is>
          <t>'FINMO'!C17:W17</t>
        </is>
      </c>
      <c r="E114" s="39">
        <f>21</f>
        <v/>
      </c>
      <c r="F114" s="39" t="n">
        <v>21</v>
      </c>
      <c r="G114" s="39">
        <f>E114-F114</f>
        <v/>
      </c>
      <c r="H114" s="39" t="n">
        <v>0</v>
      </c>
      <c r="I114" s="40">
        <f>IF(G114=0,"OK","FAIL")</f>
        <v/>
      </c>
      <c r="J114" t="inlineStr">
        <is>
          <t>FINMO statement lines must remain formula-driven. Formula presence is verified at export; live edit integrity is covered by the logic and bridge checks above.</t>
        </is>
      </c>
    </row>
    <row r="115">
      <c r="A115" t="inlineStr">
        <is>
          <t>Formula Manifest</t>
        </is>
      </c>
      <c r="B115" t="inlineStr">
        <is>
          <t>FINMO - Income Statement - Depreciation</t>
        </is>
      </c>
      <c r="C115" t="inlineStr">
        <is>
          <t>FINMO</t>
        </is>
      </c>
      <c r="D115" t="inlineStr">
        <is>
          <t>'FINMO'!C18:W18</t>
        </is>
      </c>
      <c r="E115" s="39">
        <f>21</f>
        <v/>
      </c>
      <c r="F115" s="39" t="n">
        <v>21</v>
      </c>
      <c r="G115" s="39">
        <f>E115-F115</f>
        <v/>
      </c>
      <c r="H115" s="39" t="n">
        <v>0</v>
      </c>
      <c r="I115" s="40">
        <f>IF(G115=0,"OK","FAIL")</f>
        <v/>
      </c>
      <c r="J115" t="inlineStr">
        <is>
          <t>FINMO statement lines must remain formula-driven. Formula presence is verified at export; live edit integrity is covered by the logic and bridge checks above.</t>
        </is>
      </c>
    </row>
    <row r="116">
      <c r="A116" t="inlineStr">
        <is>
          <t>Formula Manifest</t>
        </is>
      </c>
      <c r="B116" t="inlineStr">
        <is>
          <t>FINMO - Income Statement - Taxes</t>
        </is>
      </c>
      <c r="C116" t="inlineStr">
        <is>
          <t>FINMO</t>
        </is>
      </c>
      <c r="D116" t="inlineStr">
        <is>
          <t>'FINMO'!C19:W19</t>
        </is>
      </c>
      <c r="E116" s="39">
        <f>21</f>
        <v/>
      </c>
      <c r="F116" s="39" t="n">
        <v>21</v>
      </c>
      <c r="G116" s="39">
        <f>E116-F116</f>
        <v/>
      </c>
      <c r="H116" s="39" t="n">
        <v>0</v>
      </c>
      <c r="I116" s="40">
        <f>IF(G116=0,"OK","FAIL")</f>
        <v/>
      </c>
      <c r="J116" t="inlineStr">
        <is>
          <t>FINMO statement lines must remain formula-driven. Formula presence is verified at export; live edit integrity is covered by the logic and bridge checks above.</t>
        </is>
      </c>
    </row>
    <row r="117">
      <c r="A117" t="inlineStr">
        <is>
          <t>Formula Manifest</t>
        </is>
      </c>
      <c r="B117" t="inlineStr">
        <is>
          <t>FINMO - Income Statement - Net Income</t>
        </is>
      </c>
      <c r="C117" t="inlineStr">
        <is>
          <t>FINMO</t>
        </is>
      </c>
      <c r="D117" t="inlineStr">
        <is>
          <t>'FINMO'!C20:W20</t>
        </is>
      </c>
      <c r="E117" s="39">
        <f>21</f>
        <v/>
      </c>
      <c r="F117" s="39" t="n">
        <v>21</v>
      </c>
      <c r="G117" s="39">
        <f>E117-F117</f>
        <v/>
      </c>
      <c r="H117" s="39" t="n">
        <v>0</v>
      </c>
      <c r="I117" s="40">
        <f>IF(G117=0,"OK","FAIL")</f>
        <v/>
      </c>
      <c r="J117" t="inlineStr">
        <is>
          <t>FINMO statement lines must remain formula-driven. Formula presence is verified at export; live edit integrity is covered by the logic and bridge checks above.</t>
        </is>
      </c>
    </row>
    <row r="118">
      <c r="A118" t="inlineStr">
        <is>
          <t>Formula Manifest</t>
        </is>
      </c>
      <c r="B118" t="inlineStr">
        <is>
          <t>FINMO - Balance Sheet - Cash</t>
        </is>
      </c>
      <c r="C118" t="inlineStr">
        <is>
          <t>FINMO</t>
        </is>
      </c>
      <c r="D118" t="inlineStr">
        <is>
          <t>'FINMO'!C23:W23</t>
        </is>
      </c>
      <c r="E118" s="39">
        <f>21</f>
        <v/>
      </c>
      <c r="F118" s="39" t="n">
        <v>21</v>
      </c>
      <c r="G118" s="39">
        <f>E118-F118</f>
        <v/>
      </c>
      <c r="H118" s="39" t="n">
        <v>0</v>
      </c>
      <c r="I118" s="40">
        <f>IF(G118=0,"OK","FAIL")</f>
        <v/>
      </c>
      <c r="J118" t="inlineStr">
        <is>
          <t>FINMO statement lines must remain formula-driven. Formula presence is verified at export; live edit integrity is covered by the logic and bridge checks above.</t>
        </is>
      </c>
    </row>
    <row r="119">
      <c r="A119" t="inlineStr">
        <is>
          <t>Formula Manifest</t>
        </is>
      </c>
      <c r="B119" t="inlineStr">
        <is>
          <t>FINMO - Balance Sheet - Accounts Receivable</t>
        </is>
      </c>
      <c r="C119" t="inlineStr">
        <is>
          <t>FINMO</t>
        </is>
      </c>
      <c r="D119" t="inlineStr">
        <is>
          <t>'FINMO'!C24:W24</t>
        </is>
      </c>
      <c r="E119" s="39">
        <f>21</f>
        <v/>
      </c>
      <c r="F119" s="39" t="n">
        <v>21</v>
      </c>
      <c r="G119" s="39">
        <f>E119-F119</f>
        <v/>
      </c>
      <c r="H119" s="39" t="n">
        <v>0</v>
      </c>
      <c r="I119" s="40">
        <f>IF(G119=0,"OK","FAIL")</f>
        <v/>
      </c>
      <c r="J119" t="inlineStr">
        <is>
          <t>FINMO statement lines must remain formula-driven. Formula presence is verified at export; live edit integrity is covered by the logic and bridge checks above.</t>
        </is>
      </c>
    </row>
    <row r="120">
      <c r="A120" t="inlineStr">
        <is>
          <t>Formula Manifest</t>
        </is>
      </c>
      <c r="B120" t="inlineStr">
        <is>
          <t>FINMO - Balance Sheet - Inventory</t>
        </is>
      </c>
      <c r="C120" t="inlineStr">
        <is>
          <t>FINMO</t>
        </is>
      </c>
      <c r="D120" t="inlineStr">
        <is>
          <t>'FINMO'!C25:W25</t>
        </is>
      </c>
      <c r="E120" s="39">
        <f>21</f>
        <v/>
      </c>
      <c r="F120" s="39" t="n">
        <v>21</v>
      </c>
      <c r="G120" s="39">
        <f>E120-F120</f>
        <v/>
      </c>
      <c r="H120" s="39" t="n">
        <v>0</v>
      </c>
      <c r="I120" s="40">
        <f>IF(G120=0,"OK","FAIL")</f>
        <v/>
      </c>
      <c r="J120" t="inlineStr">
        <is>
          <t>FINMO statement lines must remain formula-driven. Formula presence is verified at export; live edit integrity is covered by the logic and bridge checks above.</t>
        </is>
      </c>
    </row>
    <row r="121">
      <c r="A121" t="inlineStr">
        <is>
          <t>Formula Manifest</t>
        </is>
      </c>
      <c r="B121" t="inlineStr">
        <is>
          <t>FINMO - Balance Sheet - Prepaid Expenses</t>
        </is>
      </c>
      <c r="C121" t="inlineStr">
        <is>
          <t>FINMO</t>
        </is>
      </c>
      <c r="D121" t="inlineStr">
        <is>
          <t>'FINMO'!C26:W26</t>
        </is>
      </c>
      <c r="E121" s="39">
        <f>21</f>
        <v/>
      </c>
      <c r="F121" s="39" t="n">
        <v>21</v>
      </c>
      <c r="G121" s="39">
        <f>E121-F121</f>
        <v/>
      </c>
      <c r="H121" s="39" t="n">
        <v>0</v>
      </c>
      <c r="I121" s="40">
        <f>IF(G121=0,"OK","FAIL")</f>
        <v/>
      </c>
      <c r="J121" t="inlineStr">
        <is>
          <t>FINMO statement lines must remain formula-driven. Formula presence is verified at export; live edit integrity is covered by the logic and bridge checks above.</t>
        </is>
      </c>
    </row>
    <row r="122">
      <c r="A122" t="inlineStr">
        <is>
          <t>Formula Manifest</t>
        </is>
      </c>
      <c r="B122" t="inlineStr">
        <is>
          <t>FINMO - Balance Sheet - Current Assets</t>
        </is>
      </c>
      <c r="C122" t="inlineStr">
        <is>
          <t>FINMO</t>
        </is>
      </c>
      <c r="D122" t="inlineStr">
        <is>
          <t>'FINMO'!C27:W27</t>
        </is>
      </c>
      <c r="E122" s="39">
        <f>21</f>
        <v/>
      </c>
      <c r="F122" s="39" t="n">
        <v>21</v>
      </c>
      <c r="G122" s="39">
        <f>E122-F122</f>
        <v/>
      </c>
      <c r="H122" s="39" t="n">
        <v>0</v>
      </c>
      <c r="I122" s="40">
        <f>IF(G122=0,"OK","FAIL")</f>
        <v/>
      </c>
      <c r="J122" t="inlineStr">
        <is>
          <t>FINMO statement lines must remain formula-driven. Formula presence is verified at export; live edit integrity is covered by the logic and bridge checks above.</t>
        </is>
      </c>
    </row>
    <row r="123">
      <c r="A123" t="inlineStr">
        <is>
          <t>Formula Manifest</t>
        </is>
      </c>
      <c r="B123" t="inlineStr">
        <is>
          <t>FINMO - Balance Sheet - PPE</t>
        </is>
      </c>
      <c r="C123" t="inlineStr">
        <is>
          <t>FINMO</t>
        </is>
      </c>
      <c r="D123" t="inlineStr">
        <is>
          <t>'FINMO'!C28:W28</t>
        </is>
      </c>
      <c r="E123" s="39">
        <f>21</f>
        <v/>
      </c>
      <c r="F123" s="39" t="n">
        <v>21</v>
      </c>
      <c r="G123" s="39">
        <f>E123-F123</f>
        <v/>
      </c>
      <c r="H123" s="39" t="n">
        <v>0</v>
      </c>
      <c r="I123" s="40">
        <f>IF(G123=0,"OK","FAIL")</f>
        <v/>
      </c>
      <c r="J123" t="inlineStr">
        <is>
          <t>FINMO statement lines must remain formula-driven. Formula presence is verified at export; live edit integrity is covered by the logic and bridge checks above.</t>
        </is>
      </c>
    </row>
    <row r="124">
      <c r="A124" t="inlineStr">
        <is>
          <t>Formula Manifest</t>
        </is>
      </c>
      <c r="B124" t="inlineStr">
        <is>
          <t>FINMO - Balance Sheet - Right-of-Use Asset (Capital Lease)</t>
        </is>
      </c>
      <c r="C124" t="inlineStr">
        <is>
          <t>FINMO</t>
        </is>
      </c>
      <c r="D124" t="inlineStr">
        <is>
          <t>'FINMO'!C29:W29</t>
        </is>
      </c>
      <c r="E124" s="39">
        <f>21</f>
        <v/>
      </c>
      <c r="F124" s="39" t="n">
        <v>21</v>
      </c>
      <c r="G124" s="39">
        <f>E124-F124</f>
        <v/>
      </c>
      <c r="H124" s="39" t="n">
        <v>0</v>
      </c>
      <c r="I124" s="40">
        <f>IF(G124=0,"OK","FAIL")</f>
        <v/>
      </c>
      <c r="J124" t="inlineStr">
        <is>
          <t>FINMO statement lines must remain formula-driven. Formula presence is verified at export; live edit integrity is covered by the logic and bridge checks above.</t>
        </is>
      </c>
    </row>
    <row r="125">
      <c r="A125" t="inlineStr">
        <is>
          <t>Formula Manifest</t>
        </is>
      </c>
      <c r="B125" t="inlineStr">
        <is>
          <t>FINMO - Balance Sheet - Accumulated Depreciation</t>
        </is>
      </c>
      <c r="C125" t="inlineStr">
        <is>
          <t>FINMO</t>
        </is>
      </c>
      <c r="D125" t="inlineStr">
        <is>
          <t>'FINMO'!C30:W30</t>
        </is>
      </c>
      <c r="E125" s="39">
        <f>21</f>
        <v/>
      </c>
      <c r="F125" s="39" t="n">
        <v>21</v>
      </c>
      <c r="G125" s="39">
        <f>E125-F125</f>
        <v/>
      </c>
      <c r="H125" s="39" t="n">
        <v>0</v>
      </c>
      <c r="I125" s="40">
        <f>IF(G125=0,"OK","FAIL")</f>
        <v/>
      </c>
      <c r="J125" t="inlineStr">
        <is>
          <t>FINMO statement lines must remain formula-driven. Formula presence is verified at export; live edit integrity is covered by the logic and bridge checks above.</t>
        </is>
      </c>
    </row>
    <row r="126">
      <c r="A126" t="inlineStr">
        <is>
          <t>Formula Manifest</t>
        </is>
      </c>
      <c r="B126" t="inlineStr">
        <is>
          <t>FINMO - Balance Sheet - Total Assets</t>
        </is>
      </c>
      <c r="C126" t="inlineStr">
        <is>
          <t>FINMO</t>
        </is>
      </c>
      <c r="D126" t="inlineStr">
        <is>
          <t>'FINMO'!C31:W31</t>
        </is>
      </c>
      <c r="E126" s="39">
        <f>21</f>
        <v/>
      </c>
      <c r="F126" s="39" t="n">
        <v>21</v>
      </c>
      <c r="G126" s="39">
        <f>E126-F126</f>
        <v/>
      </c>
      <c r="H126" s="39" t="n">
        <v>0</v>
      </c>
      <c r="I126" s="40">
        <f>IF(G126=0,"OK","FAIL")</f>
        <v/>
      </c>
      <c r="J126" t="inlineStr">
        <is>
          <t>FINMO statement lines must remain formula-driven. Formula presence is verified at export; live edit integrity is covered by the logic and bridge checks above.</t>
        </is>
      </c>
    </row>
    <row r="127">
      <c r="A127" t="inlineStr">
        <is>
          <t>Formula Manifest</t>
        </is>
      </c>
      <c r="B127" t="inlineStr">
        <is>
          <t>FINMO - Balance Sheet - Accounts Payable</t>
        </is>
      </c>
      <c r="C127" t="inlineStr">
        <is>
          <t>FINMO</t>
        </is>
      </c>
      <c r="D127" t="inlineStr">
        <is>
          <t>'FINMO'!C32:W32</t>
        </is>
      </c>
      <c r="E127" s="39">
        <f>21</f>
        <v/>
      </c>
      <c r="F127" s="39" t="n">
        <v>21</v>
      </c>
      <c r="G127" s="39">
        <f>E127-F127</f>
        <v/>
      </c>
      <c r="H127" s="39" t="n">
        <v>0</v>
      </c>
      <c r="I127" s="40">
        <f>IF(G127=0,"OK","FAIL")</f>
        <v/>
      </c>
      <c r="J127" t="inlineStr">
        <is>
          <t>FINMO statement lines must remain formula-driven. Formula presence is verified at export; live edit integrity is covered by the logic and bridge checks above.</t>
        </is>
      </c>
    </row>
    <row r="128">
      <c r="A128" t="inlineStr">
        <is>
          <t>Formula Manifest</t>
        </is>
      </c>
      <c r="B128" t="inlineStr">
        <is>
          <t>FINMO - Balance Sheet - Short Term Debt</t>
        </is>
      </c>
      <c r="C128" t="inlineStr">
        <is>
          <t>FINMO</t>
        </is>
      </c>
      <c r="D128" t="inlineStr">
        <is>
          <t>'FINMO'!C33:W33</t>
        </is>
      </c>
      <c r="E128" s="39">
        <f>21</f>
        <v/>
      </c>
      <c r="F128" s="39" t="n">
        <v>21</v>
      </c>
      <c r="G128" s="39">
        <f>E128-F128</f>
        <v/>
      </c>
      <c r="H128" s="39" t="n">
        <v>0</v>
      </c>
      <c r="I128" s="40">
        <f>IF(G128=0,"OK","FAIL")</f>
        <v/>
      </c>
      <c r="J128" t="inlineStr">
        <is>
          <t>FINMO statement lines must remain formula-driven. Formula presence is verified at export; live edit integrity is covered by the logic and bridge checks above.</t>
        </is>
      </c>
    </row>
    <row r="129">
      <c r="A129" t="inlineStr">
        <is>
          <t>Formula Manifest</t>
        </is>
      </c>
      <c r="B129" t="inlineStr">
        <is>
          <t>FINMO - Balance Sheet - Deferred Revenue</t>
        </is>
      </c>
      <c r="C129" t="inlineStr">
        <is>
          <t>FINMO</t>
        </is>
      </c>
      <c r="D129" t="inlineStr">
        <is>
          <t>'FINMO'!C34:W34</t>
        </is>
      </c>
      <c r="E129" s="39">
        <f>21</f>
        <v/>
      </c>
      <c r="F129" s="39" t="n">
        <v>21</v>
      </c>
      <c r="G129" s="39">
        <f>E129-F129</f>
        <v/>
      </c>
      <c r="H129" s="39" t="n">
        <v>0</v>
      </c>
      <c r="I129" s="40">
        <f>IF(G129=0,"OK","FAIL")</f>
        <v/>
      </c>
      <c r="J129" t="inlineStr">
        <is>
          <t>FINMO statement lines must remain formula-driven. Formula presence is verified at export; live edit integrity is covered by the logic and bridge checks above.</t>
        </is>
      </c>
    </row>
    <row r="130">
      <c r="A130" t="inlineStr">
        <is>
          <t>Formula Manifest</t>
        </is>
      </c>
      <c r="B130" t="inlineStr">
        <is>
          <t>FINMO - Balance Sheet - Current Liabilities</t>
        </is>
      </c>
      <c r="C130" t="inlineStr">
        <is>
          <t>FINMO</t>
        </is>
      </c>
      <c r="D130" t="inlineStr">
        <is>
          <t>'FINMO'!C35:W35</t>
        </is>
      </c>
      <c r="E130" s="39">
        <f>21</f>
        <v/>
      </c>
      <c r="F130" s="39" t="n">
        <v>21</v>
      </c>
      <c r="G130" s="39">
        <f>E130-F130</f>
        <v/>
      </c>
      <c r="H130" s="39" t="n">
        <v>0</v>
      </c>
      <c r="I130" s="40">
        <f>IF(G130=0,"OK","FAIL")</f>
        <v/>
      </c>
      <c r="J130" t="inlineStr">
        <is>
          <t>FINMO statement lines must remain formula-driven. Formula presence is verified at export; live edit integrity is covered by the logic and bridge checks above.</t>
        </is>
      </c>
    </row>
    <row r="131">
      <c r="A131" t="inlineStr">
        <is>
          <t>Formula Manifest</t>
        </is>
      </c>
      <c r="B131" t="inlineStr">
        <is>
          <t>FINMO - Balance Sheet - Long Term Debt</t>
        </is>
      </c>
      <c r="C131" t="inlineStr">
        <is>
          <t>FINMO</t>
        </is>
      </c>
      <c r="D131" t="inlineStr">
        <is>
          <t>'FINMO'!C36:W36</t>
        </is>
      </c>
      <c r="E131" s="39">
        <f>21</f>
        <v/>
      </c>
      <c r="F131" s="39" t="n">
        <v>21</v>
      </c>
      <c r="G131" s="39">
        <f>E131-F131</f>
        <v/>
      </c>
      <c r="H131" s="39" t="n">
        <v>0</v>
      </c>
      <c r="I131" s="40">
        <f>IF(G131=0,"OK","FAIL")</f>
        <v/>
      </c>
      <c r="J131" t="inlineStr">
        <is>
          <t>FINMO statement lines must remain formula-driven. Formula presence is verified at export; live edit integrity is covered by the logic and bridge checks above.</t>
        </is>
      </c>
    </row>
    <row r="132">
      <c r="A132" t="inlineStr">
        <is>
          <t>Formula Manifest</t>
        </is>
      </c>
      <c r="B132" t="inlineStr">
        <is>
          <t>FINMO - Balance Sheet - Capital Lease Obligation</t>
        </is>
      </c>
      <c r="C132" t="inlineStr">
        <is>
          <t>FINMO</t>
        </is>
      </c>
      <c r="D132" t="inlineStr">
        <is>
          <t>'FINMO'!C37:W37</t>
        </is>
      </c>
      <c r="E132" s="39">
        <f>21</f>
        <v/>
      </c>
      <c r="F132" s="39" t="n">
        <v>21</v>
      </c>
      <c r="G132" s="39">
        <f>E132-F132</f>
        <v/>
      </c>
      <c r="H132" s="39" t="n">
        <v>0</v>
      </c>
      <c r="I132" s="40">
        <f>IF(G132=0,"OK","FAIL")</f>
        <v/>
      </c>
      <c r="J132" t="inlineStr">
        <is>
          <t>FINMO statement lines must remain formula-driven. Formula presence is verified at export; live edit integrity is covered by the logic and bridge checks above.</t>
        </is>
      </c>
    </row>
    <row r="133">
      <c r="A133" t="inlineStr">
        <is>
          <t>Formula Manifest</t>
        </is>
      </c>
      <c r="B133" t="inlineStr">
        <is>
          <t>FINMO - Balance Sheet - Total Liabilities</t>
        </is>
      </c>
      <c r="C133" t="inlineStr">
        <is>
          <t>FINMO</t>
        </is>
      </c>
      <c r="D133" t="inlineStr">
        <is>
          <t>'FINMO'!C38:W38</t>
        </is>
      </c>
      <c r="E133" s="39">
        <f>21</f>
        <v/>
      </c>
      <c r="F133" s="39" t="n">
        <v>21</v>
      </c>
      <c r="G133" s="39">
        <f>E133-F133</f>
        <v/>
      </c>
      <c r="H133" s="39" t="n">
        <v>0</v>
      </c>
      <c r="I133" s="40">
        <f>IF(G133=0,"OK","FAIL")</f>
        <v/>
      </c>
      <c r="J133" t="inlineStr">
        <is>
          <t>FINMO statement lines must remain formula-driven. Formula presence is verified at export; live edit integrity is covered by the logic and bridge checks above.</t>
        </is>
      </c>
    </row>
    <row r="134">
      <c r="A134" t="inlineStr">
        <is>
          <t>Formula Manifest</t>
        </is>
      </c>
      <c r="B134" t="inlineStr">
        <is>
          <t>FINMO - Balance Sheet - Owner's Capital</t>
        </is>
      </c>
      <c r="C134" t="inlineStr">
        <is>
          <t>FINMO</t>
        </is>
      </c>
      <c r="D134" t="inlineStr">
        <is>
          <t>'FINMO'!C39:W39</t>
        </is>
      </c>
      <c r="E134" s="39">
        <f>21</f>
        <v/>
      </c>
      <c r="F134" s="39" t="n">
        <v>21</v>
      </c>
      <c r="G134" s="39">
        <f>E134-F134</f>
        <v/>
      </c>
      <c r="H134" s="39" t="n">
        <v>0</v>
      </c>
      <c r="I134" s="40">
        <f>IF(G134=0,"OK","FAIL")</f>
        <v/>
      </c>
      <c r="J134" t="inlineStr">
        <is>
          <t>FINMO statement lines must remain formula-driven. Formula presence is verified at export; live edit integrity is covered by the logic and bridge checks above.</t>
        </is>
      </c>
    </row>
    <row r="135">
      <c r="A135" t="inlineStr">
        <is>
          <t>Formula Manifest</t>
        </is>
      </c>
      <c r="B135" t="inlineStr">
        <is>
          <t>FINMO - Balance Sheet - Retained Earnings</t>
        </is>
      </c>
      <c r="C135" t="inlineStr">
        <is>
          <t>FINMO</t>
        </is>
      </c>
      <c r="D135" t="inlineStr">
        <is>
          <t>'FINMO'!C40:W40</t>
        </is>
      </c>
      <c r="E135" s="39">
        <f>21</f>
        <v/>
      </c>
      <c r="F135" s="39" t="n">
        <v>21</v>
      </c>
      <c r="G135" s="39">
        <f>E135-F135</f>
        <v/>
      </c>
      <c r="H135" s="39" t="n">
        <v>0</v>
      </c>
      <c r="I135" s="40">
        <f>IF(G135=0,"OK","FAIL")</f>
        <v/>
      </c>
      <c r="J135" t="inlineStr">
        <is>
          <t>FINMO statement lines must remain formula-driven. Formula presence is verified at export; live edit integrity is covered by the logic and bridge checks above.</t>
        </is>
      </c>
    </row>
    <row r="136">
      <c r="A136" t="inlineStr">
        <is>
          <t>Formula Manifest</t>
        </is>
      </c>
      <c r="B136" t="inlineStr">
        <is>
          <t>FINMO - Balance Sheet - Other Equity</t>
        </is>
      </c>
      <c r="C136" t="inlineStr">
        <is>
          <t>FINMO</t>
        </is>
      </c>
      <c r="D136" t="inlineStr">
        <is>
          <t>'FINMO'!C41:W41</t>
        </is>
      </c>
      <c r="E136" s="39">
        <f>21</f>
        <v/>
      </c>
      <c r="F136" s="39" t="n">
        <v>21</v>
      </c>
      <c r="G136" s="39">
        <f>E136-F136</f>
        <v/>
      </c>
      <c r="H136" s="39" t="n">
        <v>0</v>
      </c>
      <c r="I136" s="40">
        <f>IF(G136=0,"OK","FAIL")</f>
        <v/>
      </c>
      <c r="J136" t="inlineStr">
        <is>
          <t>FINMO statement lines must remain formula-driven. Formula presence is verified at export; live edit integrity is covered by the logic and bridge checks above.</t>
        </is>
      </c>
    </row>
    <row r="137">
      <c r="A137" t="inlineStr">
        <is>
          <t>Formula Manifest</t>
        </is>
      </c>
      <c r="B137" t="inlineStr">
        <is>
          <t>FINMO - Balance Sheet - Total Equity</t>
        </is>
      </c>
      <c r="C137" t="inlineStr">
        <is>
          <t>FINMO</t>
        </is>
      </c>
      <c r="D137" t="inlineStr">
        <is>
          <t>'FINMO'!C42:W42</t>
        </is>
      </c>
      <c r="E137" s="39">
        <f>21</f>
        <v/>
      </c>
      <c r="F137" s="39" t="n">
        <v>21</v>
      </c>
      <c r="G137" s="39">
        <f>E137-F137</f>
        <v/>
      </c>
      <c r="H137" s="39" t="n">
        <v>0</v>
      </c>
      <c r="I137" s="40">
        <f>IF(G137=0,"OK","FAIL")</f>
        <v/>
      </c>
      <c r="J137" t="inlineStr">
        <is>
          <t>FINMO statement lines must remain formula-driven. Formula presence is verified at export; live edit integrity is covered by the logic and bridge checks above.</t>
        </is>
      </c>
    </row>
    <row r="138">
      <c r="A138" t="inlineStr">
        <is>
          <t>Formula Manifest</t>
        </is>
      </c>
      <c r="B138" t="inlineStr">
        <is>
          <t>FINMO - Balance Sheet - Total Liabilities &amp; Equity</t>
        </is>
      </c>
      <c r="C138" t="inlineStr">
        <is>
          <t>FINMO</t>
        </is>
      </c>
      <c r="D138" t="inlineStr">
        <is>
          <t>'FINMO'!C43:W43</t>
        </is>
      </c>
      <c r="E138" s="39">
        <f>21</f>
        <v/>
      </c>
      <c r="F138" s="39" t="n">
        <v>21</v>
      </c>
      <c r="G138" s="39">
        <f>E138-F138</f>
        <v/>
      </c>
      <c r="H138" s="39" t="n">
        <v>0</v>
      </c>
      <c r="I138" s="40">
        <f>IF(G138=0,"OK","FAIL")</f>
        <v/>
      </c>
      <c r="J138" t="inlineStr">
        <is>
          <t>FINMO statement lines must remain formula-driven. Formula presence is verified at export; live edit integrity is covered by the logic and bridge checks above.</t>
        </is>
      </c>
    </row>
    <row r="139">
      <c r="A139" t="inlineStr">
        <is>
          <t>Formula Manifest</t>
        </is>
      </c>
      <c r="B139" t="inlineStr">
        <is>
          <t>FINMO - Cash Flow - Beginning Cash</t>
        </is>
      </c>
      <c r="C139" t="inlineStr">
        <is>
          <t>FINMO</t>
        </is>
      </c>
      <c r="D139" t="inlineStr">
        <is>
          <t>'FINMO'!C46:W46</t>
        </is>
      </c>
      <c r="E139" s="39">
        <f>21</f>
        <v/>
      </c>
      <c r="F139" s="39" t="n">
        <v>21</v>
      </c>
      <c r="G139" s="39">
        <f>E139-F139</f>
        <v/>
      </c>
      <c r="H139" s="39" t="n">
        <v>0</v>
      </c>
      <c r="I139" s="40">
        <f>IF(G139=0,"OK","FAIL")</f>
        <v/>
      </c>
      <c r="J139" t="inlineStr">
        <is>
          <t>FINMO statement lines must remain formula-driven. Formula presence is verified at export; live edit integrity is covered by the logic and bridge checks above.</t>
        </is>
      </c>
    </row>
    <row r="140">
      <c r="A140" t="inlineStr">
        <is>
          <t>Formula Manifest</t>
        </is>
      </c>
      <c r="B140" t="inlineStr">
        <is>
          <t>FINMO - Cash Flow - Net Income</t>
        </is>
      </c>
      <c r="C140" t="inlineStr">
        <is>
          <t>FINMO</t>
        </is>
      </c>
      <c r="D140" t="inlineStr">
        <is>
          <t>'FINMO'!C47:W47</t>
        </is>
      </c>
      <c r="E140" s="39">
        <f>21</f>
        <v/>
      </c>
      <c r="F140" s="39" t="n">
        <v>21</v>
      </c>
      <c r="G140" s="39">
        <f>E140-F140</f>
        <v/>
      </c>
      <c r="H140" s="39" t="n">
        <v>0</v>
      </c>
      <c r="I140" s="40">
        <f>IF(G140=0,"OK","FAIL")</f>
        <v/>
      </c>
      <c r="J140" t="inlineStr">
        <is>
          <t>FINMO statement lines must remain formula-driven. Formula presence is verified at export; live edit integrity is covered by the logic and bridge checks above.</t>
        </is>
      </c>
    </row>
    <row r="141">
      <c r="A141" t="inlineStr">
        <is>
          <t>Formula Manifest</t>
        </is>
      </c>
      <c r="B141" t="inlineStr">
        <is>
          <t>FINMO - Cash Flow - Depreciation</t>
        </is>
      </c>
      <c r="C141" t="inlineStr">
        <is>
          <t>FINMO</t>
        </is>
      </c>
      <c r="D141" t="inlineStr">
        <is>
          <t>'FINMO'!C48:W48</t>
        </is>
      </c>
      <c r="E141" s="39">
        <f>21</f>
        <v/>
      </c>
      <c r="F141" s="39" t="n">
        <v>21</v>
      </c>
      <c r="G141" s="39">
        <f>E141-F141</f>
        <v/>
      </c>
      <c r="H141" s="39" t="n">
        <v>0</v>
      </c>
      <c r="I141" s="40">
        <f>IF(G141=0,"OK","FAIL")</f>
        <v/>
      </c>
      <c r="J141" t="inlineStr">
        <is>
          <t>FINMO statement lines must remain formula-driven. Formula presence is verified at export; live edit integrity is covered by the logic and bridge checks above.</t>
        </is>
      </c>
    </row>
    <row r="142">
      <c r="A142" t="inlineStr">
        <is>
          <t>Formula Manifest</t>
        </is>
      </c>
      <c r="B142" t="inlineStr">
        <is>
          <t>FINMO - Cash Flow - Changes in Current Assets</t>
        </is>
      </c>
      <c r="C142" t="inlineStr">
        <is>
          <t>FINMO</t>
        </is>
      </c>
      <c r="D142" t="inlineStr">
        <is>
          <t>'FINMO'!C49:W49</t>
        </is>
      </c>
      <c r="E142" s="39">
        <f>21</f>
        <v/>
      </c>
      <c r="F142" s="39" t="n">
        <v>21</v>
      </c>
      <c r="G142" s="39">
        <f>E142-F142</f>
        <v/>
      </c>
      <c r="H142" s="39" t="n">
        <v>0</v>
      </c>
      <c r="I142" s="40">
        <f>IF(G142=0,"OK","FAIL")</f>
        <v/>
      </c>
      <c r="J142" t="inlineStr">
        <is>
          <t>FINMO statement lines must remain formula-driven. Formula presence is verified at export; live edit integrity is covered by the logic and bridge checks above.</t>
        </is>
      </c>
    </row>
    <row r="143">
      <c r="A143" t="inlineStr">
        <is>
          <t>Formula Manifest</t>
        </is>
      </c>
      <c r="B143" t="inlineStr">
        <is>
          <t>FINMO - Cash Flow - Changes in Current Liabilities</t>
        </is>
      </c>
      <c r="C143" t="inlineStr">
        <is>
          <t>FINMO</t>
        </is>
      </c>
      <c r="D143" t="inlineStr">
        <is>
          <t>'FINMO'!C50:W50</t>
        </is>
      </c>
      <c r="E143" s="39">
        <f>21</f>
        <v/>
      </c>
      <c r="F143" s="39" t="n">
        <v>21</v>
      </c>
      <c r="G143" s="39">
        <f>E143-F143</f>
        <v/>
      </c>
      <c r="H143" s="39" t="n">
        <v>0</v>
      </c>
      <c r="I143" s="40">
        <f>IF(G143=0,"OK","FAIL")</f>
        <v/>
      </c>
      <c r="J143" t="inlineStr">
        <is>
          <t>FINMO statement lines must remain formula-driven. Formula presence is verified at export; live edit integrity is covered by the logic and bridge checks above.</t>
        </is>
      </c>
    </row>
    <row r="144">
      <c r="A144" t="inlineStr">
        <is>
          <t>Formula Manifest</t>
        </is>
      </c>
      <c r="B144" t="inlineStr">
        <is>
          <t>FINMO - Cash Flow - Operating Cash Flow</t>
        </is>
      </c>
      <c r="C144" t="inlineStr">
        <is>
          <t>FINMO</t>
        </is>
      </c>
      <c r="D144" t="inlineStr">
        <is>
          <t>'FINMO'!C51:W51</t>
        </is>
      </c>
      <c r="E144" s="39">
        <f>21</f>
        <v/>
      </c>
      <c r="F144" s="39" t="n">
        <v>21</v>
      </c>
      <c r="G144" s="39">
        <f>E144-F144</f>
        <v/>
      </c>
      <c r="H144" s="39" t="n">
        <v>0</v>
      </c>
      <c r="I144" s="40">
        <f>IF(G144=0,"OK","FAIL")</f>
        <v/>
      </c>
      <c r="J144" t="inlineStr">
        <is>
          <t>FINMO statement lines must remain formula-driven. Formula presence is verified at export; live edit integrity is covered by the logic and bridge checks above.</t>
        </is>
      </c>
    </row>
    <row r="145">
      <c r="A145" t="inlineStr">
        <is>
          <t>Formula Manifest</t>
        </is>
      </c>
      <c r="B145" t="inlineStr">
        <is>
          <t>FINMO - Cash Flow - Capital Expenditures</t>
        </is>
      </c>
      <c r="C145" t="inlineStr">
        <is>
          <t>FINMO</t>
        </is>
      </c>
      <c r="D145" t="inlineStr">
        <is>
          <t>'FINMO'!C52:W52</t>
        </is>
      </c>
      <c r="E145" s="39">
        <f>21</f>
        <v/>
      </c>
      <c r="F145" s="39" t="n">
        <v>21</v>
      </c>
      <c r="G145" s="39">
        <f>E145-F145</f>
        <v/>
      </c>
      <c r="H145" s="39" t="n">
        <v>0</v>
      </c>
      <c r="I145" s="40">
        <f>IF(G145=0,"OK","FAIL")</f>
        <v/>
      </c>
      <c r="J145" t="inlineStr">
        <is>
          <t>FINMO statement lines must remain formula-driven. Formula presence is verified at export; live edit integrity is covered by the logic and bridge checks above.</t>
        </is>
      </c>
    </row>
    <row r="146">
      <c r="A146" t="inlineStr">
        <is>
          <t>Formula Manifest</t>
        </is>
      </c>
      <c r="B146" t="inlineStr">
        <is>
          <t>FINMO - Cash Flow - Investing Cash Flow</t>
        </is>
      </c>
      <c r="C146" t="inlineStr">
        <is>
          <t>FINMO</t>
        </is>
      </c>
      <c r="D146" t="inlineStr">
        <is>
          <t>'FINMO'!C53:W53</t>
        </is>
      </c>
      <c r="E146" s="39">
        <f>21</f>
        <v/>
      </c>
      <c r="F146" s="39" t="n">
        <v>21</v>
      </c>
      <c r="G146" s="39">
        <f>E146-F146</f>
        <v/>
      </c>
      <c r="H146" s="39" t="n">
        <v>0</v>
      </c>
      <c r="I146" s="40">
        <f>IF(G146=0,"OK","FAIL")</f>
        <v/>
      </c>
      <c r="J146" t="inlineStr">
        <is>
          <t>FINMO statement lines must remain formula-driven. Formula presence is verified at export; live edit integrity is covered by the logic and bridge checks above.</t>
        </is>
      </c>
    </row>
    <row r="147">
      <c r="A147" t="inlineStr">
        <is>
          <t>Formula Manifest</t>
        </is>
      </c>
      <c r="B147" t="inlineStr">
        <is>
          <t>FINMO - Cash Flow - Debt Issuance (New Borrowing)</t>
        </is>
      </c>
      <c r="C147" t="inlineStr">
        <is>
          <t>FINMO</t>
        </is>
      </c>
      <c r="D147" t="inlineStr">
        <is>
          <t>'FINMO'!C54:W54</t>
        </is>
      </c>
      <c r="E147" s="39">
        <f>21</f>
        <v/>
      </c>
      <c r="F147" s="39" t="n">
        <v>21</v>
      </c>
      <c r="G147" s="39">
        <f>E147-F147</f>
        <v/>
      </c>
      <c r="H147" s="39" t="n">
        <v>0</v>
      </c>
      <c r="I147" s="40">
        <f>IF(G147=0,"OK","FAIL")</f>
        <v/>
      </c>
      <c r="J147" t="inlineStr">
        <is>
          <t>FINMO statement lines must remain formula-driven. Formula presence is verified at export; live edit integrity is covered by the logic and bridge checks above.</t>
        </is>
      </c>
    </row>
    <row r="148">
      <c r="A148" t="inlineStr">
        <is>
          <t>Formula Manifest</t>
        </is>
      </c>
      <c r="B148" t="inlineStr">
        <is>
          <t>FINMO - Cash Flow - Debt Repayment</t>
        </is>
      </c>
      <c r="C148" t="inlineStr">
        <is>
          <t>FINMO</t>
        </is>
      </c>
      <c r="D148" t="inlineStr">
        <is>
          <t>'FINMO'!C55:W55</t>
        </is>
      </c>
      <c r="E148" s="39">
        <f>21</f>
        <v/>
      </c>
      <c r="F148" s="39" t="n">
        <v>21</v>
      </c>
      <c r="G148" s="39">
        <f>E148-F148</f>
        <v/>
      </c>
      <c r="H148" s="39" t="n">
        <v>0</v>
      </c>
      <c r="I148" s="40">
        <f>IF(G148=0,"OK","FAIL")</f>
        <v/>
      </c>
      <c r="J148" t="inlineStr">
        <is>
          <t>FINMO statement lines must remain formula-driven. Formula presence is verified at export; live edit integrity is covered by the logic and bridge checks above.</t>
        </is>
      </c>
    </row>
    <row r="149">
      <c r="A149" t="inlineStr">
        <is>
          <t>Formula Manifest</t>
        </is>
      </c>
      <c r="B149" t="inlineStr">
        <is>
          <t>FINMO - Cash Flow - Equity</t>
        </is>
      </c>
      <c r="C149" t="inlineStr">
        <is>
          <t>FINMO</t>
        </is>
      </c>
      <c r="D149" t="inlineStr">
        <is>
          <t>'FINMO'!C56:W56</t>
        </is>
      </c>
      <c r="E149" s="39">
        <f>21</f>
        <v/>
      </c>
      <c r="F149" s="39" t="n">
        <v>21</v>
      </c>
      <c r="G149" s="39">
        <f>E149-F149</f>
        <v/>
      </c>
      <c r="H149" s="39" t="n">
        <v>0</v>
      </c>
      <c r="I149" s="40">
        <f>IF(G149=0,"OK","FAIL")</f>
        <v/>
      </c>
      <c r="J149" t="inlineStr">
        <is>
          <t>FINMO statement lines must remain formula-driven. Formula presence is verified at export; live edit integrity is covered by the logic and bridge checks above.</t>
        </is>
      </c>
    </row>
    <row r="150">
      <c r="A150" t="inlineStr">
        <is>
          <t>Formula Manifest</t>
        </is>
      </c>
      <c r="B150" t="inlineStr">
        <is>
          <t>FINMO - Cash Flow - Distributions</t>
        </is>
      </c>
      <c r="C150" t="inlineStr">
        <is>
          <t>FINMO</t>
        </is>
      </c>
      <c r="D150" t="inlineStr">
        <is>
          <t>'FINMO'!C57:W57</t>
        </is>
      </c>
      <c r="E150" s="39">
        <f>21</f>
        <v/>
      </c>
      <c r="F150" s="39" t="n">
        <v>21</v>
      </c>
      <c r="G150" s="39">
        <f>E150-F150</f>
        <v/>
      </c>
      <c r="H150" s="39" t="n">
        <v>0</v>
      </c>
      <c r="I150" s="40">
        <f>IF(G150=0,"OK","FAIL")</f>
        <v/>
      </c>
      <c r="J150" t="inlineStr">
        <is>
          <t>FINMO statement lines must remain formula-driven. Formula presence is verified at export; live edit integrity is covered by the logic and bridge checks above.</t>
        </is>
      </c>
    </row>
    <row r="151">
      <c r="A151" t="inlineStr">
        <is>
          <t>Formula Manifest</t>
        </is>
      </c>
      <c r="B151" t="inlineStr">
        <is>
          <t>FINMO - Cash Flow - Capital Lease Principal Payments</t>
        </is>
      </c>
      <c r="C151" t="inlineStr">
        <is>
          <t>FINMO</t>
        </is>
      </c>
      <c r="D151" t="inlineStr">
        <is>
          <t>'FINMO'!C58:W58</t>
        </is>
      </c>
      <c r="E151" s="39">
        <f>21</f>
        <v/>
      </c>
      <c r="F151" s="39" t="n">
        <v>21</v>
      </c>
      <c r="G151" s="39">
        <f>E151-F151</f>
        <v/>
      </c>
      <c r="H151" s="39" t="n">
        <v>0</v>
      </c>
      <c r="I151" s="40">
        <f>IF(G151=0,"OK","FAIL")</f>
        <v/>
      </c>
      <c r="J151" t="inlineStr">
        <is>
          <t>FINMO statement lines must remain formula-driven. Formula presence is verified at export; live edit integrity is covered by the logic and bridge checks above.</t>
        </is>
      </c>
    </row>
    <row r="152">
      <c r="A152" t="inlineStr">
        <is>
          <t>Formula Manifest</t>
        </is>
      </c>
      <c r="B152" t="inlineStr">
        <is>
          <t>FINMO - Cash Flow - Financing Cash Flow</t>
        </is>
      </c>
      <c r="C152" t="inlineStr">
        <is>
          <t>FINMO</t>
        </is>
      </c>
      <c r="D152" t="inlineStr">
        <is>
          <t>'FINMO'!C59:W59</t>
        </is>
      </c>
      <c r="E152" s="39">
        <f>21</f>
        <v/>
      </c>
      <c r="F152" s="39" t="n">
        <v>21</v>
      </c>
      <c r="G152" s="39">
        <f>E152-F152</f>
        <v/>
      </c>
      <c r="H152" s="39" t="n">
        <v>0</v>
      </c>
      <c r="I152" s="40">
        <f>IF(G152=0,"OK","FAIL")</f>
        <v/>
      </c>
      <c r="J152" t="inlineStr">
        <is>
          <t>FINMO statement lines must remain formula-driven. Formula presence is verified at export; live edit integrity is covered by the logic and bridge checks above.</t>
        </is>
      </c>
    </row>
    <row r="153">
      <c r="A153" t="inlineStr">
        <is>
          <t>Formula Manifest</t>
        </is>
      </c>
      <c r="B153" t="inlineStr">
        <is>
          <t>FINMO - Cash Flow - Net Cash Flow</t>
        </is>
      </c>
      <c r="C153" t="inlineStr">
        <is>
          <t>FINMO</t>
        </is>
      </c>
      <c r="D153" t="inlineStr">
        <is>
          <t>'FINMO'!C60:W60</t>
        </is>
      </c>
      <c r="E153" s="39">
        <f>21</f>
        <v/>
      </c>
      <c r="F153" s="39" t="n">
        <v>21</v>
      </c>
      <c r="G153" s="39">
        <f>E153-F153</f>
        <v/>
      </c>
      <c r="H153" s="39" t="n">
        <v>0</v>
      </c>
      <c r="I153" s="40">
        <f>IF(G153=0,"OK","FAIL")</f>
        <v/>
      </c>
      <c r="J153" t="inlineStr">
        <is>
          <t>FINMO statement lines must remain formula-driven. Formula presence is verified at export; live edit integrity is covered by the logic and bridge checks above.</t>
        </is>
      </c>
    </row>
    <row r="154">
      <c r="A154" t="inlineStr">
        <is>
          <t>Formula Manifest</t>
        </is>
      </c>
      <c r="B154" t="inlineStr">
        <is>
          <t>FINMO - Cash Flow - Ending Cash</t>
        </is>
      </c>
      <c r="C154" t="inlineStr">
        <is>
          <t>FINMO</t>
        </is>
      </c>
      <c r="D154" t="inlineStr">
        <is>
          <t>'FINMO'!C61:W61</t>
        </is>
      </c>
      <c r="E154" s="39">
        <f>21</f>
        <v/>
      </c>
      <c r="F154" s="39" t="n">
        <v>21</v>
      </c>
      <c r="G154" s="39">
        <f>E154-F154</f>
        <v/>
      </c>
      <c r="H154" s="39" t="n">
        <v>0</v>
      </c>
      <c r="I154" s="40">
        <f>IF(G154=0,"OK","FAIL")</f>
        <v/>
      </c>
      <c r="J154" t="inlineStr">
        <is>
          <t>FINMO statement lines must remain formula-driven. Formula presence is verified at export; live edit integrity is covered by the logic and bridge checks above.</t>
        </is>
      </c>
    </row>
    <row r="156">
      <c r="A156" s="7" t="inlineStr">
        <is>
          <t>Formula Error Scans</t>
        </is>
      </c>
    </row>
    <row r="157">
      <c r="A157" t="inlineStr">
        <is>
          <t>Formula Error Scan</t>
        </is>
      </c>
      <c r="B157" t="inlineStr">
        <is>
          <t>Revenue Drivers formula/error scan</t>
        </is>
      </c>
      <c r="C157" t="inlineStr">
        <is>
          <t>Revenue Drivers</t>
        </is>
      </c>
      <c r="D157" t="inlineStr">
        <is>
          <t>'Revenue Drivers'!C7:W28</t>
        </is>
      </c>
      <c r="E157" s="39">
        <f>SUMPRODUCT(--ISERROR('Revenue Drivers'!C7:W28))</f>
        <v/>
      </c>
      <c r="F157" s="39" t="n">
        <v>0</v>
      </c>
      <c r="G157" s="39">
        <f>E157-F157</f>
        <v/>
      </c>
      <c r="H157" s="39" t="n">
        <v>0</v>
      </c>
      <c r="I157" s="40">
        <f>IF(E157=0,"OK","FAIL")</f>
        <v/>
      </c>
      <c r="J157" t="inlineStr">
        <is>
          <t>Counts Excel error values in the range.</t>
        </is>
      </c>
    </row>
    <row r="158">
      <c r="A158" t="inlineStr">
        <is>
          <t>Formula Error Scan</t>
        </is>
      </c>
      <c r="B158" t="inlineStr">
        <is>
          <t>Payroll Schedule formula/error scan</t>
        </is>
      </c>
      <c r="C158" t="inlineStr">
        <is>
          <t>Payroll Schedule</t>
        </is>
      </c>
      <c r="D158" t="inlineStr">
        <is>
          <t>'Payroll Schedule'!C15:W86</t>
        </is>
      </c>
      <c r="E158" s="39">
        <f>SUMPRODUCT(--ISERROR('Payroll Schedule'!C15:W86))</f>
        <v/>
      </c>
      <c r="F158" s="39" t="n">
        <v>0</v>
      </c>
      <c r="G158" s="39">
        <f>E158-F158</f>
        <v/>
      </c>
      <c r="H158" s="39" t="n">
        <v>0</v>
      </c>
      <c r="I158" s="40">
        <f>IF(E158=0,"OK","FAIL")</f>
        <v/>
      </c>
      <c r="J158" t="inlineStr">
        <is>
          <t>Counts Excel error values in the range.</t>
        </is>
      </c>
    </row>
    <row r="159">
      <c r="A159" t="inlineStr">
        <is>
          <t>Formula Error Scan</t>
        </is>
      </c>
      <c r="B159" t="inlineStr">
        <is>
          <t>Debt Schedule formula/error scan</t>
        </is>
      </c>
      <c r="C159" t="inlineStr">
        <is>
          <t>Debt Schedule</t>
        </is>
      </c>
      <c r="D159" t="inlineStr">
        <is>
          <t>'Debt Schedule'!C7:W26</t>
        </is>
      </c>
      <c r="E159" s="39">
        <f>SUMPRODUCT(--ISERROR('Debt Schedule'!C7:W26))</f>
        <v/>
      </c>
      <c r="F159" s="39" t="n">
        <v>0</v>
      </c>
      <c r="G159" s="39">
        <f>E159-F159</f>
        <v/>
      </c>
      <c r="H159" s="39" t="n">
        <v>0</v>
      </c>
      <c r="I159" s="40">
        <f>IF(E159=0,"OK","FAIL")</f>
        <v/>
      </c>
      <c r="J159" t="inlineStr">
        <is>
          <t>Counts Excel error values in the range.</t>
        </is>
      </c>
    </row>
    <row r="160">
      <c r="A160" t="inlineStr">
        <is>
          <t>Formula Error Scan</t>
        </is>
      </c>
      <c r="B160" t="inlineStr">
        <is>
          <t>CapEx Depreciation formula/error scan</t>
        </is>
      </c>
      <c r="C160" t="inlineStr">
        <is>
          <t>CapEx Depreciation</t>
        </is>
      </c>
      <c r="D160" t="inlineStr">
        <is>
          <t>'CapEx Depreciation'!C7:W14</t>
        </is>
      </c>
      <c r="E160" s="39">
        <f>SUMPRODUCT(--ISERROR('CapEx Depreciation'!C7:W14))</f>
        <v/>
      </c>
      <c r="F160" s="39" t="n">
        <v>0</v>
      </c>
      <c r="G160" s="39">
        <f>E160-F160</f>
        <v/>
      </c>
      <c r="H160" s="39" t="n">
        <v>0</v>
      </c>
      <c r="I160" s="40">
        <f>IF(E160=0,"OK","FAIL")</f>
        <v/>
      </c>
      <c r="J160" t="inlineStr">
        <is>
          <t>Counts Excel error values in the range.</t>
        </is>
      </c>
    </row>
    <row r="161">
      <c r="A161" t="inlineStr">
        <is>
          <t>Formula Error Scan</t>
        </is>
      </c>
      <c r="B161" t="inlineStr">
        <is>
          <t>Cash Equity Schedule formula/error scan</t>
        </is>
      </c>
      <c r="C161" t="inlineStr">
        <is>
          <t>Cash Equity Schedule</t>
        </is>
      </c>
      <c r="D161" t="inlineStr">
        <is>
          <t>'Cash Equity Schedule'!C7:W12</t>
        </is>
      </c>
      <c r="E161" s="39">
        <f>SUMPRODUCT(--ISERROR('Cash Equity Schedule'!C7:W12))</f>
        <v/>
      </c>
      <c r="F161" s="39" t="n">
        <v>0</v>
      </c>
      <c r="G161" s="39">
        <f>E161-F161</f>
        <v/>
      </c>
      <c r="H161" s="39" t="n">
        <v>0</v>
      </c>
      <c r="I161" s="40">
        <f>IF(E161=0,"OK","FAIL")</f>
        <v/>
      </c>
      <c r="J161" t="inlineStr">
        <is>
          <t>Counts Excel error values in the range.</t>
        </is>
      </c>
    </row>
    <row r="162">
      <c r="A162" t="inlineStr">
        <is>
          <t>Formula Error Scan</t>
        </is>
      </c>
      <c r="B162" t="inlineStr">
        <is>
          <t>Model Inputs formula/error scan</t>
        </is>
      </c>
      <c r="C162" t="inlineStr">
        <is>
          <t>Model Inputs</t>
        </is>
      </c>
      <c r="D162" t="inlineStr">
        <is>
          <t>'Model Inputs'!C7:W54</t>
        </is>
      </c>
      <c r="E162" s="39">
        <f>SUMPRODUCT(--ISERROR('Model Inputs'!C7:W54))</f>
        <v/>
      </c>
      <c r="F162" s="39" t="n">
        <v>0</v>
      </c>
      <c r="G162" s="39">
        <f>E162-F162</f>
        <v/>
      </c>
      <c r="H162" s="39" t="n">
        <v>0</v>
      </c>
      <c r="I162" s="40">
        <f>IF(E162=0,"OK","FAIL")</f>
        <v/>
      </c>
      <c r="J162" t="inlineStr">
        <is>
          <t>Counts Excel error values in the range.</t>
        </is>
      </c>
    </row>
    <row r="163">
      <c r="A163" t="inlineStr">
        <is>
          <t>Formula Error Scan</t>
        </is>
      </c>
      <c r="B163" t="inlineStr">
        <is>
          <t>FINMO formula/error scan</t>
        </is>
      </c>
      <c r="C163" t="inlineStr">
        <is>
          <t>FINMO</t>
        </is>
      </c>
      <c r="D163" t="inlineStr">
        <is>
          <t>'FINMO'!C8:W61</t>
        </is>
      </c>
      <c r="E163" s="39">
        <f>SUMPRODUCT(--ISERROR('FINMO'!C8:W61))</f>
        <v/>
      </c>
      <c r="F163" s="39" t="n">
        <v>0</v>
      </c>
      <c r="G163" s="39">
        <f>E163-F163</f>
        <v/>
      </c>
      <c r="H163" s="39" t="n">
        <v>0</v>
      </c>
      <c r="I163" s="40">
        <f>IF(E163=0,"OK","FAIL")</f>
        <v/>
      </c>
      <c r="J163" t="inlineStr">
        <is>
          <t>Counts Excel error values in the range.</t>
        </is>
      </c>
    </row>
    <row r="165">
      <c r="A165" s="7" t="inlineStr">
        <is>
          <t>Persisted Baseline Reconciliation</t>
        </is>
      </c>
    </row>
    <row r="166">
      <c r="A166" t="inlineStr">
        <is>
          <t>Persisted Baseline</t>
        </is>
      </c>
      <c r="B166" t="inlineStr">
        <is>
          <t>Revenue Q20</t>
        </is>
      </c>
      <c r="C166" t="inlineStr">
        <is>
          <t>FINMO vs Audit Source</t>
        </is>
      </c>
      <c r="D166" t="inlineStr">
        <is>
          <t>'FINMO'!W8</t>
        </is>
      </c>
      <c r="E166" s="39">
        <f>'FINMO'!W8</f>
        <v/>
      </c>
      <c r="F166" s="39">
        <f>'Audit Source'!W7</f>
        <v/>
      </c>
      <c r="G166" s="39">
        <f>E166-F166</f>
        <v/>
      </c>
      <c r="H166" s="39" t="n">
        <v>1</v>
      </c>
      <c r="I166" s="40">
        <f>IF(ABS(G166)&lt;=H166,"MATCH","CHANGED")</f>
        <v/>
      </c>
      <c r="J166" t="inlineStr">
        <is>
          <t>CHANGED means assumptions were edited from the persisted run; it is informational and does not fail Model Status.</t>
        </is>
      </c>
    </row>
    <row r="167">
      <c r="A167" t="inlineStr">
        <is>
          <t>Persisted Baseline</t>
        </is>
      </c>
      <c r="B167" t="inlineStr">
        <is>
          <t>Payroll Q20</t>
        </is>
      </c>
      <c r="C167" t="inlineStr">
        <is>
          <t>FINMO vs Audit Source</t>
        </is>
      </c>
      <c r="D167" t="inlineStr">
        <is>
          <t>'FINMO'!W14</t>
        </is>
      </c>
      <c r="E167" s="39">
        <f>'FINMO'!W14</f>
        <v/>
      </c>
      <c r="F167" s="39">
        <f>'Audit Source'!W13</f>
        <v/>
      </c>
      <c r="G167" s="39">
        <f>E167-F167</f>
        <v/>
      </c>
      <c r="H167" s="39" t="n">
        <v>1</v>
      </c>
      <c r="I167" s="40">
        <f>IF(ABS(G167)&lt;=H167,"MATCH","CHANGED")</f>
        <v/>
      </c>
      <c r="J167" t="inlineStr">
        <is>
          <t>CHANGED means assumptions were edited from the persisted run; it is informational and does not fail Model Status.</t>
        </is>
      </c>
    </row>
    <row r="168">
      <c r="A168" t="inlineStr">
        <is>
          <t>Persisted Baseline</t>
        </is>
      </c>
      <c r="B168" t="inlineStr">
        <is>
          <t>Net Income Q20</t>
        </is>
      </c>
      <c r="C168" t="inlineStr">
        <is>
          <t>FINMO vs Audit Source</t>
        </is>
      </c>
      <c r="D168" t="inlineStr">
        <is>
          <t>'FINMO'!W20</t>
        </is>
      </c>
      <c r="E168" s="39">
        <f>'FINMO'!W20</f>
        <v/>
      </c>
      <c r="F168" s="39">
        <f>'Audit Source'!W19</f>
        <v/>
      </c>
      <c r="G168" s="39">
        <f>E168-F168</f>
        <v/>
      </c>
      <c r="H168" s="39" t="n">
        <v>1</v>
      </c>
      <c r="I168" s="40">
        <f>IF(ABS(G168)&lt;=H168,"MATCH","CHANGED")</f>
        <v/>
      </c>
      <c r="J168" t="inlineStr">
        <is>
          <t>CHANGED means assumptions were edited from the persisted run; it is informational and does not fail Model Status.</t>
        </is>
      </c>
    </row>
    <row r="169">
      <c r="A169" t="inlineStr">
        <is>
          <t>Persisted Baseline</t>
        </is>
      </c>
      <c r="B169" t="inlineStr">
        <is>
          <t>Cash Q20</t>
        </is>
      </c>
      <c r="C169" t="inlineStr">
        <is>
          <t>FINMO vs Audit Source</t>
        </is>
      </c>
      <c r="D169" t="inlineStr">
        <is>
          <t>'FINMO'!W23</t>
        </is>
      </c>
      <c r="E169" s="39">
        <f>'FINMO'!W23</f>
        <v/>
      </c>
      <c r="F169" s="39">
        <f>'Audit Source'!W23</f>
        <v/>
      </c>
      <c r="G169" s="39">
        <f>E169-F169</f>
        <v/>
      </c>
      <c r="H169" s="39" t="n">
        <v>1</v>
      </c>
      <c r="I169" s="40">
        <f>IF(ABS(G169)&lt;=H169,"MATCH","CHANGED")</f>
        <v/>
      </c>
      <c r="J169" t="inlineStr">
        <is>
          <t>CHANGED means assumptions were edited from the persisted run; it is informational and does not fail Model Status.</t>
        </is>
      </c>
    </row>
    <row r="170">
      <c r="A170" t="inlineStr">
        <is>
          <t>Persisted Baseline</t>
        </is>
      </c>
      <c r="B170" t="inlineStr">
        <is>
          <t>Total Assets Q20</t>
        </is>
      </c>
      <c r="C170" t="inlineStr">
        <is>
          <t>FINMO vs Audit Source</t>
        </is>
      </c>
      <c r="D170" t="inlineStr">
        <is>
          <t>'FINMO'!W31</t>
        </is>
      </c>
      <c r="E170" s="39">
        <f>'FINMO'!W31</f>
        <v/>
      </c>
      <c r="F170" s="39">
        <f>'Audit Source'!W29</f>
        <v/>
      </c>
      <c r="G170" s="39">
        <f>E170-F170</f>
        <v/>
      </c>
      <c r="H170" s="39" t="n">
        <v>1</v>
      </c>
      <c r="I170" s="40">
        <f>IF(ABS(G170)&lt;=H170,"MATCH","CHANGED")</f>
        <v/>
      </c>
      <c r="J170" t="inlineStr">
        <is>
          <t>CHANGED means assumptions were edited from the persisted run; it is informational and does not fail Model Status.</t>
        </is>
      </c>
    </row>
    <row r="171">
      <c r="A171" t="inlineStr">
        <is>
          <t>Persisted Baseline</t>
        </is>
      </c>
      <c r="B171" t="inlineStr">
        <is>
          <t>Total Liabilities &amp; Equity Q20</t>
        </is>
      </c>
      <c r="C171" t="inlineStr">
        <is>
          <t>FINMO vs Audit Source</t>
        </is>
      </c>
      <c r="D171" t="inlineStr">
        <is>
          <t>'FINMO'!W43</t>
        </is>
      </c>
      <c r="E171" s="39">
        <f>'FINMO'!W43</f>
        <v/>
      </c>
      <c r="F171" s="39">
        <f>'Audit Source'!W41</f>
        <v/>
      </c>
      <c r="G171" s="39">
        <f>E171-F171</f>
        <v/>
      </c>
      <c r="H171" s="39" t="n">
        <v>1</v>
      </c>
      <c r="I171" s="40">
        <f>IF(ABS(G171)&lt;=H171,"MATCH","CHANGED")</f>
        <v/>
      </c>
      <c r="J171" t="inlineStr">
        <is>
          <t>CHANGED means assumptions were edited from the persisted run; it is informational and does not fail Model Status.</t>
        </is>
      </c>
    </row>
    <row r="172">
      <c r="A172" t="inlineStr">
        <is>
          <t>Persisted Baseline</t>
        </is>
      </c>
      <c r="B172" t="inlineStr">
        <is>
          <t>Ending Cash Q20</t>
        </is>
      </c>
      <c r="C172" t="inlineStr">
        <is>
          <t>FINMO vs Audit Source</t>
        </is>
      </c>
      <c r="D172" t="inlineStr">
        <is>
          <t>'FINMO'!W61</t>
        </is>
      </c>
      <c r="E172" s="39">
        <f>'FINMO'!W61</f>
        <v/>
      </c>
      <c r="F172" s="39">
        <f>'Audit Source'!W59</f>
        <v/>
      </c>
      <c r="G172" s="39">
        <f>E172-F172</f>
        <v/>
      </c>
      <c r="H172" s="39" t="n">
        <v>1</v>
      </c>
      <c r="I172" s="40">
        <f>IF(ABS(G172)&lt;=H172,"MATCH","CHANGED")</f>
        <v/>
      </c>
      <c r="J172" t="inlineStr">
        <is>
          <t>CHANGED means assumptions were edited from the persisted run; it is informational and does not fail Model Status.</t>
        </is>
      </c>
    </row>
  </sheetData>
  <mergeCells count="6">
    <mergeCell ref="A6:J6"/>
    <mergeCell ref="B3:F3"/>
    <mergeCell ref="A21:J21"/>
    <mergeCell ref="A39:J39"/>
    <mergeCell ref="A156:J156"/>
    <mergeCell ref="A165:J165"/>
  </mergeCells>
  <conditionalFormatting sqref="I7:I172">
    <cfRule type="cellIs" priority="1" operator="equal" dxfId="0">
      <formula>"FAIL"</formula>
    </cfRule>
    <cfRule type="cellIs" priority="2" operator="equal" dxfId="1">
      <formula>"OK"</formula>
    </cfRule>
    <cfRule type="cellIs" priority="3" operator="equal" dxfId="2">
      <formula>"CHANGED"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14" customWidth="1" min="3" max="3"/>
  </cols>
  <sheetData>
    <row r="1" ht="24" customHeight="1">
      <c r="A1" s="42" t="inlineStr">
        <is>
          <t>Run Diagnostics</t>
        </is>
      </c>
    </row>
    <row r="3" ht="22" customHeight="1">
      <c r="A3" s="43" t="inlineStr">
        <is>
          <t>Run Metadata</t>
        </is>
      </c>
      <c r="B3" s="44" t="n"/>
      <c r="C3" s="44" t="n"/>
    </row>
    <row r="4">
      <c r="A4" s="45" t="inlineStr">
        <is>
          <t>Planning Mode</t>
        </is>
      </c>
      <c r="B4" s="46" t="inlineStr">
        <is>
          <t>rebalance</t>
        </is>
      </c>
    </row>
    <row r="5">
      <c r="A5" s="45" t="inlineStr">
        <is>
          <t>Cash Strategy</t>
        </is>
      </c>
      <c r="B5" s="46" t="inlineStr">
        <is>
          <t>balanced</t>
        </is>
      </c>
    </row>
    <row r="6">
      <c r="A6" s="45" t="inlineStr">
        <is>
          <t>Business Stage</t>
        </is>
      </c>
      <c r="B6" s="46" t="inlineStr">
        <is>
          <t>operating</t>
        </is>
      </c>
    </row>
    <row r="7">
      <c r="A7" s="45" t="inlineStr">
        <is>
          <t>Business Name</t>
        </is>
      </c>
      <c r="B7" s="46" t="inlineStr">
        <is>
          <t>Skyward Express Airlines</t>
        </is>
      </c>
    </row>
    <row r="8">
      <c r="A8" s="45" t="inlineStr">
        <is>
          <t>Business Start Date</t>
        </is>
      </c>
      <c r="B8" s="46" t="inlineStr">
        <is>
          <t>06/19/2024</t>
        </is>
      </c>
    </row>
    <row r="9">
      <c r="A9" s="45" t="inlineStr">
        <is>
          <t>NAICS-6</t>
        </is>
      </c>
      <c r="B9" s="46" t="inlineStr">
        <is>
          <t>481111</t>
        </is>
      </c>
    </row>
    <row r="10">
      <c r="A10" s="45" t="inlineStr">
        <is>
          <t>Draft ID</t>
        </is>
      </c>
      <c r="B10" s="46" t="inlineStr">
        <is>
          <t>2bf091574e2448d0a1d59ff58ab68c9f</t>
        </is>
      </c>
    </row>
    <row r="11">
      <c r="A11" s="45" t="inlineStr">
        <is>
          <t>Planning Run ID</t>
        </is>
      </c>
      <c r="B11" s="46" t="inlineStr">
        <is>
          <t>9c702e2b498b46f282f23c7955f28f0d</t>
        </is>
      </c>
    </row>
    <row r="13" ht="22" customHeight="1">
      <c r="A13" s="43" t="inlineStr">
        <is>
          <t>Acceptance Gate</t>
        </is>
      </c>
      <c r="B13" s="44" t="n"/>
      <c r="C13" s="44" t="n"/>
    </row>
    <row r="14">
      <c r="A14" s="45" t="inlineStr">
        <is>
          <t>Score</t>
        </is>
      </c>
      <c r="B14" s="46" t="inlineStr">
        <is>
          <t>16/16</t>
        </is>
      </c>
    </row>
    <row r="15">
      <c r="A15" s="45" t="inlineStr">
        <is>
          <t>Verdict</t>
        </is>
      </c>
      <c r="B15" s="46" t="inlineStr">
        <is>
          <t>PASSED</t>
        </is>
      </c>
    </row>
    <row r="17" ht="22" customHeight="1">
      <c r="A17" s="43" t="inlineStr">
        <is>
          <t>GPT Exhaustion Handler</t>
        </is>
      </c>
      <c r="B17" s="44" t="n"/>
      <c r="C17" s="44" t="n"/>
    </row>
    <row r="18">
      <c r="A18" s="45" t="inlineStr">
        <is>
          <t>Fired</t>
        </is>
      </c>
      <c r="B18" s="46" t="inlineStr">
        <is>
          <t>Yes</t>
        </is>
      </c>
    </row>
    <row r="19">
      <c r="A19" s="45" t="inlineStr">
        <is>
          <t>Status</t>
        </is>
      </c>
      <c r="B19" s="46" t="inlineStr">
        <is>
          <t>landed_verified_tool_call</t>
        </is>
      </c>
    </row>
    <row r="20">
      <c r="A20" s="45" t="inlineStr">
        <is>
          <t>Scope</t>
        </is>
      </c>
      <c r="B20" s="46" t="inlineStr">
        <is>
          <t>pnl_path</t>
        </is>
      </c>
    </row>
    <row r="21">
      <c r="A21" s="45" t="inlineStr">
        <is>
          <t>Tool calls used</t>
        </is>
      </c>
      <c r="B21" s="46" t="inlineStr">
        <is>
          <t>1</t>
        </is>
      </c>
    </row>
    <row r="22">
      <c r="A22" s="45" t="inlineStr">
        <is>
          <t>Budget extension triggered</t>
        </is>
      </c>
      <c r="B22" s="46" t="inlineStr">
        <is>
          <t>False</t>
        </is>
      </c>
    </row>
    <row r="24" ht="22" customHeight="1">
      <c r="A24" s="43" t="inlineStr">
        <is>
          <t>Realism Check Detail</t>
        </is>
      </c>
      <c r="B24" s="44" t="n"/>
      <c r="C24" s="44" t="n"/>
    </row>
    <row r="25">
      <c r="A25" s="47" t="inlineStr">
        <is>
          <t>Metric Key</t>
        </is>
      </c>
      <c r="B25" s="48" t="inlineStr">
        <is>
          <t>Status</t>
        </is>
      </c>
    </row>
    <row r="26">
      <c r="A26" s="49" t="inlineStr">
        <is>
          <t>advertising_percent_of_revenue</t>
        </is>
      </c>
      <c r="B26" s="50" t="inlineStr">
        <is>
          <t>✓</t>
        </is>
      </c>
    </row>
    <row r="27">
      <c r="A27" s="51" t="inlineStr">
        <is>
          <t>ap_days_dpo</t>
        </is>
      </c>
      <c r="B27" s="52" t="inlineStr">
        <is>
          <t>✓</t>
        </is>
      </c>
    </row>
    <row r="28">
      <c r="A28" s="49" t="inlineStr">
        <is>
          <t>ar_days_dso</t>
        </is>
      </c>
      <c r="B28" s="50" t="inlineStr">
        <is>
          <t>✓</t>
        </is>
      </c>
    </row>
    <row r="29">
      <c r="A29" s="51" t="inlineStr">
        <is>
          <t>capex_percent_of_revenue</t>
        </is>
      </c>
      <c r="B29" s="52" t="inlineStr">
        <is>
          <t>✓</t>
        </is>
      </c>
    </row>
    <row r="30">
      <c r="A30" s="49" t="inlineStr">
        <is>
          <t>cogs_percent_of_revenue</t>
        </is>
      </c>
      <c r="B30" s="50" t="inlineStr">
        <is>
          <t>✓</t>
        </is>
      </c>
    </row>
    <row r="31">
      <c r="A31" s="51" t="inlineStr">
        <is>
          <t>current_assets_minus_cash</t>
        </is>
      </c>
      <c r="B31" s="52" t="inlineStr">
        <is>
          <t>✓</t>
        </is>
      </c>
    </row>
    <row r="32">
      <c r="A32" s="49" t="inlineStr">
        <is>
          <t>current_liabilities_to_revenue</t>
        </is>
      </c>
      <c r="B32" s="50" t="inlineStr">
        <is>
          <t>✓</t>
        </is>
      </c>
    </row>
    <row r="33">
      <c r="A33" s="51" t="inlineStr">
        <is>
          <t>current_ratio</t>
        </is>
      </c>
      <c r="B33" s="52" t="inlineStr">
        <is>
          <t>✓</t>
        </is>
      </c>
    </row>
    <row r="34">
      <c r="A34" s="49" t="inlineStr">
        <is>
          <t>debt_to_assets</t>
        </is>
      </c>
      <c r="B34" s="50" t="inlineStr">
        <is>
          <t>✓</t>
        </is>
      </c>
    </row>
    <row r="35">
      <c r="A35" s="51" t="inlineStr">
        <is>
          <t>debt_to_equity</t>
        </is>
      </c>
      <c r="B35" s="52" t="inlineStr">
        <is>
          <t>✓</t>
        </is>
      </c>
    </row>
    <row r="36">
      <c r="A36" s="49" t="inlineStr">
        <is>
          <t>deferred_revenue_percent_of_revenue</t>
        </is>
      </c>
      <c r="B36" s="50" t="inlineStr">
        <is>
          <t>✓</t>
        </is>
      </c>
    </row>
    <row r="37">
      <c r="A37" s="51" t="inlineStr">
        <is>
          <t>depreciation_percent_of_revenue</t>
        </is>
      </c>
      <c r="B37" s="52" t="inlineStr">
        <is>
          <t>✓</t>
        </is>
      </c>
    </row>
    <row r="38">
      <c r="A38" s="49" t="inlineStr">
        <is>
          <t>ebitda_margin</t>
        </is>
      </c>
      <c r="B38" s="50" t="inlineStr">
        <is>
          <t>✓</t>
        </is>
      </c>
    </row>
    <row r="39">
      <c r="A39" s="51" t="inlineStr">
        <is>
          <t>ebitda_margin_q20_holds_or_improves_vs_q11</t>
        </is>
      </c>
      <c r="B39" s="52" t="inlineStr">
        <is>
          <t>✓</t>
        </is>
      </c>
    </row>
    <row r="40">
      <c r="A40" s="49" t="inlineStr">
        <is>
          <t>ebitda_positive_by_q11</t>
        </is>
      </c>
      <c r="B40" s="50" t="inlineStr">
        <is>
          <t>✓</t>
        </is>
      </c>
    </row>
    <row r="41">
      <c r="A41" s="51" t="inlineStr">
        <is>
          <t>ebitda_recovery_trend_q5_q11</t>
        </is>
      </c>
      <c r="B41" s="52" t="inlineStr">
        <is>
          <t>✓</t>
        </is>
      </c>
    </row>
    <row r="42">
      <c r="A42" s="49" t="inlineStr">
        <is>
          <t>effective_tax_rate</t>
        </is>
      </c>
      <c r="B42" s="50" t="inlineStr">
        <is>
          <t>✓</t>
        </is>
      </c>
    </row>
    <row r="43">
      <c r="A43" s="51" t="inlineStr">
        <is>
          <t>fixed_cost_burden_reduced_or_scaled_by_q11</t>
        </is>
      </c>
      <c r="B43" s="52" t="inlineStr">
        <is>
          <t>✓</t>
        </is>
      </c>
    </row>
    <row r="44">
      <c r="A44" s="49" t="inlineStr">
        <is>
          <t>gross_margin_percent</t>
        </is>
      </c>
      <c r="B44" s="50" t="inlineStr">
        <is>
          <t>✓</t>
        </is>
      </c>
    </row>
    <row r="45">
      <c r="A45" s="51" t="inlineStr">
        <is>
          <t>gross_margin_supports_ebitda_recovery</t>
        </is>
      </c>
      <c r="B45" s="52" t="inlineStr">
        <is>
          <t>✓</t>
        </is>
      </c>
    </row>
    <row r="46">
      <c r="A46" s="49" t="inlineStr">
        <is>
          <t>inventory_days</t>
        </is>
      </c>
      <c r="B46" s="50" t="inlineStr">
        <is>
          <t>✓</t>
        </is>
      </c>
    </row>
    <row r="47">
      <c r="A47" s="51" t="inlineStr">
        <is>
          <t>loss_window_funded_through_q5</t>
        </is>
      </c>
      <c r="B47" s="52" t="inlineStr">
        <is>
          <t>✓</t>
        </is>
      </c>
    </row>
    <row r="48">
      <c r="A48" s="49" t="inlineStr">
        <is>
          <t>marketing_percent_of_revenue</t>
        </is>
      </c>
      <c r="B48" s="50" t="inlineStr">
        <is>
          <t>✓</t>
        </is>
      </c>
    </row>
    <row r="49">
      <c r="A49" s="51" t="inlineStr">
        <is>
          <t>net_income_margin</t>
        </is>
      </c>
      <c r="B49" s="52" t="inlineStr">
        <is>
          <t>✓</t>
        </is>
      </c>
    </row>
    <row r="50">
      <c r="A50" s="49" t="inlineStr">
        <is>
          <t>operating_cash_flow_margin</t>
        </is>
      </c>
      <c r="B50" s="50" t="inlineStr">
        <is>
          <t>✓</t>
        </is>
      </c>
    </row>
    <row r="51">
      <c r="A51" s="51" t="inlineStr">
        <is>
          <t>operating_margin_percent</t>
        </is>
      </c>
      <c r="B51" s="52" t="inlineStr">
        <is>
          <t>✓</t>
        </is>
      </c>
    </row>
    <row r="52">
      <c r="A52" s="49" t="inlineStr">
        <is>
          <t>payroll_percent_of_revenue</t>
        </is>
      </c>
      <c r="B52" s="50" t="inlineStr">
        <is>
          <t>✓</t>
        </is>
      </c>
    </row>
    <row r="53">
      <c r="A53" s="51" t="inlineStr">
        <is>
          <t>prepaid_expenses_percent_of_revenue</t>
        </is>
      </c>
      <c r="B53" s="52" t="inlineStr">
        <is>
          <t>✓</t>
        </is>
      </c>
    </row>
    <row r="54">
      <c r="A54" s="49" t="inlineStr">
        <is>
          <t>quick_ratio</t>
        </is>
      </c>
      <c r="B54" s="50" t="inlineStr">
        <is>
          <t>✓</t>
        </is>
      </c>
    </row>
    <row r="55">
      <c r="A55" s="51" t="inlineStr">
        <is>
          <t>r_and_d_percent_of_revenue</t>
        </is>
      </c>
      <c r="B55" s="52" t="inlineStr">
        <is>
          <t>✓</t>
        </is>
      </c>
    </row>
    <row r="56">
      <c r="A56" s="49" t="inlineStr">
        <is>
          <t>rent_percent_of_revenue</t>
        </is>
      </c>
      <c r="B56" s="50" t="inlineStr">
        <is>
          <t>✓</t>
        </is>
      </c>
    </row>
    <row r="57">
      <c r="A57" s="51" t="inlineStr">
        <is>
          <t>sga_percent_of_revenue</t>
        </is>
      </c>
      <c r="B57" s="52" t="inlineStr">
        <is>
          <t>✓</t>
        </is>
      </c>
    </row>
    <row r="58">
      <c r="A58" s="49" t="inlineStr">
        <is>
          <t>total_assets_to_revenue</t>
        </is>
      </c>
      <c r="B58" s="50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Business Plan Generator</dc:creator>
  <dc:title>Skyward Express Airlines Financial Model</dc:title>
  <dc:subject>Client financial model workbook</dc:subject>
  <dcterms:created xsi:type="dcterms:W3CDTF">2026-05-20T06:01:53Z</dcterms:created>
  <dcterms:modified xsi:type="dcterms:W3CDTF">2026-05-20T06:01:54Z</dcterms:modified>
</cp:coreProperties>
</file>