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Schedule'!$A$26:$N$106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shipment</t>
        </is>
      </c>
    </row>
    <row r="8">
      <c r="A8" s="8" t="inlineStr">
        <is>
          <t>Primary line of business / shipment - Capacity</t>
        </is>
      </c>
      <c r="B8" s="8" t="inlineStr">
        <is>
          <t>Source driver</t>
        </is>
      </c>
      <c r="C8" s="9" t="n">
        <v>3250000</v>
      </c>
      <c r="D8" s="9" t="n">
        <v>774000</v>
      </c>
      <c r="E8" s="9" t="n">
        <v>774000</v>
      </c>
      <c r="F8" s="9" t="n">
        <v>774000</v>
      </c>
      <c r="G8" s="9" t="n">
        <v>774000</v>
      </c>
      <c r="H8" s="9" t="n">
        <v>774000</v>
      </c>
      <c r="I8" s="9" t="n">
        <v>774000</v>
      </c>
      <c r="J8" s="9" t="n">
        <v>774000</v>
      </c>
      <c r="K8" s="9" t="n">
        <v>774000</v>
      </c>
      <c r="L8" s="9" t="n">
        <v>774000</v>
      </c>
      <c r="M8" s="9" t="n">
        <v>774000</v>
      </c>
      <c r="N8" s="9" t="n">
        <v>774000</v>
      </c>
      <c r="O8" s="9" t="n">
        <v>774000</v>
      </c>
      <c r="P8" s="9" t="n">
        <v>774000</v>
      </c>
      <c r="Q8" s="9" t="n">
        <v>774000</v>
      </c>
      <c r="R8" s="9" t="n">
        <v>774000</v>
      </c>
      <c r="S8" s="9" t="n">
        <v>774000</v>
      </c>
      <c r="T8" s="9" t="n">
        <v>774000</v>
      </c>
      <c r="U8" s="9" t="n">
        <v>774000</v>
      </c>
      <c r="V8" s="9" t="n">
        <v>774000</v>
      </c>
      <c r="W8" s="9" t="n">
        <v>774000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shipment - Unit Price</t>
        </is>
      </c>
      <c r="B9" s="8" t="inlineStr">
        <is>
          <t>Source driver</t>
        </is>
      </c>
      <c r="C9" s="11" t="n">
        <v>15</v>
      </c>
      <c r="D9" s="11" t="n">
        <v>13.5</v>
      </c>
      <c r="E9" s="11" t="n">
        <v>13.694174</v>
      </c>
      <c r="F9" s="11" t="n">
        <v>13.863213</v>
      </c>
      <c r="G9" s="11" t="n">
        <v>14.010369</v>
      </c>
      <c r="H9" s="11" t="n">
        <v>14.138476</v>
      </c>
      <c r="I9" s="11" t="n">
        <v>14.25</v>
      </c>
      <c r="J9" s="11" t="n">
        <v>14.347087</v>
      </c>
      <c r="K9" s="11" t="n">
        <v>14.431606</v>
      </c>
      <c r="L9" s="11" t="n">
        <v>14.505185</v>
      </c>
      <c r="M9" s="11" t="n">
        <v>14.569238</v>
      </c>
      <c r="N9" s="11" t="n">
        <v>14.625</v>
      </c>
      <c r="O9" s="11" t="n">
        <v>14.673544</v>
      </c>
      <c r="P9" s="11" t="n">
        <v>14.715803</v>
      </c>
      <c r="Q9" s="11" t="n">
        <v>14.752592</v>
      </c>
      <c r="R9" s="11" t="n">
        <v>14.784619</v>
      </c>
      <c r="S9" s="11" t="n">
        <v>14.8125</v>
      </c>
      <c r="T9" s="11" t="n">
        <v>14.836772</v>
      </c>
      <c r="U9" s="11" t="n">
        <v>14.857902</v>
      </c>
      <c r="V9" s="11" t="n">
        <v>14.876296</v>
      </c>
      <c r="W9" s="11" t="n">
        <v>14.89231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shipment - Utilization</t>
        </is>
      </c>
      <c r="B10" s="8" t="inlineStr">
        <is>
          <t>Source driver</t>
        </is>
      </c>
      <c r="C10" s="13" t="n">
        <v>0.8</v>
      </c>
      <c r="D10" s="13" t="n">
        <v>0.72004</v>
      </c>
      <c r="E10" s="13" t="n">
        <v>0.720089</v>
      </c>
      <c r="F10" s="13" t="n">
        <v>0.720198</v>
      </c>
      <c r="G10" s="13" t="n">
        <v>0.7204390000000001</v>
      </c>
      <c r="H10" s="13" t="n">
        <v>0.72097</v>
      </c>
      <c r="I10" s="13" t="n">
        <v>0.722128</v>
      </c>
      <c r="J10" s="13" t="n">
        <v>0.724586</v>
      </c>
      <c r="K10" s="13" t="n">
        <v>0.729536</v>
      </c>
      <c r="L10" s="13" t="n">
        <v>0.738518</v>
      </c>
      <c r="M10" s="13" t="n">
        <v>0.752105</v>
      </c>
      <c r="N10" s="13" t="n">
        <v>0.767895</v>
      </c>
      <c r="O10" s="13" t="n">
        <v>0.781482</v>
      </c>
      <c r="P10" s="13" t="n">
        <v>0.7904640000000001</v>
      </c>
      <c r="Q10" s="13" t="n">
        <v>0.795414</v>
      </c>
      <c r="R10" s="13" t="n">
        <v>0.797872</v>
      </c>
      <c r="S10" s="13" t="n">
        <v>0.79903</v>
      </c>
      <c r="T10" s="13" t="n">
        <v>0.799561</v>
      </c>
      <c r="U10" s="13" t="n">
        <v>0.799802</v>
      </c>
      <c r="V10" s="13" t="n">
        <v>0.799911</v>
      </c>
      <c r="W10" s="13" t="n">
        <v>0.79996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shipment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0.01</v>
      </c>
      <c r="E18" s="13" t="n">
        <v>0.01</v>
      </c>
      <c r="F18" s="13" t="n">
        <v>0.01</v>
      </c>
      <c r="G18" s="13" t="n">
        <v>0.01</v>
      </c>
      <c r="H18" s="13" t="n">
        <v>0.01</v>
      </c>
      <c r="I18" s="13" t="n">
        <v>0.01</v>
      </c>
      <c r="J18" s="13" t="n">
        <v>0.01</v>
      </c>
      <c r="K18" s="13" t="n">
        <v>0.01</v>
      </c>
      <c r="L18" s="13" t="n">
        <v>0.01</v>
      </c>
      <c r="M18" s="13" t="n">
        <v>0.01</v>
      </c>
      <c r="N18" s="13" t="n">
        <v>0.01</v>
      </c>
      <c r="O18" s="13" t="n">
        <v>0.01</v>
      </c>
      <c r="P18" s="13" t="n">
        <v>0.01</v>
      </c>
      <c r="Q18" s="13" t="n">
        <v>0.01</v>
      </c>
      <c r="R18" s="13" t="n">
        <v>0.01</v>
      </c>
      <c r="S18" s="13" t="n">
        <v>0.01</v>
      </c>
      <c r="T18" s="13" t="n">
        <v>0.01</v>
      </c>
      <c r="U18" s="13" t="n">
        <v>0.01</v>
      </c>
      <c r="V18" s="13" t="n">
        <v>0.01</v>
      </c>
      <c r="W18" s="13" t="n">
        <v>0.01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0.12</v>
      </c>
      <c r="E19" s="13" t="n">
        <v>0.12</v>
      </c>
      <c r="F19" s="13" t="n">
        <v>0.12</v>
      </c>
      <c r="G19" s="13" t="n">
        <v>0.12</v>
      </c>
      <c r="H19" s="13" t="n">
        <v>0.12</v>
      </c>
      <c r="I19" s="13" t="n">
        <v>0.12</v>
      </c>
      <c r="J19" s="13" t="n">
        <v>0.12</v>
      </c>
      <c r="K19" s="13" t="n">
        <v>0.12</v>
      </c>
      <c r="L19" s="13" t="n">
        <v>0.12</v>
      </c>
      <c r="M19" s="13" t="n">
        <v>0.12</v>
      </c>
      <c r="N19" s="13" t="n">
        <v>0.12</v>
      </c>
      <c r="O19" s="13" t="n">
        <v>0.12</v>
      </c>
      <c r="P19" s="13" t="n">
        <v>0.12</v>
      </c>
      <c r="Q19" s="13" t="n">
        <v>0.12</v>
      </c>
      <c r="R19" s="13" t="n">
        <v>0.12</v>
      </c>
      <c r="S19" s="13" t="n">
        <v>0.12</v>
      </c>
      <c r="T19" s="13" t="n">
        <v>0.12</v>
      </c>
      <c r="U19" s="13" t="n">
        <v>0.12</v>
      </c>
      <c r="V19" s="13" t="n">
        <v>0.12</v>
      </c>
      <c r="W19" s="13" t="n">
        <v>0.12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0.12</v>
      </c>
      <c r="E20" s="13" t="n">
        <v>0.12</v>
      </c>
      <c r="F20" s="13" t="n">
        <v>0.12</v>
      </c>
      <c r="G20" s="13" t="n">
        <v>0.12</v>
      </c>
      <c r="H20" s="13" t="n">
        <v>0.12</v>
      </c>
      <c r="I20" s="13" t="n">
        <v>0.12</v>
      </c>
      <c r="J20" s="13" t="n">
        <v>0.12</v>
      </c>
      <c r="K20" s="13" t="n">
        <v>0.12</v>
      </c>
      <c r="L20" s="13" t="n">
        <v>0.12</v>
      </c>
      <c r="M20" s="13" t="n">
        <v>0.12</v>
      </c>
      <c r="N20" s="13" t="n">
        <v>0.12</v>
      </c>
      <c r="O20" s="13" t="n">
        <v>0.12</v>
      </c>
      <c r="P20" s="13" t="n">
        <v>0.12</v>
      </c>
      <c r="Q20" s="13" t="n">
        <v>0.12</v>
      </c>
      <c r="R20" s="13" t="n">
        <v>0.12</v>
      </c>
      <c r="S20" s="13" t="n">
        <v>0.12</v>
      </c>
      <c r="T20" s="13" t="n">
        <v>0.12</v>
      </c>
      <c r="U20" s="13" t="n">
        <v>0.12</v>
      </c>
      <c r="V20" s="13" t="n">
        <v>0.12</v>
      </c>
      <c r="W20" s="13" t="n">
        <v>0.12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0.85</v>
      </c>
      <c r="E22" s="13" t="n">
        <v>0.85</v>
      </c>
      <c r="F22" s="13" t="n">
        <v>0.85</v>
      </c>
      <c r="G22" s="13" t="n">
        <v>0.85</v>
      </c>
      <c r="H22" s="13" t="n">
        <v>0.85</v>
      </c>
      <c r="I22" s="13" t="n">
        <v>0.85</v>
      </c>
      <c r="J22" s="13" t="n">
        <v>0.85</v>
      </c>
      <c r="K22" s="13" t="n">
        <v>0.85</v>
      </c>
      <c r="L22" s="13" t="n">
        <v>0.85</v>
      </c>
      <c r="M22" s="13" t="n">
        <v>0.85</v>
      </c>
      <c r="N22" s="13" t="n">
        <v>0.85</v>
      </c>
      <c r="O22" s="13" t="n">
        <v>0.85</v>
      </c>
      <c r="P22" s="13" t="n">
        <v>0.85</v>
      </c>
      <c r="Q22" s="13" t="n">
        <v>0.85</v>
      </c>
      <c r="R22" s="13" t="n">
        <v>0.85</v>
      </c>
      <c r="S22" s="13" t="n">
        <v>0.85</v>
      </c>
      <c r="T22" s="13" t="n">
        <v>0.85</v>
      </c>
      <c r="U22" s="13" t="n">
        <v>0.85</v>
      </c>
      <c r="V22" s="13" t="n">
        <v>0.85</v>
      </c>
      <c r="W22" s="13" t="n">
        <v>0.85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0.9</v>
      </c>
      <c r="E23" s="13" t="n">
        <v>0.9</v>
      </c>
      <c r="F23" s="13" t="n">
        <v>0.9</v>
      </c>
      <c r="G23" s="13" t="n">
        <v>0.9</v>
      </c>
      <c r="H23" s="13" t="n">
        <v>0.9</v>
      </c>
      <c r="I23" s="13" t="n">
        <v>0.9</v>
      </c>
      <c r="J23" s="13" t="n">
        <v>0.9</v>
      </c>
      <c r="K23" s="13" t="n">
        <v>0.9</v>
      </c>
      <c r="L23" s="13" t="n">
        <v>0.9</v>
      </c>
      <c r="M23" s="13" t="n">
        <v>0.9</v>
      </c>
      <c r="N23" s="13" t="n">
        <v>0.9</v>
      </c>
      <c r="O23" s="13" t="n">
        <v>0.9</v>
      </c>
      <c r="P23" s="13" t="n">
        <v>0.9</v>
      </c>
      <c r="Q23" s="13" t="n">
        <v>0.9</v>
      </c>
      <c r="R23" s="13" t="n">
        <v>0.9</v>
      </c>
      <c r="S23" s="13" t="n">
        <v>0.9</v>
      </c>
      <c r="T23" s="13" t="n">
        <v>0.9</v>
      </c>
      <c r="U23" s="13" t="n">
        <v>0.9</v>
      </c>
      <c r="V23" s="13" t="n">
        <v>0.9</v>
      </c>
      <c r="W23" s="13" t="n">
        <v>0.9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0.23</v>
      </c>
      <c r="E24" s="13" t="n">
        <v>0.23</v>
      </c>
      <c r="F24" s="13" t="n">
        <v>0.23</v>
      </c>
      <c r="G24" s="13" t="n">
        <v>0.23</v>
      </c>
      <c r="H24" s="13" t="n">
        <v>0.23</v>
      </c>
      <c r="I24" s="13" t="n">
        <v>0.23</v>
      </c>
      <c r="J24" s="13" t="n">
        <v>0.23</v>
      </c>
      <c r="K24" s="13" t="n">
        <v>0.23</v>
      </c>
      <c r="L24" s="13" t="n">
        <v>0.23</v>
      </c>
      <c r="M24" s="13" t="n">
        <v>0.23</v>
      </c>
      <c r="N24" s="13" t="n">
        <v>0.23</v>
      </c>
      <c r="O24" s="13" t="n">
        <v>0.23</v>
      </c>
      <c r="P24" s="13" t="n">
        <v>0.23</v>
      </c>
      <c r="Q24" s="13" t="n">
        <v>0.23</v>
      </c>
      <c r="R24" s="13" t="n">
        <v>0.23</v>
      </c>
      <c r="S24" s="13" t="n">
        <v>0.23</v>
      </c>
      <c r="T24" s="13" t="n">
        <v>0.23</v>
      </c>
      <c r="U24" s="13" t="n">
        <v>0.23</v>
      </c>
      <c r="V24" s="13" t="n">
        <v>0.23</v>
      </c>
      <c r="W24" s="13" t="n">
        <v>0.23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0.03</v>
      </c>
      <c r="E25" s="13" t="n">
        <v>0.03</v>
      </c>
      <c r="F25" s="13" t="n">
        <v>0.03</v>
      </c>
      <c r="G25" s="13" t="n">
        <v>0.03</v>
      </c>
      <c r="H25" s="13" t="n">
        <v>0.03</v>
      </c>
      <c r="I25" s="13" t="n">
        <v>0.03</v>
      </c>
      <c r="J25" s="13" t="n">
        <v>0.03</v>
      </c>
      <c r="K25" s="13" t="n">
        <v>0.03</v>
      </c>
      <c r="L25" s="13" t="n">
        <v>0.03</v>
      </c>
      <c r="M25" s="13" t="n">
        <v>0.03</v>
      </c>
      <c r="N25" s="13" t="n">
        <v>0.03</v>
      </c>
      <c r="O25" s="13" t="n">
        <v>0.03</v>
      </c>
      <c r="P25" s="13" t="n">
        <v>0.03</v>
      </c>
      <c r="Q25" s="13" t="n">
        <v>0.03</v>
      </c>
      <c r="R25" s="13" t="n">
        <v>0.03</v>
      </c>
      <c r="S25" s="13" t="n">
        <v>0.03</v>
      </c>
      <c r="T25" s="13" t="n">
        <v>0.03</v>
      </c>
      <c r="U25" s="13" t="n">
        <v>0.03</v>
      </c>
      <c r="V25" s="13" t="n">
        <v>0.03</v>
      </c>
      <c r="W25" s="13" t="n">
        <v>0.03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0.23</v>
      </c>
      <c r="E26" s="13" t="n">
        <v>0.23</v>
      </c>
      <c r="F26" s="13" t="n">
        <v>0.23</v>
      </c>
      <c r="G26" s="13" t="n">
        <v>0.23</v>
      </c>
      <c r="H26" s="13" t="n">
        <v>0.23</v>
      </c>
      <c r="I26" s="13" t="n">
        <v>0.23</v>
      </c>
      <c r="J26" s="13" t="n">
        <v>0.23</v>
      </c>
      <c r="K26" s="13" t="n">
        <v>0.23</v>
      </c>
      <c r="L26" s="13" t="n">
        <v>0.23</v>
      </c>
      <c r="M26" s="13" t="n">
        <v>0.23</v>
      </c>
      <c r="N26" s="13" t="n">
        <v>0.23</v>
      </c>
      <c r="O26" s="13" t="n">
        <v>0.23</v>
      </c>
      <c r="P26" s="13" t="n">
        <v>0.23</v>
      </c>
      <c r="Q26" s="13" t="n">
        <v>0.23</v>
      </c>
      <c r="R26" s="13" t="n">
        <v>0.23</v>
      </c>
      <c r="S26" s="13" t="n">
        <v>0.23</v>
      </c>
      <c r="T26" s="13" t="n">
        <v>0.23</v>
      </c>
      <c r="U26" s="13" t="n">
        <v>0.23</v>
      </c>
      <c r="V26" s="13" t="n">
        <v>0.23</v>
      </c>
      <c r="W26" s="13" t="n">
        <v>0.23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0.11</v>
      </c>
      <c r="E27" s="13" t="n">
        <v>0.11</v>
      </c>
      <c r="F27" s="13" t="n">
        <v>0.11</v>
      </c>
      <c r="G27" s="13" t="n">
        <v>0.11</v>
      </c>
      <c r="H27" s="13" t="n">
        <v>0.11</v>
      </c>
      <c r="I27" s="13" t="n">
        <v>0.11</v>
      </c>
      <c r="J27" s="13" t="n">
        <v>0.11</v>
      </c>
      <c r="K27" s="13" t="n">
        <v>0.11</v>
      </c>
      <c r="L27" s="13" t="n">
        <v>0.11</v>
      </c>
      <c r="M27" s="13" t="n">
        <v>0.11</v>
      </c>
      <c r="N27" s="13" t="n">
        <v>0.11</v>
      </c>
      <c r="O27" s="13" t="n">
        <v>0.11</v>
      </c>
      <c r="P27" s="13" t="n">
        <v>0.11</v>
      </c>
      <c r="Q27" s="13" t="n">
        <v>0.11</v>
      </c>
      <c r="R27" s="13" t="n">
        <v>0.11</v>
      </c>
      <c r="S27" s="13" t="n">
        <v>0.11</v>
      </c>
      <c r="T27" s="13" t="n">
        <v>0.11</v>
      </c>
      <c r="U27" s="13" t="n">
        <v>0.11</v>
      </c>
      <c r="V27" s="13" t="n">
        <v>0.11</v>
      </c>
      <c r="W27" s="13" t="n">
        <v>0.11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medium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1.25</v>
      </c>
    </row>
    <row r="11">
      <c r="A11" t="inlineStr">
        <is>
          <t>Capacity Units per Supporting FTE</t>
        </is>
      </c>
      <c r="B11" t="n">
        <v>18000</v>
      </c>
    </row>
    <row r="12">
      <c r="A12" t="inlineStr">
        <is>
          <t>Target Payroll % of Revenue</t>
        </is>
      </c>
      <c r="B12" t="n">
        <v>0.32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SUMIFS($G$27:$G$106,$A$27:$A$106,0)</f>
        <v/>
      </c>
      <c r="D15" s="23">
        <f>SUMIFS($G$27:$G$106,$A$27:$A$106,1)</f>
        <v/>
      </c>
      <c r="E15" s="23">
        <f>SUMIFS($G$27:$G$106,$A$27:$A$106,2)</f>
        <v/>
      </c>
      <c r="F15" s="23">
        <f>SUMIFS($G$27:$G$106,$A$27:$A$106,3)</f>
        <v/>
      </c>
      <c r="G15" s="23">
        <f>SUMIFS($G$27:$G$106,$A$27:$A$106,4)</f>
        <v/>
      </c>
      <c r="H15" s="23">
        <f>SUMIFS($G$27:$G$106,$A$27:$A$106,5)</f>
        <v/>
      </c>
      <c r="I15" s="23">
        <f>SUMIFS($G$27:$G$106,$A$27:$A$106,6)</f>
        <v/>
      </c>
      <c r="J15" s="23">
        <f>SUMIFS($G$27:$G$106,$A$27:$A$106,7)</f>
        <v/>
      </c>
      <c r="K15" s="23">
        <f>SUMIFS($G$27:$G$106,$A$27:$A$106,8)</f>
        <v/>
      </c>
      <c r="L15" s="23">
        <f>SUMIFS($G$27:$G$106,$A$27:$A$106,9)</f>
        <v/>
      </c>
      <c r="M15" s="23">
        <f>SUMIFS($G$27:$G$106,$A$27:$A$106,10)</f>
        <v/>
      </c>
      <c r="N15" s="23">
        <f>SUMIFS($G$27:$G$106,$A$27:$A$106,11)</f>
        <v/>
      </c>
      <c r="O15" s="23">
        <f>SUMIFS($G$27:$G$106,$A$27:$A$106,12)</f>
        <v/>
      </c>
      <c r="P15" s="23">
        <f>SUMIFS($G$27:$G$106,$A$27:$A$106,13)</f>
        <v/>
      </c>
      <c r="Q15" s="23">
        <f>SUMIFS($G$27:$G$106,$A$27:$A$106,14)</f>
        <v/>
      </c>
      <c r="R15" s="23">
        <f>SUMIFS($G$27:$G$106,$A$27:$A$106,15)</f>
        <v/>
      </c>
      <c r="S15" s="23">
        <f>SUMIFS($G$27:$G$106,$A$27:$A$106,16)</f>
        <v/>
      </c>
      <c r="T15" s="23">
        <f>SUMIFS($G$27:$G$106,$A$27:$A$106,17)</f>
        <v/>
      </c>
      <c r="U15" s="23">
        <f>SUMIFS($G$27:$G$106,$A$27:$A$106,18)</f>
        <v/>
      </c>
      <c r="V15" s="23">
        <f>SUMIFS($G$27:$G$106,$A$27:$A$106,19)</f>
        <v/>
      </c>
      <c r="W15" s="23">
        <f>SUMIFS($G$27:$G$106,$A$27:$A$106,20)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SUMIFS($H$27:$H$106,$A$27:$A$106,0)</f>
        <v/>
      </c>
      <c r="D16" s="23">
        <f>SUMIFS($H$27:$H$106,$A$27:$A$106,1)</f>
        <v/>
      </c>
      <c r="E16" s="23">
        <f>SUMIFS($H$27:$H$106,$A$27:$A$106,2)</f>
        <v/>
      </c>
      <c r="F16" s="23">
        <f>SUMIFS($H$27:$H$106,$A$27:$A$106,3)</f>
        <v/>
      </c>
      <c r="G16" s="23">
        <f>SUMIFS($H$27:$H$106,$A$27:$A$106,4)</f>
        <v/>
      </c>
      <c r="H16" s="23">
        <f>SUMIFS($H$27:$H$106,$A$27:$A$106,5)</f>
        <v/>
      </c>
      <c r="I16" s="23">
        <f>SUMIFS($H$27:$H$106,$A$27:$A$106,6)</f>
        <v/>
      </c>
      <c r="J16" s="23">
        <f>SUMIFS($H$27:$H$106,$A$27:$A$106,7)</f>
        <v/>
      </c>
      <c r="K16" s="23">
        <f>SUMIFS($H$27:$H$106,$A$27:$A$106,8)</f>
        <v/>
      </c>
      <c r="L16" s="23">
        <f>SUMIFS($H$27:$H$106,$A$27:$A$106,9)</f>
        <v/>
      </c>
      <c r="M16" s="23">
        <f>SUMIFS($H$27:$H$106,$A$27:$A$106,10)</f>
        <v/>
      </c>
      <c r="N16" s="23">
        <f>SUMIFS($H$27:$H$106,$A$27:$A$106,11)</f>
        <v/>
      </c>
      <c r="O16" s="23">
        <f>SUMIFS($H$27:$H$106,$A$27:$A$106,12)</f>
        <v/>
      </c>
      <c r="P16" s="23">
        <f>SUMIFS($H$27:$H$106,$A$27:$A$106,13)</f>
        <v/>
      </c>
      <c r="Q16" s="23">
        <f>SUMIFS($H$27:$H$106,$A$27:$A$106,14)</f>
        <v/>
      </c>
      <c r="R16" s="23">
        <f>SUMIFS($H$27:$H$106,$A$27:$A$106,15)</f>
        <v/>
      </c>
      <c r="S16" s="23">
        <f>SUMIFS($H$27:$H$106,$A$27:$A$106,16)</f>
        <v/>
      </c>
      <c r="T16" s="23">
        <f>SUMIFS($H$27:$H$106,$A$27:$A$106,17)</f>
        <v/>
      </c>
      <c r="U16" s="23">
        <f>SUMIFS($H$27:$H$106,$A$27:$A$106,18)</f>
        <v/>
      </c>
      <c r="V16" s="23">
        <f>SUMIFS($H$27:$H$106,$A$27:$A$106,19)</f>
        <v/>
      </c>
      <c r="W16" s="23">
        <f>SUMIFS($H$27:$H$106,$A$27:$A$106,20)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SUMIFS($M$27:$M$106,$A$27:$A$106,0)</f>
        <v/>
      </c>
      <c r="D17" s="25">
        <f>SUMIFS($M$27:$M$106,$A$27:$A$106,1)</f>
        <v/>
      </c>
      <c r="E17" s="25">
        <f>SUMIFS($M$27:$M$106,$A$27:$A$106,2)</f>
        <v/>
      </c>
      <c r="F17" s="25">
        <f>SUMIFS($M$27:$M$106,$A$27:$A$106,3)</f>
        <v/>
      </c>
      <c r="G17" s="25">
        <f>SUMIFS($M$27:$M$106,$A$27:$A$106,4)</f>
        <v/>
      </c>
      <c r="H17" s="25">
        <f>SUMIFS($M$27:$M$106,$A$27:$A$106,5)</f>
        <v/>
      </c>
      <c r="I17" s="25">
        <f>SUMIFS($M$27:$M$106,$A$27:$A$106,6)</f>
        <v/>
      </c>
      <c r="J17" s="25">
        <f>SUMIFS($M$27:$M$106,$A$27:$A$106,7)</f>
        <v/>
      </c>
      <c r="K17" s="25">
        <f>SUMIFS($M$27:$M$106,$A$27:$A$106,8)</f>
        <v/>
      </c>
      <c r="L17" s="25">
        <f>SUMIFS($M$27:$M$106,$A$27:$A$106,9)</f>
        <v/>
      </c>
      <c r="M17" s="25">
        <f>SUMIFS($M$27:$M$106,$A$27:$A$106,10)</f>
        <v/>
      </c>
      <c r="N17" s="25">
        <f>SUMIFS($M$27:$M$106,$A$27:$A$106,11)</f>
        <v/>
      </c>
      <c r="O17" s="25">
        <f>SUMIFS($M$27:$M$106,$A$27:$A$106,12)</f>
        <v/>
      </c>
      <c r="P17" s="25">
        <f>SUMIFS($M$27:$M$106,$A$27:$A$106,13)</f>
        <v/>
      </c>
      <c r="Q17" s="25">
        <f>SUMIFS($M$27:$M$106,$A$27:$A$106,14)</f>
        <v/>
      </c>
      <c r="R17" s="25">
        <f>SUMIFS($M$27:$M$106,$A$27:$A$106,15)</f>
        <v/>
      </c>
      <c r="S17" s="25">
        <f>SUMIFS($M$27:$M$106,$A$27:$A$106,16)</f>
        <v/>
      </c>
      <c r="T17" s="25">
        <f>SUMIFS($M$27:$M$106,$A$27:$A$106,17)</f>
        <v/>
      </c>
      <c r="U17" s="25">
        <f>SUMIFS($M$27:$M$106,$A$27:$A$106,18)</f>
        <v/>
      </c>
      <c r="V17" s="25">
        <f>SUMIFS($M$27:$M$106,$A$27:$A$106,19)</f>
        <v/>
      </c>
      <c r="W17" s="25">
        <f>SUMIFS($M$27:$M$106,$A$27:$A$106,20)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Chief Executive Officer (CEO)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158000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gpt_estimate</t>
        </is>
      </c>
    </row>
    <row r="28">
      <c r="A28" t="n">
        <v>2</v>
      </c>
      <c r="B28" t="inlineStr">
        <is>
          <t>key_person</t>
        </is>
      </c>
      <c r="C28" t="inlineStr">
        <is>
          <t>Chief Executive Officer (CEO)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158000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gpt_estimate</t>
        </is>
      </c>
    </row>
    <row r="29">
      <c r="A29" t="n">
        <v>3</v>
      </c>
      <c r="B29" t="inlineStr">
        <is>
          <t>key_person</t>
        </is>
      </c>
      <c r="C29" t="inlineStr">
        <is>
          <t>Chief Executive Officer (CEO)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158000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gpt_estimate</t>
        </is>
      </c>
    </row>
    <row r="30">
      <c r="A30" t="n">
        <v>4</v>
      </c>
      <c r="B30" t="inlineStr">
        <is>
          <t>key_person</t>
        </is>
      </c>
      <c r="C30" t="inlineStr">
        <is>
          <t>Chief Executive Officer (CEO)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158000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gpt_estimate</t>
        </is>
      </c>
    </row>
    <row r="31">
      <c r="A31" t="n">
        <v>5</v>
      </c>
      <c r="B31" t="inlineStr">
        <is>
          <t>key_person</t>
        </is>
      </c>
      <c r="C31" t="inlineStr">
        <is>
          <t>Chief Executive Officer (CEO)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162740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gpt_estimate</t>
        </is>
      </c>
    </row>
    <row r="32">
      <c r="A32" t="n">
        <v>6</v>
      </c>
      <c r="B32" t="inlineStr">
        <is>
          <t>key_person</t>
        </is>
      </c>
      <c r="C32" t="inlineStr">
        <is>
          <t>Chief Executive Officer (CEO)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162740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gpt_estimate</t>
        </is>
      </c>
    </row>
    <row r="33">
      <c r="A33" t="n">
        <v>7</v>
      </c>
      <c r="B33" t="inlineStr">
        <is>
          <t>key_person</t>
        </is>
      </c>
      <c r="C33" t="inlineStr">
        <is>
          <t>Chief Executive Officer (CEO)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162740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gpt_estimate</t>
        </is>
      </c>
    </row>
    <row r="34">
      <c r="A34" t="n">
        <v>8</v>
      </c>
      <c r="B34" t="inlineStr">
        <is>
          <t>key_person</t>
        </is>
      </c>
      <c r="C34" t="inlineStr">
        <is>
          <t>Chief Executive Officer (CEO)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162740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gpt_estimate</t>
        </is>
      </c>
    </row>
    <row r="35">
      <c r="A35" t="n">
        <v>9</v>
      </c>
      <c r="B35" t="inlineStr">
        <is>
          <t>key_person</t>
        </is>
      </c>
      <c r="C35" t="inlineStr">
        <is>
          <t>Chief Executive Officer (CEO)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167622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gpt_estimate</t>
        </is>
      </c>
    </row>
    <row r="36">
      <c r="A36" t="n">
        <v>10</v>
      </c>
      <c r="B36" t="inlineStr">
        <is>
          <t>key_person</t>
        </is>
      </c>
      <c r="C36" t="inlineStr">
        <is>
          <t>Chief Executive Officer (CEO)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167622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gpt_estimate</t>
        </is>
      </c>
    </row>
    <row r="37">
      <c r="A37" t="n">
        <v>11</v>
      </c>
      <c r="B37" t="inlineStr">
        <is>
          <t>key_person</t>
        </is>
      </c>
      <c r="C37" t="inlineStr">
        <is>
          <t>Chief Executive Officer (CEO)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167622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gpt_estimate</t>
        </is>
      </c>
    </row>
    <row r="38">
      <c r="A38" t="n">
        <v>12</v>
      </c>
      <c r="B38" t="inlineStr">
        <is>
          <t>key_person</t>
        </is>
      </c>
      <c r="C38" t="inlineStr">
        <is>
          <t>Chief Executive Officer (CEO)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167622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gpt_estimate</t>
        </is>
      </c>
    </row>
    <row r="39">
      <c r="A39" t="n">
        <v>13</v>
      </c>
      <c r="B39" t="inlineStr">
        <is>
          <t>key_person</t>
        </is>
      </c>
      <c r="C39" t="inlineStr">
        <is>
          <t>Chief Executive Officer (CEO)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172651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gpt_estimate</t>
        </is>
      </c>
    </row>
    <row r="40">
      <c r="A40" t="n">
        <v>14</v>
      </c>
      <c r="B40" t="inlineStr">
        <is>
          <t>key_person</t>
        </is>
      </c>
      <c r="C40" t="inlineStr">
        <is>
          <t>Chief Executive Officer (CEO)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172651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gpt_estimate</t>
        </is>
      </c>
    </row>
    <row r="41">
      <c r="A41" t="n">
        <v>15</v>
      </c>
      <c r="B41" t="inlineStr">
        <is>
          <t>key_person</t>
        </is>
      </c>
      <c r="C41" t="inlineStr">
        <is>
          <t>Chief Executive Officer (CEO)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172651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gpt_estimate</t>
        </is>
      </c>
    </row>
    <row r="42">
      <c r="A42" t="n">
        <v>16</v>
      </c>
      <c r="B42" t="inlineStr">
        <is>
          <t>key_person</t>
        </is>
      </c>
      <c r="C42" t="inlineStr">
        <is>
          <t>Chief Executive Officer (CEO)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172651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gpt_estimate</t>
        </is>
      </c>
    </row>
    <row r="43">
      <c r="A43" t="n">
        <v>17</v>
      </c>
      <c r="B43" t="inlineStr">
        <is>
          <t>key_person</t>
        </is>
      </c>
      <c r="C43" t="inlineStr">
        <is>
          <t>Chief Executive Officer (CEO)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177830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gpt_estimate</t>
        </is>
      </c>
    </row>
    <row r="44">
      <c r="A44" t="n">
        <v>18</v>
      </c>
      <c r="B44" t="inlineStr">
        <is>
          <t>key_person</t>
        </is>
      </c>
      <c r="C44" t="inlineStr">
        <is>
          <t>Chief Executive Officer (CEO)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177830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gpt_estimate</t>
        </is>
      </c>
    </row>
    <row r="45">
      <c r="A45" t="n">
        <v>19</v>
      </c>
      <c r="B45" t="inlineStr">
        <is>
          <t>key_person</t>
        </is>
      </c>
      <c r="C45" t="inlineStr">
        <is>
          <t>Chief Executive Officer (CEO)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177830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gpt_estimate</t>
        </is>
      </c>
    </row>
    <row r="46">
      <c r="A46" t="n">
        <v>20</v>
      </c>
      <c r="B46" t="inlineStr">
        <is>
          <t>key_person</t>
        </is>
      </c>
      <c r="C46" t="inlineStr">
        <is>
          <t>Chief Executive Officer (CEO)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177830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gpt_estimate</t>
        </is>
      </c>
    </row>
    <row r="47">
      <c r="A47" t="n">
        <v>1</v>
      </c>
      <c r="B47" t="inlineStr">
        <is>
          <t>key_person</t>
        </is>
      </c>
      <c r="C47" t="inlineStr">
        <is>
          <t>Chief Operating Officer (COO)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98800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Chief Operating Officer (COO)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98800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Chief Operating Officer (COO)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98800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Chief Operating Officer (COO)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98800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Chief Operating Officer (COO)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101764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Chief Operating Officer (COO)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101764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Chief Operating Officer (COO)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101764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Chief Operating Officer (COO)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101764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Chief Operating Officer (COO)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104817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Chief Operating Officer (COO)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104817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Chief Operating Officer (COO)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104817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Chief Operating Officer (COO)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104817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Chief Operating Officer (COO)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107961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Chief Operating Officer (COO)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107961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Chief Operating Officer (COO)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107961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Chief Operating Officer (COO)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107961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Chief Operating Officer (COO)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111200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Chief Operating Officer (COO)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111200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Chief Operating Officer (COO)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111200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Chief Operating Officer (COO)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111200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key_person</t>
        </is>
      </c>
      <c r="C67" t="inlineStr">
        <is>
          <t>Chief Financial Officer (CFO)</t>
        </is>
      </c>
      <c r="D67" t="inlineStr">
        <is>
          <t>Financial Managers</t>
        </is>
      </c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142810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oews_key_person:oews_median</t>
        </is>
      </c>
    </row>
    <row r="68">
      <c r="A68" t="n">
        <v>2</v>
      </c>
      <c r="B68" t="inlineStr">
        <is>
          <t>key_person</t>
        </is>
      </c>
      <c r="C68" t="inlineStr">
        <is>
          <t>Chief Financial Officer (CFO)</t>
        </is>
      </c>
      <c r="D68" t="inlineStr">
        <is>
          <t>Financial Managers</t>
        </is>
      </c>
      <c r="E68" s="29" t="n">
        <v>1</v>
      </c>
      <c r="F68" s="29" t="n">
        <v>0</v>
      </c>
      <c r="G68" s="30">
        <f>E68+F68</f>
        <v/>
      </c>
      <c r="H68" s="30">
        <f>(E68+G68)/2</f>
        <v/>
      </c>
      <c r="I68" s="31" t="n">
        <v>142810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oews_key_person:oews_median</t>
        </is>
      </c>
    </row>
    <row r="69">
      <c r="A69" t="n">
        <v>3</v>
      </c>
      <c r="B69" t="inlineStr">
        <is>
          <t>key_person</t>
        </is>
      </c>
      <c r="C69" t="inlineStr">
        <is>
          <t>Chief Financial Officer (CFO)</t>
        </is>
      </c>
      <c r="D69" t="inlineStr">
        <is>
          <t>Financial Managers</t>
        </is>
      </c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142810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oews_key_person:oews_median</t>
        </is>
      </c>
    </row>
    <row r="70">
      <c r="A70" t="n">
        <v>4</v>
      </c>
      <c r="B70" t="inlineStr">
        <is>
          <t>key_person</t>
        </is>
      </c>
      <c r="C70" t="inlineStr">
        <is>
          <t>Chief Financial Officer (CFO)</t>
        </is>
      </c>
      <c r="D70" t="inlineStr">
        <is>
          <t>Financial Managers</t>
        </is>
      </c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142810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oews_key_person:oews_median</t>
        </is>
      </c>
    </row>
    <row r="71">
      <c r="A71" t="n">
        <v>5</v>
      </c>
      <c r="B71" t="inlineStr">
        <is>
          <t>key_person</t>
        </is>
      </c>
      <c r="C71" t="inlineStr">
        <is>
          <t>Chief Financial Officer (CFO)</t>
        </is>
      </c>
      <c r="D71" t="inlineStr">
        <is>
          <t>Financial Managers</t>
        </is>
      </c>
      <c r="E71" s="29" t="n">
        <v>1</v>
      </c>
      <c r="F71" s="29" t="n">
        <v>0</v>
      </c>
      <c r="G71" s="30">
        <f>E71+F71</f>
        <v/>
      </c>
      <c r="H71" s="30">
        <f>(E71+G71)/2</f>
        <v/>
      </c>
      <c r="I71" s="31" t="n">
        <v>147094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oews_key_person:oews_median</t>
        </is>
      </c>
    </row>
    <row r="72">
      <c r="A72" t="n">
        <v>6</v>
      </c>
      <c r="B72" t="inlineStr">
        <is>
          <t>key_person</t>
        </is>
      </c>
      <c r="C72" t="inlineStr">
        <is>
          <t>Chief Financial Officer (CFO)</t>
        </is>
      </c>
      <c r="D72" t="inlineStr">
        <is>
          <t>Financial Managers</t>
        </is>
      </c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147094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oews_key_person:oews_median</t>
        </is>
      </c>
    </row>
    <row r="73">
      <c r="A73" t="n">
        <v>7</v>
      </c>
      <c r="B73" t="inlineStr">
        <is>
          <t>key_person</t>
        </is>
      </c>
      <c r="C73" t="inlineStr">
        <is>
          <t>Chief Financial Officer (CFO)</t>
        </is>
      </c>
      <c r="D73" t="inlineStr">
        <is>
          <t>Financial Managers</t>
        </is>
      </c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147094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oews_key_person:oews_median</t>
        </is>
      </c>
    </row>
    <row r="74">
      <c r="A74" t="n">
        <v>8</v>
      </c>
      <c r="B74" t="inlineStr">
        <is>
          <t>key_person</t>
        </is>
      </c>
      <c r="C74" t="inlineStr">
        <is>
          <t>Chief Financial Officer (CFO)</t>
        </is>
      </c>
      <c r="D74" t="inlineStr">
        <is>
          <t>Financial Managers</t>
        </is>
      </c>
      <c r="E74" s="29" t="n">
        <v>1</v>
      </c>
      <c r="F74" s="29" t="n">
        <v>0</v>
      </c>
      <c r="G74" s="30">
        <f>E74+F74</f>
        <v/>
      </c>
      <c r="H74" s="30">
        <f>(E74+G74)/2</f>
        <v/>
      </c>
      <c r="I74" s="31" t="n">
        <v>147094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oews_key_person:oews_median</t>
        </is>
      </c>
    </row>
    <row r="75">
      <c r="A75" t="n">
        <v>9</v>
      </c>
      <c r="B75" t="inlineStr">
        <is>
          <t>key_person</t>
        </is>
      </c>
      <c r="C75" t="inlineStr">
        <is>
          <t>Chief Financial Officer (CFO)</t>
        </is>
      </c>
      <c r="D75" t="inlineStr">
        <is>
          <t>Financial Managers</t>
        </is>
      </c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151507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oews_key_person:oews_median</t>
        </is>
      </c>
    </row>
    <row r="76">
      <c r="A76" t="n">
        <v>10</v>
      </c>
      <c r="B76" t="inlineStr">
        <is>
          <t>key_person</t>
        </is>
      </c>
      <c r="C76" t="inlineStr">
        <is>
          <t>Chief Financial Officer (CFO)</t>
        </is>
      </c>
      <c r="D76" t="inlineStr">
        <is>
          <t>Financial Managers</t>
        </is>
      </c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151507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oews_key_person:oews_median</t>
        </is>
      </c>
    </row>
    <row r="77">
      <c r="A77" t="n">
        <v>11</v>
      </c>
      <c r="B77" t="inlineStr">
        <is>
          <t>key_person</t>
        </is>
      </c>
      <c r="C77" t="inlineStr">
        <is>
          <t>Chief Financial Officer (CFO)</t>
        </is>
      </c>
      <c r="D77" t="inlineStr">
        <is>
          <t>Financial Managers</t>
        </is>
      </c>
      <c r="E77" s="29" t="n">
        <v>1</v>
      </c>
      <c r="F77" s="29" t="n">
        <v>0</v>
      </c>
      <c r="G77" s="30">
        <f>E77+F77</f>
        <v/>
      </c>
      <c r="H77" s="30">
        <f>(E77+G77)/2</f>
        <v/>
      </c>
      <c r="I77" s="31" t="n">
        <v>151507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oews_key_person:oews_median</t>
        </is>
      </c>
    </row>
    <row r="78">
      <c r="A78" t="n">
        <v>12</v>
      </c>
      <c r="B78" t="inlineStr">
        <is>
          <t>key_person</t>
        </is>
      </c>
      <c r="C78" t="inlineStr">
        <is>
          <t>Chief Financial Officer (CFO)</t>
        </is>
      </c>
      <c r="D78" t="inlineStr">
        <is>
          <t>Financial Managers</t>
        </is>
      </c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151507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oews_key_person:oews_median</t>
        </is>
      </c>
    </row>
    <row r="79">
      <c r="A79" t="n">
        <v>13</v>
      </c>
      <c r="B79" t="inlineStr">
        <is>
          <t>key_person</t>
        </is>
      </c>
      <c r="C79" t="inlineStr">
        <is>
          <t>Chief Financial Officer (CFO)</t>
        </is>
      </c>
      <c r="D79" t="inlineStr">
        <is>
          <t>Financial Managers</t>
        </is>
      </c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156052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oews_key_person:oews_median</t>
        </is>
      </c>
    </row>
    <row r="80">
      <c r="A80" t="n">
        <v>14</v>
      </c>
      <c r="B80" t="inlineStr">
        <is>
          <t>key_person</t>
        </is>
      </c>
      <c r="C80" t="inlineStr">
        <is>
          <t>Chief Financial Officer (CFO)</t>
        </is>
      </c>
      <c r="D80" t="inlineStr">
        <is>
          <t>Financial Managers</t>
        </is>
      </c>
      <c r="E80" s="29" t="n">
        <v>1</v>
      </c>
      <c r="F80" s="29" t="n">
        <v>0</v>
      </c>
      <c r="G80" s="30">
        <f>E80+F80</f>
        <v/>
      </c>
      <c r="H80" s="30">
        <f>(E80+G80)/2</f>
        <v/>
      </c>
      <c r="I80" s="31" t="n">
        <v>156052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oews_key_person:oews_median</t>
        </is>
      </c>
    </row>
    <row r="81">
      <c r="A81" t="n">
        <v>15</v>
      </c>
      <c r="B81" t="inlineStr">
        <is>
          <t>key_person</t>
        </is>
      </c>
      <c r="C81" t="inlineStr">
        <is>
          <t>Chief Financial Officer (CFO)</t>
        </is>
      </c>
      <c r="D81" t="inlineStr">
        <is>
          <t>Financial Managers</t>
        </is>
      </c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156052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oews_key_person:oews_median</t>
        </is>
      </c>
    </row>
    <row r="82">
      <c r="A82" t="n">
        <v>16</v>
      </c>
      <c r="B82" t="inlineStr">
        <is>
          <t>key_person</t>
        </is>
      </c>
      <c r="C82" t="inlineStr">
        <is>
          <t>Chief Financial Officer (CFO)</t>
        </is>
      </c>
      <c r="D82" t="inlineStr">
        <is>
          <t>Financial Managers</t>
        </is>
      </c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156052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oews_key_person:oews_median</t>
        </is>
      </c>
    </row>
    <row r="83">
      <c r="A83" t="n">
        <v>17</v>
      </c>
      <c r="B83" t="inlineStr">
        <is>
          <t>key_person</t>
        </is>
      </c>
      <c r="C83" t="inlineStr">
        <is>
          <t>Chief Financial Officer (CFO)</t>
        </is>
      </c>
      <c r="D83" t="inlineStr">
        <is>
          <t>Financial Managers</t>
        </is>
      </c>
      <c r="E83" s="29" t="n">
        <v>1</v>
      </c>
      <c r="F83" s="29" t="n">
        <v>0</v>
      </c>
      <c r="G83" s="30">
        <f>E83+F83</f>
        <v/>
      </c>
      <c r="H83" s="30">
        <f>(E83+G83)/2</f>
        <v/>
      </c>
      <c r="I83" s="31" t="n">
        <v>160734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oews_key_person:oews_median</t>
        </is>
      </c>
    </row>
    <row r="84">
      <c r="A84" t="n">
        <v>18</v>
      </c>
      <c r="B84" t="inlineStr">
        <is>
          <t>key_person</t>
        </is>
      </c>
      <c r="C84" t="inlineStr">
        <is>
          <t>Chief Financial Officer (CFO)</t>
        </is>
      </c>
      <c r="D84" t="inlineStr">
        <is>
          <t>Financial Managers</t>
        </is>
      </c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160734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oews_key_person:oews_median</t>
        </is>
      </c>
    </row>
    <row r="85">
      <c r="A85" t="n">
        <v>19</v>
      </c>
      <c r="B85" t="inlineStr">
        <is>
          <t>key_person</t>
        </is>
      </c>
      <c r="C85" t="inlineStr">
        <is>
          <t>Chief Financial Officer (CFO)</t>
        </is>
      </c>
      <c r="D85" t="inlineStr">
        <is>
          <t>Financial Managers</t>
        </is>
      </c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160734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oews_key_person:oews_median</t>
        </is>
      </c>
    </row>
    <row r="86">
      <c r="A86" t="n">
        <v>20</v>
      </c>
      <c r="B86" t="inlineStr">
        <is>
          <t>key_person</t>
        </is>
      </c>
      <c r="C86" t="inlineStr">
        <is>
          <t>Chief Financial Officer (CFO)</t>
        </is>
      </c>
      <c r="D86" t="inlineStr">
        <is>
          <t>Financial Managers</t>
        </is>
      </c>
      <c r="E86" s="29" t="n">
        <v>1</v>
      </c>
      <c r="F86" s="29" t="n">
        <v>0</v>
      </c>
      <c r="G86" s="30">
        <f>E86+F86</f>
        <v/>
      </c>
      <c r="H86" s="30">
        <f>(E86+G86)/2</f>
        <v/>
      </c>
      <c r="I86" s="31" t="n">
        <v>160734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oews_key_person:oews_median</t>
        </is>
      </c>
    </row>
    <row r="87">
      <c r="A87" t="n">
        <v>1</v>
      </c>
      <c r="B87" t="inlineStr">
        <is>
          <t>supporting_staff</t>
        </is>
      </c>
      <c r="C87" t="inlineStr">
        <is>
          <t>Laborers and Freight, Stock, and Material Movers, Hand</t>
        </is>
      </c>
      <c r="D87" t="inlineStr">
        <is>
          <t>Laborers and Freight, Stock, and Material Movers, Hand</t>
        </is>
      </c>
      <c r="E87" s="29" t="n">
        <v>40</v>
      </c>
      <c r="F87" s="29" t="n">
        <v>0</v>
      </c>
      <c r="G87" s="30">
        <f>E87+F87</f>
        <v/>
      </c>
      <c r="H87" s="30">
        <f>(E87+G87)/2</f>
        <v/>
      </c>
      <c r="I87" s="31" t="n">
        <v>48125</v>
      </c>
      <c r="J87" s="32" t="n">
        <v>0.22</v>
      </c>
      <c r="K87" s="33">
        <f>H87*I87/4</f>
        <v/>
      </c>
      <c r="L87" s="33">
        <f>K87*J87</f>
        <v/>
      </c>
      <c r="M87" s="33">
        <f>K87+L87</f>
        <v/>
      </c>
      <c r="N87" t="inlineStr">
        <is>
          <t>oews_title_catalog:oews_median</t>
        </is>
      </c>
    </row>
    <row r="88">
      <c r="A88" t="n">
        <v>2</v>
      </c>
      <c r="B88" t="inlineStr">
        <is>
          <t>supporting_staff</t>
        </is>
      </c>
      <c r="C88" t="inlineStr">
        <is>
          <t>Laborers and Freight, Stock, and Material Movers, Hand</t>
        </is>
      </c>
      <c r="D88" t="inlineStr">
        <is>
          <t>Laborers and Freight, Stock, and Material Movers, Hand</t>
        </is>
      </c>
      <c r="E88" s="29" t="n">
        <v>40</v>
      </c>
      <c r="F88" s="29" t="n">
        <v>0</v>
      </c>
      <c r="G88" s="30">
        <f>E88+F88</f>
        <v/>
      </c>
      <c r="H88" s="30">
        <f>(E88+G88)/2</f>
        <v/>
      </c>
      <c r="I88" s="31" t="n">
        <v>48125</v>
      </c>
      <c r="J88" s="32" t="n">
        <v>0.22</v>
      </c>
      <c r="K88" s="33">
        <f>H88*I88/4</f>
        <v/>
      </c>
      <c r="L88" s="33">
        <f>K88*J88</f>
        <v/>
      </c>
      <c r="M88" s="33">
        <f>K88+L88</f>
        <v/>
      </c>
      <c r="N88" t="inlineStr">
        <is>
          <t>oews_title_catalog:oews_median</t>
        </is>
      </c>
    </row>
    <row r="89">
      <c r="A89" t="n">
        <v>3</v>
      </c>
      <c r="B89" t="inlineStr">
        <is>
          <t>supporting_staff</t>
        </is>
      </c>
      <c r="C89" t="inlineStr">
        <is>
          <t>Laborers and Freight, Stock, and Material Movers, Hand</t>
        </is>
      </c>
      <c r="D89" t="inlineStr">
        <is>
          <t>Laborers and Freight, Stock, and Material Movers, Hand</t>
        </is>
      </c>
      <c r="E89" s="29" t="n">
        <v>40</v>
      </c>
      <c r="F89" s="29" t="n">
        <v>0</v>
      </c>
      <c r="G89" s="30">
        <f>E89+F89</f>
        <v/>
      </c>
      <c r="H89" s="30">
        <f>(E89+G89)/2</f>
        <v/>
      </c>
      <c r="I89" s="31" t="n">
        <v>48125</v>
      </c>
      <c r="J89" s="32" t="n">
        <v>0.22</v>
      </c>
      <c r="K89" s="33">
        <f>H89*I89/4</f>
        <v/>
      </c>
      <c r="L89" s="33">
        <f>K89*J89</f>
        <v/>
      </c>
      <c r="M89" s="33">
        <f>K89+L89</f>
        <v/>
      </c>
      <c r="N89" t="inlineStr">
        <is>
          <t>oews_title_catalog:oews_median</t>
        </is>
      </c>
    </row>
    <row r="90">
      <c r="A90" t="n">
        <v>4</v>
      </c>
      <c r="B90" t="inlineStr">
        <is>
          <t>supporting_staff</t>
        </is>
      </c>
      <c r="C90" t="inlineStr">
        <is>
          <t>Laborers and Freight, Stock, and Material Movers, Hand</t>
        </is>
      </c>
      <c r="D90" t="inlineStr">
        <is>
          <t>Laborers and Freight, Stock, and Material Movers, Hand</t>
        </is>
      </c>
      <c r="E90" s="29" t="n">
        <v>40</v>
      </c>
      <c r="F90" s="29" t="n">
        <v>0</v>
      </c>
      <c r="G90" s="30">
        <f>E90+F90</f>
        <v/>
      </c>
      <c r="H90" s="30">
        <f>(E90+G90)/2</f>
        <v/>
      </c>
      <c r="I90" s="31" t="n">
        <v>48125</v>
      </c>
      <c r="J90" s="32" t="n">
        <v>0.22</v>
      </c>
      <c r="K90" s="33">
        <f>H90*I90/4</f>
        <v/>
      </c>
      <c r="L90" s="33">
        <f>K90*J90</f>
        <v/>
      </c>
      <c r="M90" s="33">
        <f>K90+L90</f>
        <v/>
      </c>
      <c r="N90" t="inlineStr">
        <is>
          <t>oews_title_catalog:oews_median</t>
        </is>
      </c>
    </row>
    <row r="91">
      <c r="A91" t="n">
        <v>5</v>
      </c>
      <c r="B91" t="inlineStr">
        <is>
          <t>supporting_staff</t>
        </is>
      </c>
      <c r="C91" t="inlineStr">
        <is>
          <t>Laborers and Freight, Stock, and Material Movers, Hand</t>
        </is>
      </c>
      <c r="D91" t="inlineStr">
        <is>
          <t>Laborers and Freight, Stock, and Material Movers, Hand</t>
        </is>
      </c>
      <c r="E91" s="29" t="n">
        <v>40</v>
      </c>
      <c r="F91" s="29" t="n">
        <v>0</v>
      </c>
      <c r="G91" s="30">
        <f>E91+F91</f>
        <v/>
      </c>
      <c r="H91" s="30">
        <f>(E91+G91)/2</f>
        <v/>
      </c>
      <c r="I91" s="31" t="n">
        <v>49569</v>
      </c>
      <c r="J91" s="32" t="n">
        <v>0.22</v>
      </c>
      <c r="K91" s="33">
        <f>H91*I91/4</f>
        <v/>
      </c>
      <c r="L91" s="33">
        <f>K91*J91</f>
        <v/>
      </c>
      <c r="M91" s="33">
        <f>K91+L91</f>
        <v/>
      </c>
      <c r="N91" t="inlineStr">
        <is>
          <t>oews_title_catalog:oews_median</t>
        </is>
      </c>
    </row>
    <row r="92">
      <c r="A92" t="n">
        <v>6</v>
      </c>
      <c r="B92" t="inlineStr">
        <is>
          <t>supporting_staff</t>
        </is>
      </c>
      <c r="C92" t="inlineStr">
        <is>
          <t>Laborers and Freight, Stock, and Material Movers, Hand</t>
        </is>
      </c>
      <c r="D92" t="inlineStr">
        <is>
          <t>Laborers and Freight, Stock, and Material Movers, Hand</t>
        </is>
      </c>
      <c r="E92" s="29" t="n">
        <v>40</v>
      </c>
      <c r="F92" s="29" t="n">
        <v>0</v>
      </c>
      <c r="G92" s="30">
        <f>E92+F92</f>
        <v/>
      </c>
      <c r="H92" s="30">
        <f>(E92+G92)/2</f>
        <v/>
      </c>
      <c r="I92" s="31" t="n">
        <v>49569</v>
      </c>
      <c r="J92" s="32" t="n">
        <v>0.22</v>
      </c>
      <c r="K92" s="33">
        <f>H92*I92/4</f>
        <v/>
      </c>
      <c r="L92" s="33">
        <f>K92*J92</f>
        <v/>
      </c>
      <c r="M92" s="33">
        <f>K92+L92</f>
        <v/>
      </c>
      <c r="N92" t="inlineStr">
        <is>
          <t>oews_title_catalog:oews_median</t>
        </is>
      </c>
    </row>
    <row r="93">
      <c r="A93" t="n">
        <v>7</v>
      </c>
      <c r="B93" t="inlineStr">
        <is>
          <t>supporting_staff</t>
        </is>
      </c>
      <c r="C93" t="inlineStr">
        <is>
          <t>Laborers and Freight, Stock, and Material Movers, Hand</t>
        </is>
      </c>
      <c r="D93" t="inlineStr">
        <is>
          <t>Laborers and Freight, Stock, and Material Movers, Hand</t>
        </is>
      </c>
      <c r="E93" s="29" t="n">
        <v>40</v>
      </c>
      <c r="F93" s="29" t="n">
        <v>0</v>
      </c>
      <c r="G93" s="30">
        <f>E93+F93</f>
        <v/>
      </c>
      <c r="H93" s="30">
        <f>(E93+G93)/2</f>
        <v/>
      </c>
      <c r="I93" s="31" t="n">
        <v>49569</v>
      </c>
      <c r="J93" s="32" t="n">
        <v>0.22</v>
      </c>
      <c r="K93" s="33">
        <f>H93*I93/4</f>
        <v/>
      </c>
      <c r="L93" s="33">
        <f>K93*J93</f>
        <v/>
      </c>
      <c r="M93" s="33">
        <f>K93+L93</f>
        <v/>
      </c>
      <c r="N93" t="inlineStr">
        <is>
          <t>oews_title_catalog:oews_median</t>
        </is>
      </c>
    </row>
    <row r="94">
      <c r="A94" t="n">
        <v>8</v>
      </c>
      <c r="B94" t="inlineStr">
        <is>
          <t>supporting_staff</t>
        </is>
      </c>
      <c r="C94" t="inlineStr">
        <is>
          <t>Laborers and Freight, Stock, and Material Movers, Hand</t>
        </is>
      </c>
      <c r="D94" t="inlineStr">
        <is>
          <t>Laborers and Freight, Stock, and Material Movers, Hand</t>
        </is>
      </c>
      <c r="E94" s="29" t="n">
        <v>40</v>
      </c>
      <c r="F94" s="29" t="n">
        <v>0</v>
      </c>
      <c r="G94" s="30">
        <f>E94+F94</f>
        <v/>
      </c>
      <c r="H94" s="30">
        <f>(E94+G94)/2</f>
        <v/>
      </c>
      <c r="I94" s="31" t="n">
        <v>49569</v>
      </c>
      <c r="J94" s="32" t="n">
        <v>0.22</v>
      </c>
      <c r="K94" s="33">
        <f>H94*I94/4</f>
        <v/>
      </c>
      <c r="L94" s="33">
        <f>K94*J94</f>
        <v/>
      </c>
      <c r="M94" s="33">
        <f>K94+L94</f>
        <v/>
      </c>
      <c r="N94" t="inlineStr">
        <is>
          <t>oews_title_catalog:oews_median</t>
        </is>
      </c>
    </row>
    <row r="95">
      <c r="A95" t="n">
        <v>9</v>
      </c>
      <c r="B95" t="inlineStr">
        <is>
          <t>supporting_staff</t>
        </is>
      </c>
      <c r="C95" t="inlineStr">
        <is>
          <t>Laborers and Freight, Stock, and Material Movers, Hand</t>
        </is>
      </c>
      <c r="D95" t="inlineStr">
        <is>
          <t>Laborers and Freight, Stock, and Material Movers, Hand</t>
        </is>
      </c>
      <c r="E95" s="29" t="n">
        <v>40</v>
      </c>
      <c r="F95" s="29" t="n">
        <v>0</v>
      </c>
      <c r="G95" s="30">
        <f>E95+F95</f>
        <v/>
      </c>
      <c r="H95" s="30">
        <f>(E95+G95)/2</f>
        <v/>
      </c>
      <c r="I95" s="31" t="n">
        <v>51056</v>
      </c>
      <c r="J95" s="32" t="n">
        <v>0.22</v>
      </c>
      <c r="K95" s="33">
        <f>H95*I95/4</f>
        <v/>
      </c>
      <c r="L95" s="33">
        <f>K95*J95</f>
        <v/>
      </c>
      <c r="M95" s="33">
        <f>K95+L95</f>
        <v/>
      </c>
      <c r="N95" t="inlineStr">
        <is>
          <t>oews_title_catalog:oews_median</t>
        </is>
      </c>
    </row>
    <row r="96">
      <c r="A96" t="n">
        <v>10</v>
      </c>
      <c r="B96" t="inlineStr">
        <is>
          <t>supporting_staff</t>
        </is>
      </c>
      <c r="C96" t="inlineStr">
        <is>
          <t>Laborers and Freight, Stock, and Material Movers, Hand</t>
        </is>
      </c>
      <c r="D96" t="inlineStr">
        <is>
          <t>Laborers and Freight, Stock, and Material Movers, Hand</t>
        </is>
      </c>
      <c r="E96" s="29" t="n">
        <v>40</v>
      </c>
      <c r="F96" s="29" t="n">
        <v>0</v>
      </c>
      <c r="G96" s="30">
        <f>E96+F96</f>
        <v/>
      </c>
      <c r="H96" s="30">
        <f>(E96+G96)/2</f>
        <v/>
      </c>
      <c r="I96" s="31" t="n">
        <v>51056</v>
      </c>
      <c r="J96" s="32" t="n">
        <v>0.22</v>
      </c>
      <c r="K96" s="33">
        <f>H96*I96/4</f>
        <v/>
      </c>
      <c r="L96" s="33">
        <f>K96*J96</f>
        <v/>
      </c>
      <c r="M96" s="33">
        <f>K96+L96</f>
        <v/>
      </c>
      <c r="N96" t="inlineStr">
        <is>
          <t>oews_title_catalog:oews_median</t>
        </is>
      </c>
    </row>
    <row r="97">
      <c r="A97" t="n">
        <v>11</v>
      </c>
      <c r="B97" t="inlineStr">
        <is>
          <t>supporting_staff</t>
        </is>
      </c>
      <c r="C97" t="inlineStr">
        <is>
          <t>Laborers and Freight, Stock, and Material Movers, Hand</t>
        </is>
      </c>
      <c r="D97" t="inlineStr">
        <is>
          <t>Laborers and Freight, Stock, and Material Movers, Hand</t>
        </is>
      </c>
      <c r="E97" s="29" t="n">
        <v>40</v>
      </c>
      <c r="F97" s="29" t="n">
        <v>0</v>
      </c>
      <c r="G97" s="30">
        <f>E97+F97</f>
        <v/>
      </c>
      <c r="H97" s="30">
        <f>(E97+G97)/2</f>
        <v/>
      </c>
      <c r="I97" s="31" t="n">
        <v>51056</v>
      </c>
      <c r="J97" s="32" t="n">
        <v>0.22</v>
      </c>
      <c r="K97" s="33">
        <f>H97*I97/4</f>
        <v/>
      </c>
      <c r="L97" s="33">
        <f>K97*J97</f>
        <v/>
      </c>
      <c r="M97" s="33">
        <f>K97+L97</f>
        <v/>
      </c>
      <c r="N97" t="inlineStr">
        <is>
          <t>oews_title_catalog:oews_median</t>
        </is>
      </c>
    </row>
    <row r="98">
      <c r="A98" t="n">
        <v>12</v>
      </c>
      <c r="B98" t="inlineStr">
        <is>
          <t>supporting_staff</t>
        </is>
      </c>
      <c r="C98" t="inlineStr">
        <is>
          <t>Laborers and Freight, Stock, and Material Movers, Hand</t>
        </is>
      </c>
      <c r="D98" t="inlineStr">
        <is>
          <t>Laborers and Freight, Stock, and Material Movers, Hand</t>
        </is>
      </c>
      <c r="E98" s="29" t="n">
        <v>40</v>
      </c>
      <c r="F98" s="29" t="n">
        <v>0</v>
      </c>
      <c r="G98" s="30">
        <f>E98+F98</f>
        <v/>
      </c>
      <c r="H98" s="30">
        <f>(E98+G98)/2</f>
        <v/>
      </c>
      <c r="I98" s="31" t="n">
        <v>51056</v>
      </c>
      <c r="J98" s="32" t="n">
        <v>0.22</v>
      </c>
      <c r="K98" s="33">
        <f>H98*I98/4</f>
        <v/>
      </c>
      <c r="L98" s="33">
        <f>K98*J98</f>
        <v/>
      </c>
      <c r="M98" s="33">
        <f>K98+L98</f>
        <v/>
      </c>
      <c r="N98" t="inlineStr">
        <is>
          <t>oews_title_catalog:oews_median</t>
        </is>
      </c>
    </row>
    <row r="99">
      <c r="A99" t="n">
        <v>13</v>
      </c>
      <c r="B99" t="inlineStr">
        <is>
          <t>supporting_staff</t>
        </is>
      </c>
      <c r="C99" t="inlineStr">
        <is>
          <t>Laborers and Freight, Stock, and Material Movers, Hand</t>
        </is>
      </c>
      <c r="D99" t="inlineStr">
        <is>
          <t>Laborers and Freight, Stock, and Material Movers, Hand</t>
        </is>
      </c>
      <c r="E99" s="29" t="n">
        <v>40</v>
      </c>
      <c r="F99" s="29" t="n">
        <v>0</v>
      </c>
      <c r="G99" s="30">
        <f>E99+F99</f>
        <v/>
      </c>
      <c r="H99" s="30">
        <f>(E99+G99)/2</f>
        <v/>
      </c>
      <c r="I99" s="31" t="n">
        <v>52587</v>
      </c>
      <c r="J99" s="32" t="n">
        <v>0.22</v>
      </c>
      <c r="K99" s="33">
        <f>H99*I99/4</f>
        <v/>
      </c>
      <c r="L99" s="33">
        <f>K99*J99</f>
        <v/>
      </c>
      <c r="M99" s="33">
        <f>K99+L99</f>
        <v/>
      </c>
      <c r="N99" t="inlineStr">
        <is>
          <t>oews_title_catalog:oews_median</t>
        </is>
      </c>
    </row>
    <row r="100">
      <c r="A100" t="n">
        <v>14</v>
      </c>
      <c r="B100" t="inlineStr">
        <is>
          <t>supporting_staff</t>
        </is>
      </c>
      <c r="C100" t="inlineStr">
        <is>
          <t>Laborers and Freight, Stock, and Material Movers, Hand</t>
        </is>
      </c>
      <c r="D100" t="inlineStr">
        <is>
          <t>Laborers and Freight, Stock, and Material Movers, Hand</t>
        </is>
      </c>
      <c r="E100" s="29" t="n">
        <v>40</v>
      </c>
      <c r="F100" s="29" t="n">
        <v>0</v>
      </c>
      <c r="G100" s="30">
        <f>E100+F100</f>
        <v/>
      </c>
      <c r="H100" s="30">
        <f>(E100+G100)/2</f>
        <v/>
      </c>
      <c r="I100" s="31" t="n">
        <v>52587</v>
      </c>
      <c r="J100" s="32" t="n">
        <v>0.22</v>
      </c>
      <c r="K100" s="33">
        <f>H100*I100/4</f>
        <v/>
      </c>
      <c r="L100" s="33">
        <f>K100*J100</f>
        <v/>
      </c>
      <c r="M100" s="33">
        <f>K100+L100</f>
        <v/>
      </c>
      <c r="N100" t="inlineStr">
        <is>
          <t>oews_title_catalog:oews_median</t>
        </is>
      </c>
    </row>
    <row r="101">
      <c r="A101" t="n">
        <v>15</v>
      </c>
      <c r="B101" t="inlineStr">
        <is>
          <t>supporting_staff</t>
        </is>
      </c>
      <c r="C101" t="inlineStr">
        <is>
          <t>Laborers and Freight, Stock, and Material Movers, Hand</t>
        </is>
      </c>
      <c r="D101" t="inlineStr">
        <is>
          <t>Laborers and Freight, Stock, and Material Movers, Hand</t>
        </is>
      </c>
      <c r="E101" s="29" t="n">
        <v>40</v>
      </c>
      <c r="F101" s="29" t="n">
        <v>0</v>
      </c>
      <c r="G101" s="30">
        <f>E101+F101</f>
        <v/>
      </c>
      <c r="H101" s="30">
        <f>(E101+G101)/2</f>
        <v/>
      </c>
      <c r="I101" s="31" t="n">
        <v>52587</v>
      </c>
      <c r="J101" s="32" t="n">
        <v>0.22</v>
      </c>
      <c r="K101" s="33">
        <f>H101*I101/4</f>
        <v/>
      </c>
      <c r="L101" s="33">
        <f>K101*J101</f>
        <v/>
      </c>
      <c r="M101" s="33">
        <f>K101+L101</f>
        <v/>
      </c>
      <c r="N101" t="inlineStr">
        <is>
          <t>oews_title_catalog:oews_median</t>
        </is>
      </c>
    </row>
    <row r="102">
      <c r="A102" t="n">
        <v>16</v>
      </c>
      <c r="B102" t="inlineStr">
        <is>
          <t>supporting_staff</t>
        </is>
      </c>
      <c r="C102" t="inlineStr">
        <is>
          <t>Laborers and Freight, Stock, and Material Movers, Hand</t>
        </is>
      </c>
      <c r="D102" t="inlineStr">
        <is>
          <t>Laborers and Freight, Stock, and Material Movers, Hand</t>
        </is>
      </c>
      <c r="E102" s="29" t="n">
        <v>40</v>
      </c>
      <c r="F102" s="29" t="n">
        <v>0</v>
      </c>
      <c r="G102" s="30">
        <f>E102+F102</f>
        <v/>
      </c>
      <c r="H102" s="30">
        <f>(E102+G102)/2</f>
        <v/>
      </c>
      <c r="I102" s="31" t="n">
        <v>52587</v>
      </c>
      <c r="J102" s="32" t="n">
        <v>0.22</v>
      </c>
      <c r="K102" s="33">
        <f>H102*I102/4</f>
        <v/>
      </c>
      <c r="L102" s="33">
        <f>K102*J102</f>
        <v/>
      </c>
      <c r="M102" s="33">
        <f>K102+L102</f>
        <v/>
      </c>
      <c r="N102" t="inlineStr">
        <is>
          <t>oews_title_catalog:oews_median</t>
        </is>
      </c>
    </row>
    <row r="103">
      <c r="A103" t="n">
        <v>17</v>
      </c>
      <c r="B103" t="inlineStr">
        <is>
          <t>supporting_staff</t>
        </is>
      </c>
      <c r="C103" t="inlineStr">
        <is>
          <t>Laborers and Freight, Stock, and Material Movers, Hand</t>
        </is>
      </c>
      <c r="D103" t="inlineStr">
        <is>
          <t>Laborers and Freight, Stock, and Material Movers, Hand</t>
        </is>
      </c>
      <c r="E103" s="29" t="n">
        <v>40</v>
      </c>
      <c r="F103" s="29" t="n">
        <v>0</v>
      </c>
      <c r="G103" s="30">
        <f>E103+F103</f>
        <v/>
      </c>
      <c r="H103" s="30">
        <f>(E103+G103)/2</f>
        <v/>
      </c>
      <c r="I103" s="31" t="n">
        <v>54165</v>
      </c>
      <c r="J103" s="32" t="n">
        <v>0.22</v>
      </c>
      <c r="K103" s="33">
        <f>H103*I103/4</f>
        <v/>
      </c>
      <c r="L103" s="33">
        <f>K103*J103</f>
        <v/>
      </c>
      <c r="M103" s="33">
        <f>K103+L103</f>
        <v/>
      </c>
      <c r="N103" t="inlineStr">
        <is>
          <t>oews_title_catalog:oews_median</t>
        </is>
      </c>
    </row>
    <row r="104">
      <c r="A104" t="n">
        <v>18</v>
      </c>
      <c r="B104" t="inlineStr">
        <is>
          <t>supporting_staff</t>
        </is>
      </c>
      <c r="C104" t="inlineStr">
        <is>
          <t>Laborers and Freight, Stock, and Material Movers, Hand</t>
        </is>
      </c>
      <c r="D104" t="inlineStr">
        <is>
          <t>Laborers and Freight, Stock, and Material Movers, Hand</t>
        </is>
      </c>
      <c r="E104" s="29" t="n">
        <v>40</v>
      </c>
      <c r="F104" s="29" t="n">
        <v>0</v>
      </c>
      <c r="G104" s="30">
        <f>E104+F104</f>
        <v/>
      </c>
      <c r="H104" s="30">
        <f>(E104+G104)/2</f>
        <v/>
      </c>
      <c r="I104" s="31" t="n">
        <v>54165</v>
      </c>
      <c r="J104" s="32" t="n">
        <v>0.22</v>
      </c>
      <c r="K104" s="33">
        <f>H104*I104/4</f>
        <v/>
      </c>
      <c r="L104" s="33">
        <f>K104*J104</f>
        <v/>
      </c>
      <c r="M104" s="33">
        <f>K104+L104</f>
        <v/>
      </c>
      <c r="N104" t="inlineStr">
        <is>
          <t>oews_title_catalog:oews_median</t>
        </is>
      </c>
    </row>
    <row r="105">
      <c r="A105" t="n">
        <v>19</v>
      </c>
      <c r="B105" t="inlineStr">
        <is>
          <t>supporting_staff</t>
        </is>
      </c>
      <c r="C105" t="inlineStr">
        <is>
          <t>Laborers and Freight, Stock, and Material Movers, Hand</t>
        </is>
      </c>
      <c r="D105" t="inlineStr">
        <is>
          <t>Laborers and Freight, Stock, and Material Movers, Hand</t>
        </is>
      </c>
      <c r="E105" s="29" t="n">
        <v>40</v>
      </c>
      <c r="F105" s="29" t="n">
        <v>0</v>
      </c>
      <c r="G105" s="30">
        <f>E105+F105</f>
        <v/>
      </c>
      <c r="H105" s="30">
        <f>(E105+G105)/2</f>
        <v/>
      </c>
      <c r="I105" s="31" t="n">
        <v>54165</v>
      </c>
      <c r="J105" s="32" t="n">
        <v>0.22</v>
      </c>
      <c r="K105" s="33">
        <f>H105*I105/4</f>
        <v/>
      </c>
      <c r="L105" s="33">
        <f>K105*J105</f>
        <v/>
      </c>
      <c r="M105" s="33">
        <f>K105+L105</f>
        <v/>
      </c>
      <c r="N105" t="inlineStr">
        <is>
          <t>oews_title_catalog:oews_median</t>
        </is>
      </c>
    </row>
    <row r="106">
      <c r="A106" t="n">
        <v>20</v>
      </c>
      <c r="B106" t="inlineStr">
        <is>
          <t>supporting_staff</t>
        </is>
      </c>
      <c r="C106" t="inlineStr">
        <is>
          <t>Laborers and Freight, Stock, and Material Movers, Hand</t>
        </is>
      </c>
      <c r="D106" t="inlineStr">
        <is>
          <t>Laborers and Freight, Stock, and Material Movers, Hand</t>
        </is>
      </c>
      <c r="E106" s="29" t="n">
        <v>40</v>
      </c>
      <c r="F106" s="29" t="n">
        <v>0</v>
      </c>
      <c r="G106" s="30">
        <f>E106+F106</f>
        <v/>
      </c>
      <c r="H106" s="30">
        <f>(E106+G106)/2</f>
        <v/>
      </c>
      <c r="I106" s="31" t="n">
        <v>54165</v>
      </c>
      <c r="J106" s="32" t="n">
        <v>0.22</v>
      </c>
      <c r="K106" s="33">
        <f>H106*I106/4</f>
        <v/>
      </c>
      <c r="L106" s="33">
        <f>K106*J106</f>
        <v/>
      </c>
      <c r="M106" s="33">
        <f>K106+L106</f>
        <v/>
      </c>
      <c r="N106" t="inlineStr">
        <is>
          <t>oews_title_catalog:oews_median</t>
        </is>
      </c>
    </row>
  </sheetData>
  <autoFilter ref="A26:N10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500000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25000</v>
      </c>
      <c r="E9" s="11" t="n">
        <v>25000</v>
      </c>
      <c r="F9" s="11" t="n">
        <v>25000</v>
      </c>
      <c r="G9" s="11" t="n">
        <v>25000</v>
      </c>
      <c r="H9" s="11" t="n">
        <v>25000</v>
      </c>
      <c r="I9" s="11" t="n">
        <v>25000</v>
      </c>
      <c r="J9" s="11" t="n">
        <v>25000</v>
      </c>
      <c r="K9" s="11" t="n">
        <v>25000</v>
      </c>
      <c r="L9" s="11" t="n">
        <v>25000</v>
      </c>
      <c r="M9" s="11" t="n">
        <v>25000</v>
      </c>
      <c r="N9" s="11" t="n">
        <v>25000</v>
      </c>
      <c r="O9" s="11" t="n">
        <v>25000</v>
      </c>
      <c r="P9" s="11" t="n">
        <v>25000</v>
      </c>
      <c r="Q9" s="11" t="n">
        <v>131616</v>
      </c>
      <c r="R9" s="11" t="n">
        <v>43384</v>
      </c>
      <c r="S9" s="11" t="n">
        <v>25000</v>
      </c>
      <c r="T9" s="11" t="n">
        <v>25000</v>
      </c>
      <c r="U9" s="11" t="n">
        <v>25000</v>
      </c>
      <c r="V9" s="11" t="n">
        <v>25000</v>
      </c>
      <c r="W9" s="11" t="n">
        <v>25000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0.0125</v>
      </c>
      <c r="D12" s="13" t="n">
        <v>0.025625</v>
      </c>
      <c r="E12" s="13" t="n">
        <v>0.025625</v>
      </c>
      <c r="F12" s="13" t="n">
        <v>0.025625</v>
      </c>
      <c r="G12" s="13" t="n">
        <v>0.025625</v>
      </c>
      <c r="H12" s="13" t="n">
        <v>0.025625</v>
      </c>
      <c r="I12" s="13" t="n">
        <v>0.025625</v>
      </c>
      <c r="J12" s="13" t="n">
        <v>0.025625</v>
      </c>
      <c r="K12" s="13" t="n">
        <v>0.025625</v>
      </c>
      <c r="L12" s="13" t="n">
        <v>0.025625</v>
      </c>
      <c r="M12" s="13" t="n">
        <v>0.025625</v>
      </c>
      <c r="N12" s="13" t="n">
        <v>0.025625</v>
      </c>
      <c r="O12" s="13" t="n">
        <v>0.025625</v>
      </c>
      <c r="P12" s="13" t="n">
        <v>0.025625</v>
      </c>
      <c r="Q12" s="13" t="n">
        <v>0.025625</v>
      </c>
      <c r="R12" s="13" t="n">
        <v>0.025625</v>
      </c>
      <c r="S12" s="13" t="n">
        <v>0.025625</v>
      </c>
      <c r="T12" s="13" t="n">
        <v>0.025625</v>
      </c>
      <c r="U12" s="13" t="n">
        <v>0.025625</v>
      </c>
      <c r="V12" s="13" t="n">
        <v>0.025625</v>
      </c>
      <c r="W12" s="13" t="n">
        <v>0.025625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38750</v>
      </c>
      <c r="E19" s="26" t="n">
        <v>38750</v>
      </c>
      <c r="F19" s="26" t="n">
        <v>38750</v>
      </c>
      <c r="G19" s="26" t="n">
        <v>38750</v>
      </c>
      <c r="H19" s="26" t="n">
        <v>38750</v>
      </c>
      <c r="I19" s="26" t="n">
        <v>38750</v>
      </c>
      <c r="J19" s="26" t="n">
        <v>38750</v>
      </c>
      <c r="K19" s="26" t="n">
        <v>38750</v>
      </c>
      <c r="L19" s="26" t="n">
        <v>38750</v>
      </c>
      <c r="M19" s="26" t="n">
        <v>38750</v>
      </c>
      <c r="N19" s="26" t="n">
        <v>38750</v>
      </c>
      <c r="O19" s="26" t="n">
        <v>38750</v>
      </c>
      <c r="P19" s="26" t="n">
        <v>38750</v>
      </c>
      <c r="Q19" s="26" t="n">
        <v>38750</v>
      </c>
      <c r="R19" s="26" t="n">
        <v>38750</v>
      </c>
      <c r="S19" s="26" t="n">
        <v>38750</v>
      </c>
      <c r="T19" s="26" t="n">
        <v>38750</v>
      </c>
      <c r="U19" s="26" t="n">
        <v>38750</v>
      </c>
      <c r="V19" s="26" t="n">
        <v>38750</v>
      </c>
      <c r="W19" s="26" t="n">
        <v>38750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600000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4682.4</v>
      </c>
      <c r="E8" s="35" t="n">
        <v>4717.115314</v>
      </c>
      <c r="F8" s="35" t="n">
        <v>4750.257766</v>
      </c>
      <c r="G8" s="35" t="n">
        <v>4781.808978</v>
      </c>
      <c r="H8" s="35" t="n">
        <v>4811.73832</v>
      </c>
      <c r="I8" s="35" t="n">
        <v>4840.02653</v>
      </c>
      <c r="J8" s="35" t="n">
        <v>4866.646676</v>
      </c>
      <c r="K8" s="35" t="n">
        <v>4891.57364</v>
      </c>
      <c r="L8" s="35" t="n">
        <v>4914.784157</v>
      </c>
      <c r="M8" s="35" t="n">
        <v>4936.261764</v>
      </c>
      <c r="N8" s="35" t="n">
        <v>4955.977193</v>
      </c>
      <c r="O8" s="35" t="n">
        <v>4973.912875</v>
      </c>
      <c r="P8" s="35" t="n">
        <v>4990.048248</v>
      </c>
      <c r="Q8" s="35" t="n">
        <v>5004.364696</v>
      </c>
      <c r="R8" s="35" t="n">
        <v>5016.840578</v>
      </c>
      <c r="S8" s="35" t="n">
        <v>5027.456212</v>
      </c>
      <c r="T8" s="35" t="n">
        <v>5036.193931</v>
      </c>
      <c r="U8" s="35" t="n">
        <v>5043.033083</v>
      </c>
      <c r="V8" s="35" t="n">
        <v>5047.955083</v>
      </c>
      <c r="W8" s="35" t="n">
        <v>5050.94852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0.00039</v>
      </c>
      <c r="E10" s="13" t="n">
        <v>0.000778</v>
      </c>
      <c r="F10" s="13" t="n">
        <v>0.001162</v>
      </c>
      <c r="G10" s="13" t="n">
        <v>0.001545</v>
      </c>
      <c r="H10" s="13" t="n">
        <v>0.001925</v>
      </c>
      <c r="I10" s="13" t="n">
        <v>0.002304</v>
      </c>
      <c r="J10" s="13" t="n">
        <v>0.002682</v>
      </c>
      <c r="K10" s="13" t="n">
        <v>0.003059</v>
      </c>
      <c r="L10" s="13" t="n">
        <v>0.003434</v>
      </c>
      <c r="M10" s="13" t="n">
        <v>0.00381</v>
      </c>
      <c r="N10" s="13" t="n">
        <v>0.004185</v>
      </c>
      <c r="O10" s="13" t="n">
        <v>0.00456</v>
      </c>
      <c r="P10" s="13" t="n">
        <v>0.004935</v>
      </c>
      <c r="Q10" s="13" t="n">
        <v>0.005311</v>
      </c>
      <c r="R10" s="13" t="n">
        <v>0.005688</v>
      </c>
      <c r="S10" s="13" t="n">
        <v>0.006066</v>
      </c>
      <c r="T10" s="13" t="n">
        <v>0.006446</v>
      </c>
      <c r="U10" s="13" t="n">
        <v>0.006828</v>
      </c>
      <c r="V10" s="13" t="n">
        <v>0.007211</v>
      </c>
      <c r="W10" s="13" t="n">
        <v>0.007597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45.62</v>
      </c>
      <c r="E7" s="9" t="n">
        <v>45.395233</v>
      </c>
      <c r="F7" s="9" t="n">
        <v>44.462776</v>
      </c>
      <c r="G7" s="9" t="n">
        <v>44.598007</v>
      </c>
      <c r="H7" s="9" t="n">
        <v>44.76086</v>
      </c>
      <c r="I7" s="9" t="n">
        <v>44.522476</v>
      </c>
      <c r="J7" s="9" t="n">
        <v>43.946306</v>
      </c>
      <c r="K7" s="9" t="n">
        <v>43.718748</v>
      </c>
      <c r="L7" s="9" t="n">
        <v>43.857437</v>
      </c>
      <c r="M7" s="9" t="n">
        <v>43.621089</v>
      </c>
      <c r="N7" s="9" t="n">
        <v>42.671342</v>
      </c>
      <c r="O7" s="9" t="n">
        <v>42.755979</v>
      </c>
      <c r="P7" s="9" t="n">
        <v>42.85436</v>
      </c>
      <c r="Q7" s="9" t="n">
        <v>42.5881</v>
      </c>
      <c r="R7" s="9" t="n">
        <v>41.613317</v>
      </c>
      <c r="S7" s="9" t="n">
        <v>41.710914</v>
      </c>
      <c r="T7" s="9" t="n">
        <v>41.817256</v>
      </c>
      <c r="U7" s="9" t="n">
        <v>41.55653</v>
      </c>
      <c r="V7" s="9" t="n">
        <v>40.585298</v>
      </c>
      <c r="W7" s="9" t="n">
        <v>40.684871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30</v>
      </c>
      <c r="E8" s="9" t="n">
        <v>29.678158</v>
      </c>
      <c r="F8" s="9" t="n">
        <v>28.342977</v>
      </c>
      <c r="G8" s="9" t="n">
        <v>28.536614</v>
      </c>
      <c r="H8" s="9" t="n">
        <v>28.769803</v>
      </c>
      <c r="I8" s="9" t="n">
        <v>28.428462</v>
      </c>
      <c r="J8" s="9" t="n">
        <v>27.603447</v>
      </c>
      <c r="K8" s="9" t="n">
        <v>27.277608</v>
      </c>
      <c r="L8" s="9" t="n">
        <v>27.476196</v>
      </c>
      <c r="M8" s="9" t="n">
        <v>27.13777</v>
      </c>
      <c r="N8" s="9" t="n">
        <v>25.777834</v>
      </c>
      <c r="O8" s="9" t="n">
        <v>25.899025</v>
      </c>
      <c r="P8" s="9" t="n">
        <v>26.039895</v>
      </c>
      <c r="Q8" s="9" t="n">
        <v>25.65864</v>
      </c>
      <c r="R8" s="9" t="n">
        <v>24.262853</v>
      </c>
      <c r="S8" s="9" t="n">
        <v>24.402602</v>
      </c>
      <c r="T8" s="9" t="n">
        <v>24.554872</v>
      </c>
      <c r="U8" s="9" t="n">
        <v>24.18154</v>
      </c>
      <c r="V8" s="9" t="n">
        <v>22.790839</v>
      </c>
      <c r="W8" s="9" t="n">
        <v>22.933417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60</v>
      </c>
      <c r="E9" s="9" t="n">
        <v>60</v>
      </c>
      <c r="F9" s="9" t="n">
        <v>60</v>
      </c>
      <c r="G9" s="9" t="n">
        <v>60</v>
      </c>
      <c r="H9" s="9" t="n">
        <v>60</v>
      </c>
      <c r="I9" s="9" t="n">
        <v>60</v>
      </c>
      <c r="J9" s="9" t="n">
        <v>60</v>
      </c>
      <c r="K9" s="9" t="n">
        <v>60</v>
      </c>
      <c r="L9" s="9" t="n">
        <v>60</v>
      </c>
      <c r="M9" s="9" t="n">
        <v>60</v>
      </c>
      <c r="N9" s="9" t="n">
        <v>60</v>
      </c>
      <c r="O9" s="9" t="n">
        <v>60</v>
      </c>
      <c r="P9" s="9" t="n">
        <v>60</v>
      </c>
      <c r="Q9" s="9" t="n">
        <v>60</v>
      </c>
      <c r="R9" s="9" t="n">
        <v>60</v>
      </c>
      <c r="S9" s="9" t="n">
        <v>60</v>
      </c>
      <c r="T9" s="9" t="n">
        <v>60</v>
      </c>
      <c r="U9" s="9" t="n">
        <v>60</v>
      </c>
      <c r="V9" s="9" t="n">
        <v>60</v>
      </c>
      <c r="W9" s="9" t="n">
        <v>60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0.01</v>
      </c>
      <c r="E10" s="13" t="n">
        <v>0.009969</v>
      </c>
      <c r="F10" s="13" t="n">
        <v>0.009841000000000001</v>
      </c>
      <c r="G10" s="13" t="n">
        <v>0.009860000000000001</v>
      </c>
      <c r="H10" s="13" t="n">
        <v>0.009882</v>
      </c>
      <c r="I10" s="13" t="n">
        <v>0.009849</v>
      </c>
      <c r="J10" s="13" t="n">
        <v>0.009769999999999999</v>
      </c>
      <c r="K10" s="13" t="n">
        <v>0.009738999999999999</v>
      </c>
      <c r="L10" s="13" t="n">
        <v>0.009757999999999999</v>
      </c>
      <c r="M10" s="13" t="n">
        <v>0.009726</v>
      </c>
      <c r="N10" s="13" t="n">
        <v>0.009594999999999999</v>
      </c>
      <c r="O10" s="13" t="n">
        <v>0.009606999999999999</v>
      </c>
      <c r="P10" s="13" t="n">
        <v>0.00962</v>
      </c>
      <c r="Q10" s="13" t="n">
        <v>0.009584000000000001</v>
      </c>
      <c r="R10" s="13" t="n">
        <v>0.00945</v>
      </c>
      <c r="S10" s="13" t="n">
        <v>0.009462999999999999</v>
      </c>
      <c r="T10" s="13" t="n">
        <v>0.009478</v>
      </c>
      <c r="U10" s="13" t="n">
        <v>0.009442000000000001</v>
      </c>
      <c r="V10" s="13" t="n">
        <v>0.009309</v>
      </c>
      <c r="W10" s="13" t="n">
        <v>0.009323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300000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200000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50000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120000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2500000</v>
      </c>
      <c r="D7" s="11" t="n">
        <v>10334854</v>
      </c>
      <c r="E7" s="11" t="n">
        <v>10386803</v>
      </c>
      <c r="F7" s="11" t="n">
        <v>10386803</v>
      </c>
      <c r="G7" s="11" t="n">
        <v>10386803</v>
      </c>
      <c r="H7" s="11" t="n">
        <v>10386803</v>
      </c>
      <c r="I7" s="11" t="n">
        <v>10386803</v>
      </c>
      <c r="J7" s="11" t="n">
        <v>10386803</v>
      </c>
      <c r="K7" s="11" t="n">
        <v>10386803</v>
      </c>
      <c r="L7" s="11" t="n">
        <v>10386803</v>
      </c>
      <c r="M7" s="11" t="n">
        <v>10386803</v>
      </c>
      <c r="N7" s="11" t="n">
        <v>10386803</v>
      </c>
      <c r="O7" s="11" t="n">
        <v>10386803</v>
      </c>
      <c r="P7" s="11" t="n">
        <v>10386803</v>
      </c>
      <c r="Q7" s="11" t="n">
        <v>10386803</v>
      </c>
      <c r="R7" s="11" t="n">
        <v>10386803</v>
      </c>
      <c r="S7" s="11" t="n">
        <v>10386803</v>
      </c>
      <c r="T7" s="11" t="n">
        <v>10386803</v>
      </c>
      <c r="U7" s="11" t="n">
        <v>10386803</v>
      </c>
      <c r="V7" s="11" t="n">
        <v>10386803</v>
      </c>
      <c r="W7" s="11" t="n">
        <v>10386803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106619</v>
      </c>
      <c r="R9" s="11" t="n">
        <v>325400</v>
      </c>
      <c r="S9" s="11" t="n">
        <v>318633</v>
      </c>
      <c r="T9" s="11" t="n">
        <v>331842</v>
      </c>
      <c r="U9" s="11" t="n">
        <v>343669</v>
      </c>
      <c r="V9" s="11" t="n">
        <v>388534</v>
      </c>
      <c r="W9" s="11" t="n">
        <v>310098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150000</v>
      </c>
      <c r="D12" s="11" t="n">
        <v>150000</v>
      </c>
      <c r="E12" s="11" t="n">
        <v>150000</v>
      </c>
      <c r="F12" s="11" t="n">
        <v>150000</v>
      </c>
      <c r="G12" s="11" t="n">
        <v>150000</v>
      </c>
      <c r="H12" s="11" t="n">
        <v>150000</v>
      </c>
      <c r="I12" s="11" t="n">
        <v>150000</v>
      </c>
      <c r="J12" s="11" t="n">
        <v>150000</v>
      </c>
      <c r="K12" s="11" t="n">
        <v>150000</v>
      </c>
      <c r="L12" s="11" t="n">
        <v>150000</v>
      </c>
      <c r="M12" s="11" t="n">
        <v>150000</v>
      </c>
      <c r="N12" s="11" t="n">
        <v>150000</v>
      </c>
      <c r="O12" s="11" t="n">
        <v>150000</v>
      </c>
      <c r="P12" s="11" t="n">
        <v>150000</v>
      </c>
      <c r="Q12" s="11" t="n">
        <v>150000</v>
      </c>
      <c r="R12" s="11" t="n">
        <v>150000</v>
      </c>
      <c r="S12" s="11" t="n">
        <v>150000</v>
      </c>
      <c r="T12" s="11" t="n">
        <v>150000</v>
      </c>
      <c r="U12" s="11" t="n">
        <v>150000</v>
      </c>
      <c r="V12" s="11" t="n">
        <v>150000</v>
      </c>
      <c r="W12" s="11" t="n">
        <v>150000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shipment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shipment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shipment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shipment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0.7</v>
      </c>
      <c r="D12" s="14" t="n">
        <v>0.7593462861657782</v>
      </c>
      <c r="E12" s="14" t="n">
        <v>0.7575227512460523</v>
      </c>
      <c r="F12" s="14" t="n">
        <v>0.7555740500048554</v>
      </c>
      <c r="G12" s="14" t="n">
        <v>0.7535297739127376</v>
      </c>
      <c r="H12" s="14" t="n">
        <v>0.7488349578030582</v>
      </c>
      <c r="I12" s="14" t="n">
        <v>0.7478295586865228</v>
      </c>
      <c r="J12" s="14" t="n">
        <v>0.745768904628955</v>
      </c>
      <c r="K12" s="14" t="n">
        <v>0.7438580682395565</v>
      </c>
      <c r="L12" s="14" t="n">
        <v>0.7407761436602032</v>
      </c>
      <c r="M12" s="14" t="n">
        <v>0.7394585340286338</v>
      </c>
      <c r="N12" s="14" t="n">
        <v>0.7382264126848933</v>
      </c>
      <c r="O12" s="14" t="n">
        <v>0.7399737319306425</v>
      </c>
      <c r="P12" s="14" t="n">
        <v>0.7399881001222293</v>
      </c>
      <c r="Q12" s="14" t="n">
        <v>0.7410602404778484</v>
      </c>
      <c r="R12" s="14" t="n">
        <v>0.7419375526042897</v>
      </c>
      <c r="S12" s="14" t="n">
        <v>0.742708629889169</v>
      </c>
      <c r="T12" s="14" t="n">
        <v>0.7420532815502457</v>
      </c>
      <c r="U12" s="14" t="n">
        <v>0.7427382145421908</v>
      </c>
      <c r="V12" s="14" t="n">
        <v>0.7434034421210099</v>
      </c>
      <c r="W12" s="14" t="n">
        <v>0.7440554223316151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0.09</v>
      </c>
      <c r="D13" s="14" t="n">
        <v>0.0602477351144356</v>
      </c>
      <c r="E13" s="14" t="n">
        <v>0.05972378123960796</v>
      </c>
      <c r="F13" s="14" t="n">
        <v>0.05914370536357041</v>
      </c>
      <c r="G13" s="14" t="n">
        <v>0.05851850426997483</v>
      </c>
      <c r="H13" s="14" t="n">
        <v>0.05680689641490622</v>
      </c>
      <c r="I13" s="14" t="n">
        <v>0.05658595475791323</v>
      </c>
      <c r="J13" s="14" t="n">
        <v>0.05592742901999877</v>
      </c>
      <c r="K13" s="14" t="n">
        <v>0.05532318623365835</v>
      </c>
      <c r="L13" s="14" t="n">
        <v>0.05422162290580113</v>
      </c>
      <c r="M13" s="14" t="n">
        <v>0.05384914513728081</v>
      </c>
      <c r="N13" s="14" t="n">
        <v>0.05350850953805018</v>
      </c>
      <c r="O13" s="14" t="n">
        <v>0.05424997674333322</v>
      </c>
      <c r="P13" s="14" t="n">
        <v>0.05425607382197909</v>
      </c>
      <c r="Q13" s="14" t="n">
        <v>0.05471103184701426</v>
      </c>
      <c r="R13" s="14" t="n">
        <v>0.05508331537341385</v>
      </c>
      <c r="S13" s="14" t="n">
        <v>0.05541051861395933</v>
      </c>
      <c r="T13" s="14" t="n">
        <v>0.05513242444053888</v>
      </c>
      <c r="U13" s="14" t="n">
        <v>0.05542307273081501</v>
      </c>
      <c r="V13" s="14" t="n">
        <v>0.05570535911605583</v>
      </c>
      <c r="W13" s="14" t="n">
        <v>0.05598202403909913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0.000985</v>
      </c>
      <c r="E14" s="14" t="n">
        <v>0.0009829999999999999</v>
      </c>
      <c r="F14" s="14" t="n">
        <v>0.0009810000000000001</v>
      </c>
      <c r="G14" s="14" t="n">
        <v>0.00098</v>
      </c>
      <c r="H14" s="14" t="n">
        <v>0.0009779999999999999</v>
      </c>
      <c r="I14" s="14" t="n">
        <v>0.000976</v>
      </c>
      <c r="J14" s="14" t="n">
        <v>0.000974</v>
      </c>
      <c r="K14" s="14" t="n">
        <v>0.000972</v>
      </c>
      <c r="L14" s="14" t="n">
        <v>0.0009700000000000001</v>
      </c>
      <c r="M14" s="14" t="n">
        <v>0.000968</v>
      </c>
      <c r="N14" s="14" t="n">
        <v>0.000966</v>
      </c>
      <c r="O14" s="14" t="n">
        <v>0.000966</v>
      </c>
      <c r="P14" s="14" t="n">
        <v>0.000966</v>
      </c>
      <c r="Q14" s="14" t="n">
        <v>0.000966</v>
      </c>
      <c r="R14" s="14" t="n">
        <v>0.000966</v>
      </c>
      <c r="S14" s="14" t="n">
        <v>0.000966</v>
      </c>
      <c r="T14" s="14" t="n">
        <v>0.000966</v>
      </c>
      <c r="U14" s="14" t="n">
        <v>0.000966</v>
      </c>
      <c r="V14" s="14" t="n">
        <v>0.000966</v>
      </c>
      <c r="W14" s="14" t="n">
        <v>0.000966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100561.25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6.499999999999999e-05</v>
      </c>
      <c r="D17" s="14" t="n">
        <v>0.0602477351144356</v>
      </c>
      <c r="E17" s="14" t="n">
        <v>0.05972378123960796</v>
      </c>
      <c r="F17" s="14" t="n">
        <v>0.05914370536357041</v>
      </c>
      <c r="G17" s="14" t="n">
        <v>0.05851850426997483</v>
      </c>
      <c r="H17" s="14" t="n">
        <v>0.05680689641490622</v>
      </c>
      <c r="I17" s="14" t="n">
        <v>0.05658595475791323</v>
      </c>
      <c r="J17" s="14" t="n">
        <v>0.05592742901999877</v>
      </c>
      <c r="K17" s="14" t="n">
        <v>0.05532318623365835</v>
      </c>
      <c r="L17" s="14" t="n">
        <v>0.05422162290580113</v>
      </c>
      <c r="M17" s="14" t="n">
        <v>0.05384914513728081</v>
      </c>
      <c r="N17" s="14" t="n">
        <v>0.05350850953805018</v>
      </c>
      <c r="O17" s="14" t="n">
        <v>0.05424997674333322</v>
      </c>
      <c r="P17" s="14" t="n">
        <v>0.05425607382197909</v>
      </c>
      <c r="Q17" s="14" t="n">
        <v>0.05471103184701426</v>
      </c>
      <c r="R17" s="14" t="n">
        <v>0.05508331537341385</v>
      </c>
      <c r="S17" s="14" t="n">
        <v>0.05541051861395933</v>
      </c>
      <c r="T17" s="14" t="n">
        <v>0.05513242444053888</v>
      </c>
      <c r="U17" s="14" t="n">
        <v>0.05542307273081501</v>
      </c>
      <c r="V17" s="14" t="n">
        <v>0.05570535911605583</v>
      </c>
      <c r="W17" s="14" t="n">
        <v>0.05598202403909913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0.183976</v>
      </c>
      <c r="D22" s="14" t="n">
        <v>0.183976</v>
      </c>
      <c r="E22" s="14" t="n">
        <v>0.183976</v>
      </c>
      <c r="F22" s="14" t="n">
        <v>0.183976</v>
      </c>
      <c r="G22" s="14" t="n">
        <v>0.183976</v>
      </c>
      <c r="H22" s="14" t="n">
        <v>0.183976</v>
      </c>
      <c r="I22" s="14" t="n">
        <v>0.183976</v>
      </c>
      <c r="J22" s="14" t="n">
        <v>0.183976</v>
      </c>
      <c r="K22" s="14" t="n">
        <v>0.183976</v>
      </c>
      <c r="L22" s="14" t="n">
        <v>0.183976</v>
      </c>
      <c r="M22" s="14" t="n">
        <v>0.183976</v>
      </c>
      <c r="N22" s="14" t="n">
        <v>0.183976</v>
      </c>
      <c r="O22" s="14" t="n">
        <v>0.183976</v>
      </c>
      <c r="P22" s="14" t="n">
        <v>0.183976</v>
      </c>
      <c r="Q22" s="14" t="n">
        <v>0.183976</v>
      </c>
      <c r="R22" s="14" t="n">
        <v>0.183976</v>
      </c>
      <c r="S22" s="14" t="n">
        <v>0.183976</v>
      </c>
      <c r="T22" s="14" t="n">
        <v>0.183976</v>
      </c>
      <c r="U22" s="14" t="n">
        <v>0.183976</v>
      </c>
      <c r="V22" s="14" t="n">
        <v>0.183976</v>
      </c>
      <c r="W22" s="14" t="n">
        <v>0.183976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39000000</v>
      </c>
      <c r="D7" s="31" t="n">
        <v>7523697.96</v>
      </c>
      <c r="E7" s="31" t="n">
        <v>7632432.62359</v>
      </c>
      <c r="F7" s="31" t="n">
        <v>7727815.905759</v>
      </c>
      <c r="G7" s="31" t="n">
        <v>7812458.963561</v>
      </c>
      <c r="H7" s="31" t="n">
        <v>7889704.790291</v>
      </c>
      <c r="I7" s="31" t="n">
        <v>7964710.776</v>
      </c>
      <c r="J7" s="31" t="n">
        <v>8046270.54688</v>
      </c>
      <c r="K7" s="31" t="n">
        <v>8148963.112868</v>
      </c>
      <c r="L7" s="31" t="n">
        <v>8291351.327052</v>
      </c>
      <c r="M7" s="31" t="n">
        <v>8481179.881395999</v>
      </c>
      <c r="N7" s="31" t="n">
        <v>8692379.42625</v>
      </c>
      <c r="O7" s="31" t="n">
        <v>8875543.536449</v>
      </c>
      <c r="P7" s="31" t="n">
        <v>9003409.877006</v>
      </c>
      <c r="Q7" s="31" t="n">
        <v>9082439.696930001</v>
      </c>
      <c r="R7" s="31" t="n">
        <v>9130284.752814</v>
      </c>
      <c r="S7" s="31" t="n">
        <v>9160779.071249999</v>
      </c>
      <c r="T7" s="31" t="n">
        <v>9181887.894989001</v>
      </c>
      <c r="U7" s="31" t="n">
        <v>9197735.915202999</v>
      </c>
      <c r="V7" s="31" t="n">
        <v>9210377.714674</v>
      </c>
      <c r="W7" s="31" t="n">
        <v>9220857.286082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27300000</v>
      </c>
      <c r="D8" s="31" t="n">
        <v>5713092.104159</v>
      </c>
      <c r="E8" s="31" t="n">
        <v>5781741.359722</v>
      </c>
      <c r="F8" s="31" t="n">
        <v>5838937.161606</v>
      </c>
      <c r="G8" s="31" t="n">
        <v>5886920.436515</v>
      </c>
      <c r="H8" s="31" t="n">
        <v>5908086.753716</v>
      </c>
      <c r="I8" s="31" t="n">
        <v>5956246.144682</v>
      </c>
      <c r="J8" s="31" t="n">
        <v>6000658.372095</v>
      </c>
      <c r="K8" s="31" t="n">
        <v>6061671.959293</v>
      </c>
      <c r="L8" s="31" t="n">
        <v>6142035.261786</v>
      </c>
      <c r="M8" s="31" t="n">
        <v>6271480.84193</v>
      </c>
      <c r="N8" s="31" t="n">
        <v>6416944.081537</v>
      </c>
      <c r="O8" s="31" t="n">
        <v>6567669.073579</v>
      </c>
      <c r="P8" s="31" t="n">
        <v>6662416.169508</v>
      </c>
      <c r="Q8" s="31" t="n">
        <v>6730634.945933</v>
      </c>
      <c r="R8" s="31" t="n">
        <v>6774101.124083</v>
      </c>
      <c r="S8" s="31" t="n">
        <v>6803789.672725</v>
      </c>
      <c r="T8" s="31" t="n">
        <v>6813450.043303</v>
      </c>
      <c r="U8" s="31" t="n">
        <v>6831509.951488</v>
      </c>
      <c r="V8" s="31" t="n">
        <v>6847026.496323</v>
      </c>
      <c r="W8" s="31" t="n">
        <v>6860828.862256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11700000</v>
      </c>
      <c r="D9" s="31" t="n">
        <v>1810605.855841</v>
      </c>
      <c r="E9" s="31" t="n">
        <v>1850691.263868</v>
      </c>
      <c r="F9" s="31" t="n">
        <v>1888878.744153</v>
      </c>
      <c r="G9" s="31" t="n">
        <v>1925538.527046</v>
      </c>
      <c r="H9" s="31" t="n">
        <v>1981618.036575</v>
      </c>
      <c r="I9" s="31" t="n">
        <v>2008464.631318</v>
      </c>
      <c r="J9" s="31" t="n">
        <v>2045612.174785</v>
      </c>
      <c r="K9" s="31" t="n">
        <v>2087291.153575</v>
      </c>
      <c r="L9" s="31" t="n">
        <v>2149316.065267</v>
      </c>
      <c r="M9" s="31" t="n">
        <v>2209699.039466</v>
      </c>
      <c r="N9" s="31" t="n">
        <v>2275435.344713</v>
      </c>
      <c r="O9" s="31" t="n">
        <v>2307874.46287</v>
      </c>
      <c r="P9" s="31" t="n">
        <v>2340993.707499</v>
      </c>
      <c r="Q9" s="31" t="n">
        <v>2351804.750998</v>
      </c>
      <c r="R9" s="31" t="n">
        <v>2356183.628731</v>
      </c>
      <c r="S9" s="31" t="n">
        <v>2356989.398525</v>
      </c>
      <c r="T9" s="31" t="n">
        <v>2368437.851686</v>
      </c>
      <c r="U9" s="31" t="n">
        <v>2366225.963714</v>
      </c>
      <c r="V9" s="31" t="n">
        <v>2363351.218351</v>
      </c>
      <c r="W9" s="31" t="n">
        <v>2360028.423827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3510000</v>
      </c>
      <c r="D10" s="31" t="n">
        <v>453285.761775</v>
      </c>
      <c r="E10" s="31" t="n">
        <v>455837.736337</v>
      </c>
      <c r="F10" s="31" t="n">
        <v>457051.667034</v>
      </c>
      <c r="G10" s="31" t="n">
        <v>457173.413218</v>
      </c>
      <c r="H10" s="31" t="n">
        <v>448189.642766</v>
      </c>
      <c r="I10" s="31" t="n">
        <v>450690.763631</v>
      </c>
      <c r="J10" s="31" t="n">
        <v>450007.224886</v>
      </c>
      <c r="K10" s="31" t="n">
        <v>450826.603904</v>
      </c>
      <c r="L10" s="31" t="n">
        <v>449570.525035</v>
      </c>
      <c r="M10" s="31" t="n">
        <v>456704.286369</v>
      </c>
      <c r="N10" s="31" t="n">
        <v>465116.267438</v>
      </c>
      <c r="O10" s="31" t="n">
        <v>481498.030437</v>
      </c>
      <c r="P10" s="31" t="n">
        <v>488489.670936</v>
      </c>
      <c r="Q10" s="31" t="n">
        <v>496909.647507</v>
      </c>
      <c r="R10" s="31" t="n">
        <v>502926.354488</v>
      </c>
      <c r="S10" s="31" t="n">
        <v>507603.519246</v>
      </c>
      <c r="T10" s="31" t="n">
        <v>506219.740592</v>
      </c>
      <c r="U10" s="31" t="n">
        <v>509766.786587</v>
      </c>
      <c r="V10" s="31" t="n">
        <v>513067.39819</v>
      </c>
      <c r="W10" s="31" t="n">
        <v>516202.254251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7410.842491</v>
      </c>
      <c r="E11" s="31" t="n">
        <v>7502.681269</v>
      </c>
      <c r="F11" s="31" t="n">
        <v>7580.987404</v>
      </c>
      <c r="G11" s="31" t="n">
        <v>7656.209784</v>
      </c>
      <c r="H11" s="31" t="n">
        <v>7716.131285</v>
      </c>
      <c r="I11" s="31" t="n">
        <v>7773.557717</v>
      </c>
      <c r="J11" s="31" t="n">
        <v>7837.067513</v>
      </c>
      <c r="K11" s="31" t="n">
        <v>7920.792146</v>
      </c>
      <c r="L11" s="31" t="n">
        <v>8042.610787</v>
      </c>
      <c r="M11" s="31" t="n">
        <v>8209.782125</v>
      </c>
      <c r="N11" s="31" t="n">
        <v>8396.838526</v>
      </c>
      <c r="O11" s="31" t="n">
        <v>8573.775056</v>
      </c>
      <c r="P11" s="31" t="n">
        <v>8697.293941</v>
      </c>
      <c r="Q11" s="31" t="n">
        <v>8773.636747</v>
      </c>
      <c r="R11" s="31" t="n">
        <v>8819.855071</v>
      </c>
      <c r="S11" s="31" t="n">
        <v>8849.312583000001</v>
      </c>
      <c r="T11" s="31" t="n">
        <v>8869.703707000001</v>
      </c>
      <c r="U11" s="31" t="n">
        <v>8885.012894</v>
      </c>
      <c r="V11" s="31" t="n">
        <v>8897.224872000001</v>
      </c>
      <c r="W11" s="31" t="n">
        <v>8907.348137999999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150000</v>
      </c>
      <c r="D12" s="31" t="n">
        <v>150000</v>
      </c>
      <c r="E12" s="31" t="n">
        <v>150000</v>
      </c>
      <c r="F12" s="31" t="n">
        <v>150000</v>
      </c>
      <c r="G12" s="31" t="n">
        <v>150000</v>
      </c>
      <c r="H12" s="31" t="n">
        <v>150000</v>
      </c>
      <c r="I12" s="31" t="n">
        <v>150000</v>
      </c>
      <c r="J12" s="31" t="n">
        <v>150000</v>
      </c>
      <c r="K12" s="31" t="n">
        <v>150000</v>
      </c>
      <c r="L12" s="31" t="n">
        <v>150000</v>
      </c>
      <c r="M12" s="31" t="n">
        <v>150000</v>
      </c>
      <c r="N12" s="31" t="n">
        <v>150000</v>
      </c>
      <c r="O12" s="31" t="n">
        <v>150000</v>
      </c>
      <c r="P12" s="31" t="n">
        <v>150000</v>
      </c>
      <c r="Q12" s="31" t="n">
        <v>150000</v>
      </c>
      <c r="R12" s="31" t="n">
        <v>150000</v>
      </c>
      <c r="S12" s="31" t="n">
        <v>150000</v>
      </c>
      <c r="T12" s="31" t="n">
        <v>150000</v>
      </c>
      <c r="U12" s="31" t="n">
        <v>150000</v>
      </c>
      <c r="V12" s="31" t="n">
        <v>150000</v>
      </c>
      <c r="W12" s="31" t="n">
        <v>150000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100561.25</v>
      </c>
      <c r="D13" s="31" t="n">
        <v>709005</v>
      </c>
      <c r="E13" s="31" t="n">
        <v>709005</v>
      </c>
      <c r="F13" s="31" t="n">
        <v>709005</v>
      </c>
      <c r="G13" s="31" t="n">
        <v>709005</v>
      </c>
      <c r="H13" s="31" t="n">
        <v>730280</v>
      </c>
      <c r="I13" s="31" t="n">
        <v>730280</v>
      </c>
      <c r="J13" s="31" t="n">
        <v>730280</v>
      </c>
      <c r="K13" s="31" t="n">
        <v>730280</v>
      </c>
      <c r="L13" s="31" t="n">
        <v>752187</v>
      </c>
      <c r="M13" s="31" t="n">
        <v>752187</v>
      </c>
      <c r="N13" s="31" t="n">
        <v>752187</v>
      </c>
      <c r="O13" s="31" t="n">
        <v>752187</v>
      </c>
      <c r="P13" s="31" t="n">
        <v>774744</v>
      </c>
      <c r="Q13" s="31" t="n">
        <v>774744</v>
      </c>
      <c r="R13" s="31" t="n">
        <v>774744</v>
      </c>
      <c r="S13" s="31" t="n">
        <v>774744</v>
      </c>
      <c r="T13" s="31" t="n">
        <v>797992</v>
      </c>
      <c r="U13" s="31" t="n">
        <v>797992</v>
      </c>
      <c r="V13" s="31" t="n">
        <v>797992</v>
      </c>
      <c r="W13" s="31" t="n">
        <v>797992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2535</v>
      </c>
      <c r="D14" s="31" t="n">
        <v>453285.761775</v>
      </c>
      <c r="E14" s="31" t="n">
        <v>455837.736337</v>
      </c>
      <c r="F14" s="31" t="n">
        <v>457051.667034</v>
      </c>
      <c r="G14" s="31" t="n">
        <v>457173.413218</v>
      </c>
      <c r="H14" s="31" t="n">
        <v>448189.642766</v>
      </c>
      <c r="I14" s="31" t="n">
        <v>450690.763631</v>
      </c>
      <c r="J14" s="31" t="n">
        <v>450007.224886</v>
      </c>
      <c r="K14" s="31" t="n">
        <v>450826.603904</v>
      </c>
      <c r="L14" s="31" t="n">
        <v>449570.525035</v>
      </c>
      <c r="M14" s="31" t="n">
        <v>456704.286369</v>
      </c>
      <c r="N14" s="31" t="n">
        <v>465116.267438</v>
      </c>
      <c r="O14" s="31" t="n">
        <v>481498.030437</v>
      </c>
      <c r="P14" s="31" t="n">
        <v>488489.670936</v>
      </c>
      <c r="Q14" s="31" t="n">
        <v>496909.647507</v>
      </c>
      <c r="R14" s="31" t="n">
        <v>502926.354488</v>
      </c>
      <c r="S14" s="31" t="n">
        <v>507603.519246</v>
      </c>
      <c r="T14" s="31" t="n">
        <v>506219.740592</v>
      </c>
      <c r="U14" s="31" t="n">
        <v>509766.786587</v>
      </c>
      <c r="V14" s="31" t="n">
        <v>513067.39819</v>
      </c>
      <c r="W14" s="31" t="n">
        <v>516202.254251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7936903.75</v>
      </c>
      <c r="D15" s="31" t="n">
        <v>37618.4898</v>
      </c>
      <c r="E15" s="31" t="n">
        <v>72508.109924</v>
      </c>
      <c r="F15" s="31" t="n">
        <v>108189.422681</v>
      </c>
      <c r="G15" s="31" t="n">
        <v>144530.490826</v>
      </c>
      <c r="H15" s="31" t="n">
        <v>197242.619757</v>
      </c>
      <c r="I15" s="31" t="n">
        <v>219029.54634</v>
      </c>
      <c r="J15" s="31" t="n">
        <v>257480.6575</v>
      </c>
      <c r="K15" s="31" t="n">
        <v>297437.15362</v>
      </c>
      <c r="L15" s="31" t="n">
        <v>339945.404409</v>
      </c>
      <c r="M15" s="31" t="n">
        <v>385893.684603</v>
      </c>
      <c r="N15" s="31" t="n">
        <v>434618.971312</v>
      </c>
      <c r="O15" s="31" t="n">
        <v>434117.62694</v>
      </c>
      <c r="P15" s="31" t="n">
        <v>430573.071685</v>
      </c>
      <c r="Q15" s="31" t="n">
        <v>424467.819236</v>
      </c>
      <c r="R15" s="31" t="n">
        <v>416767.064683</v>
      </c>
      <c r="S15" s="31" t="n">
        <v>408189.04745</v>
      </c>
      <c r="T15" s="31" t="n">
        <v>399136.666795</v>
      </c>
      <c r="U15" s="31" t="n">
        <v>389815.377646</v>
      </c>
      <c r="V15" s="31" t="n">
        <v>380327.197097</v>
      </c>
      <c r="W15" s="31" t="n">
        <v>370724.567187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6250</v>
      </c>
      <c r="D16" s="31" t="n">
        <v>12492.1875</v>
      </c>
      <c r="E16" s="31" t="n">
        <v>11851.5625</v>
      </c>
      <c r="F16" s="31" t="n">
        <v>11210.9375</v>
      </c>
      <c r="G16" s="31" t="n">
        <v>10570.3125</v>
      </c>
      <c r="H16" s="31" t="n">
        <v>9929.6875</v>
      </c>
      <c r="I16" s="31" t="n">
        <v>9289.0625</v>
      </c>
      <c r="J16" s="31" t="n">
        <v>8648.4375</v>
      </c>
      <c r="K16" s="31" t="n">
        <v>8007.8125</v>
      </c>
      <c r="L16" s="31" t="n">
        <v>7367.1875</v>
      </c>
      <c r="M16" s="31" t="n">
        <v>6726.5625</v>
      </c>
      <c r="N16" s="31" t="n">
        <v>6085.9375</v>
      </c>
      <c r="O16" s="31" t="n">
        <v>5445.3125</v>
      </c>
      <c r="P16" s="31" t="n">
        <v>4804.6875</v>
      </c>
      <c r="Q16" s="31" t="n">
        <v>2798.045</v>
      </c>
      <c r="R16" s="31" t="n">
        <v>555.8575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234</v>
      </c>
      <c r="E17" s="31" t="n">
        <v>470.260855</v>
      </c>
      <c r="F17" s="31" t="n">
        <v>707.303886</v>
      </c>
      <c r="G17" s="31" t="n">
        <v>946.680532</v>
      </c>
      <c r="H17" s="31" t="n">
        <v>1186.903673</v>
      </c>
      <c r="I17" s="31" t="n">
        <v>1428.936587</v>
      </c>
      <c r="J17" s="31" t="n">
        <v>1672.520039</v>
      </c>
      <c r="K17" s="31" t="n">
        <v>1917.391564</v>
      </c>
      <c r="L17" s="31" t="n">
        <v>2162.656176</v>
      </c>
      <c r="M17" s="31" t="n">
        <v>2409.93815</v>
      </c>
      <c r="N17" s="31" t="n">
        <v>2657.709451</v>
      </c>
      <c r="O17" s="31" t="n">
        <v>2906.33556</v>
      </c>
      <c r="P17" s="31" t="n">
        <v>3155.546912</v>
      </c>
      <c r="Q17" s="31" t="n">
        <v>3405.712571</v>
      </c>
      <c r="R17" s="31" t="n">
        <v>3656.559355</v>
      </c>
      <c r="S17" s="31" t="n">
        <v>3907.810018</v>
      </c>
      <c r="T17" s="31" t="n">
        <v>4159.829072</v>
      </c>
      <c r="U17" s="31" t="n">
        <v>4412.330842</v>
      </c>
      <c r="V17" s="31" t="n">
        <v>4664.377768</v>
      </c>
      <c r="W17" s="31" t="n">
        <v>4916.972823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1459049.95431</v>
      </c>
      <c r="D18" s="31" t="n">
        <v>4579.586208</v>
      </c>
      <c r="E18" s="31" t="n">
        <v>11072.832258</v>
      </c>
      <c r="F18" s="31" t="n">
        <v>17711.58685</v>
      </c>
      <c r="G18" s="31" t="n">
        <v>24471.29127</v>
      </c>
      <c r="H18" s="31" t="n">
        <v>34242.722235</v>
      </c>
      <c r="I18" s="31" t="n">
        <v>38324.325217</v>
      </c>
      <c r="J18" s="31" t="n">
        <v>45471.45296</v>
      </c>
      <c r="K18" s="31" t="n">
        <v>52895.298432</v>
      </c>
      <c r="L18" s="31" t="n">
        <v>60788.533202</v>
      </c>
      <c r="M18" s="31" t="n">
        <v>69314.279675</v>
      </c>
      <c r="N18" s="31" t="n">
        <v>78350.83867500001</v>
      </c>
      <c r="O18" s="31" t="n">
        <v>78330.72173</v>
      </c>
      <c r="P18" s="31" t="n">
        <v>77750.61934999999</v>
      </c>
      <c r="Q18" s="31" t="n">
        <v>76950.54900899999</v>
      </c>
      <c r="R18" s="31" t="n">
        <v>75900.15388899999</v>
      </c>
      <c r="S18" s="31" t="n">
        <v>74378.04493800001</v>
      </c>
      <c r="T18" s="31" t="n">
        <v>72666.258697</v>
      </c>
      <c r="U18" s="31" t="n">
        <v>70904.91093899999</v>
      </c>
      <c r="V18" s="31" t="n">
        <v>69112.942849</v>
      </c>
      <c r="W18" s="31" t="n">
        <v>67299.817981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6471603.79569</v>
      </c>
      <c r="D19" s="31" t="n">
        <v>20312.716092</v>
      </c>
      <c r="E19" s="31" t="n">
        <v>49113.454311</v>
      </c>
      <c r="F19" s="31" t="n">
        <v>78559.594445</v>
      </c>
      <c r="G19" s="31" t="n">
        <v>108542.206524</v>
      </c>
      <c r="H19" s="31" t="n">
        <v>151883.306349</v>
      </c>
      <c r="I19" s="31" t="n">
        <v>169987.222035</v>
      </c>
      <c r="J19" s="31" t="n">
        <v>201688.247001</v>
      </c>
      <c r="K19" s="31" t="n">
        <v>234616.651125</v>
      </c>
      <c r="L19" s="31" t="n">
        <v>269627.027532</v>
      </c>
      <c r="M19" s="31" t="n">
        <v>307442.904279</v>
      </c>
      <c r="N19" s="31" t="n">
        <v>347524.485687</v>
      </c>
      <c r="O19" s="31" t="n">
        <v>347435.25715</v>
      </c>
      <c r="P19" s="31" t="n">
        <v>344862.217922</v>
      </c>
      <c r="Q19" s="31" t="n">
        <v>341313.512656</v>
      </c>
      <c r="R19" s="31" t="n">
        <v>336654.493939</v>
      </c>
      <c r="S19" s="31" t="n">
        <v>329903.192494</v>
      </c>
      <c r="T19" s="31" t="n">
        <v>322310.579026</v>
      </c>
      <c r="U19" s="31" t="n">
        <v>314498.135866</v>
      </c>
      <c r="V19" s="31" t="n">
        <v>306549.87648</v>
      </c>
      <c r="W19" s="31" t="n">
        <v>298507.776384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300000</v>
      </c>
      <c r="D23" s="31" t="n">
        <v>3743039.791954</v>
      </c>
      <c r="E23" s="31" t="n">
        <v>3779962.481457</v>
      </c>
      <c r="F23" s="31" t="n">
        <v>3831538.342686</v>
      </c>
      <c r="G23" s="31" t="n">
        <v>3879151.036279</v>
      </c>
      <c r="H23" s="31" t="n">
        <v>3979637.66788</v>
      </c>
      <c r="I23" s="31" t="n">
        <v>4115218.92739</v>
      </c>
      <c r="J23" s="31" t="n">
        <v>4289498.120623</v>
      </c>
      <c r="K23" s="31" t="n">
        <v>4470507.435097</v>
      </c>
      <c r="L23" s="31" t="n">
        <v>4655795.16119</v>
      </c>
      <c r="M23" s="31" t="n">
        <v>4859249.898273</v>
      </c>
      <c r="N23" s="31" t="n">
        <v>5128327.231933</v>
      </c>
      <c r="O23" s="31" t="n">
        <v>5374963.689467</v>
      </c>
      <c r="P23" s="31" t="n">
        <v>5661847.081878</v>
      </c>
      <c r="Q23" s="31" t="n">
        <v>5771982.493892</v>
      </c>
      <c r="R23" s="31" t="n">
        <v>5809012.364075</v>
      </c>
      <c r="S23" s="31" t="n">
        <v>5835059.821168</v>
      </c>
      <c r="T23" s="31" t="n">
        <v>5855167.526248</v>
      </c>
      <c r="U23" s="31" t="n">
        <v>5871947.901112</v>
      </c>
      <c r="V23" s="31" t="n">
        <v>5886699.844136</v>
      </c>
      <c r="W23" s="31" t="n">
        <v>5900087.686989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200000</v>
      </c>
      <c r="D24" s="31" t="n">
        <v>3730772.836252</v>
      </c>
      <c r="E24" s="31" t="n">
        <v>3766044.101138</v>
      </c>
      <c r="F24" s="31" t="n">
        <v>3817779.417633</v>
      </c>
      <c r="G24" s="31" t="n">
        <v>3828792.302683</v>
      </c>
      <c r="H24" s="31" t="n">
        <v>3838586.647386</v>
      </c>
      <c r="I24" s="31" t="n">
        <v>3854441.786646</v>
      </c>
      <c r="J24" s="31" t="n">
        <v>3885756.786945</v>
      </c>
      <c r="K24" s="31" t="n">
        <v>3914972.14058</v>
      </c>
      <c r="L24" s="31" t="n">
        <v>3952580.635555</v>
      </c>
      <c r="M24" s="31" t="n">
        <v>4021285.895993</v>
      </c>
      <c r="N24" s="31" t="n">
        <v>4121283.281014</v>
      </c>
      <c r="O24" s="31" t="n">
        <v>4170137.945692</v>
      </c>
      <c r="P24" s="31" t="n">
        <v>4193862.696704</v>
      </c>
      <c r="Q24" s="31" t="n">
        <v>4204389.674531</v>
      </c>
      <c r="R24" s="31" t="n">
        <v>4221571.485768</v>
      </c>
      <c r="S24" s="31" t="n">
        <v>4198950.197955</v>
      </c>
      <c r="T24" s="31" t="n">
        <v>4173493.007262</v>
      </c>
      <c r="U24" s="31" t="n">
        <v>4154630.309698</v>
      </c>
      <c r="V24" s="31" t="n">
        <v>4153399.158251</v>
      </c>
      <c r="W24" s="31" t="n">
        <v>4122520.76037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50000</v>
      </c>
      <c r="D25" s="31" t="n">
        <v>1862964.816574</v>
      </c>
      <c r="E25" s="31" t="n">
        <v>1865124.278141</v>
      </c>
      <c r="F25" s="31" t="n">
        <v>1838809.574176</v>
      </c>
      <c r="G25" s="31" t="n">
        <v>1846074.463138</v>
      </c>
      <c r="H25" s="31" t="n">
        <v>1847548.82621</v>
      </c>
      <c r="I25" s="31" t="n">
        <v>1840509.969421</v>
      </c>
      <c r="J25" s="31" t="n">
        <v>1820207.20153</v>
      </c>
      <c r="K25" s="31" t="n">
        <v>1817010.016815</v>
      </c>
      <c r="L25" s="31" t="n">
        <v>1834345.268388</v>
      </c>
      <c r="M25" s="31" t="n">
        <v>1849934.833127</v>
      </c>
      <c r="N25" s="31" t="n">
        <v>1837943.548013</v>
      </c>
      <c r="O25" s="31" t="n">
        <v>1869189.29152</v>
      </c>
      <c r="P25" s="31" t="n">
        <v>1885745.842394</v>
      </c>
      <c r="Q25" s="31" t="n">
        <v>1877162.380969</v>
      </c>
      <c r="R25" s="31" t="n">
        <v>1826211.330897</v>
      </c>
      <c r="S25" s="31" t="n">
        <v>1824507.378849</v>
      </c>
      <c r="T25" s="31" t="n">
        <v>1818515.148823</v>
      </c>
      <c r="U25" s="31" t="n">
        <v>1795613.38209</v>
      </c>
      <c r="V25" s="31" t="n">
        <v>1733883.094516</v>
      </c>
      <c r="W25" s="31" t="n">
        <v>1729035.706195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550000</v>
      </c>
      <c r="D26" s="31" t="n">
        <v>9412014.424380001</v>
      </c>
      <c r="E26" s="31" t="n">
        <v>9487218.581560001</v>
      </c>
      <c r="F26" s="31" t="n">
        <v>9564176.770824</v>
      </c>
      <c r="G26" s="31" t="n">
        <v>9631048.64748</v>
      </c>
      <c r="H26" s="31" t="n">
        <v>9743739.204213999</v>
      </c>
      <c r="I26" s="31" t="n">
        <v>9888615.119890001</v>
      </c>
      <c r="J26" s="31" t="n">
        <v>10074074.172341</v>
      </c>
      <c r="K26" s="31" t="n">
        <v>10281852.344248</v>
      </c>
      <c r="L26" s="31" t="n">
        <v>10523628.071383</v>
      </c>
      <c r="M26" s="31" t="n">
        <v>10812958.58292</v>
      </c>
      <c r="N26" s="31" t="n">
        <v>11170957.441555</v>
      </c>
      <c r="O26" s="31" t="n">
        <v>11499558.273435</v>
      </c>
      <c r="P26" s="31" t="n">
        <v>11828068.423993</v>
      </c>
      <c r="Q26" s="31" t="n">
        <v>11940580.651446</v>
      </c>
      <c r="R26" s="31" t="n">
        <v>11943076.371654</v>
      </c>
      <c r="S26" s="31" t="n">
        <v>11945205.850323</v>
      </c>
      <c r="T26" s="31" t="n">
        <v>11934201.615801</v>
      </c>
      <c r="U26" s="31" t="n">
        <v>11909036.615411</v>
      </c>
      <c r="V26" s="31" t="n">
        <v>11859721.503049</v>
      </c>
      <c r="W26" s="31" t="n">
        <v>11837610.206032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600000</v>
      </c>
      <c r="D27" s="31" t="n">
        <v>604448.4</v>
      </c>
      <c r="E27" s="31" t="n">
        <v>608695.254459</v>
      </c>
      <c r="F27" s="31" t="n">
        <v>612738.208339</v>
      </c>
      <c r="G27" s="31" t="n">
        <v>616573.3367850001</v>
      </c>
      <c r="H27" s="31" t="n">
        <v>620198.171432</v>
      </c>
      <c r="I27" s="31" t="n">
        <v>623609.261375</v>
      </c>
      <c r="J27" s="31" t="n">
        <v>626803.388012</v>
      </c>
      <c r="K27" s="31" t="n">
        <v>629777.570088</v>
      </c>
      <c r="L27" s="31" t="n">
        <v>632529.698069</v>
      </c>
      <c r="M27" s="31" t="n">
        <v>635056.021684</v>
      </c>
      <c r="N27" s="31" t="n">
        <v>637354.289426</v>
      </c>
      <c r="O27" s="31" t="n">
        <v>639421.866741</v>
      </c>
      <c r="P27" s="31" t="n">
        <v>641256.368077</v>
      </c>
      <c r="Q27" s="31" t="n">
        <v>642855.020202</v>
      </c>
      <c r="R27" s="31" t="n">
        <v>644215.301425</v>
      </c>
      <c r="S27" s="31" t="n">
        <v>645334.947619</v>
      </c>
      <c r="T27" s="31" t="n">
        <v>646211.3124770001</v>
      </c>
      <c r="U27" s="31" t="n">
        <v>646842.014719</v>
      </c>
      <c r="V27" s="31" t="n">
        <v>647225.592033</v>
      </c>
      <c r="W27" s="31" t="n">
        <v>647359.567731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-234</v>
      </c>
      <c r="E28" s="31" t="n">
        <v>-704.260855</v>
      </c>
      <c r="F28" s="31" t="n">
        <v>-1411.564741</v>
      </c>
      <c r="G28" s="31" t="n">
        <v>-2358.245273</v>
      </c>
      <c r="H28" s="31" t="n">
        <v>-3545.148946</v>
      </c>
      <c r="I28" s="31" t="n">
        <v>-4974.085533</v>
      </c>
      <c r="J28" s="31" t="n">
        <v>-6646.605572</v>
      </c>
      <c r="K28" s="31" t="n">
        <v>-8563.997136</v>
      </c>
      <c r="L28" s="31" t="n">
        <v>-10726.653312</v>
      </c>
      <c r="M28" s="31" t="n">
        <v>-13136.591461</v>
      </c>
      <c r="N28" s="31" t="n">
        <v>-15794.300912</v>
      </c>
      <c r="O28" s="31" t="n">
        <v>-18700.636472</v>
      </c>
      <c r="P28" s="31" t="n">
        <v>-21856.183384</v>
      </c>
      <c r="Q28" s="31" t="n">
        <v>-25261.895955</v>
      </c>
      <c r="R28" s="31" t="n">
        <v>-28918.45531</v>
      </c>
      <c r="S28" s="31" t="n">
        <v>-32826.265328</v>
      </c>
      <c r="T28" s="31" t="n">
        <v>-36986.094401</v>
      </c>
      <c r="U28" s="31" t="n">
        <v>-41398.425242</v>
      </c>
      <c r="V28" s="31" t="n">
        <v>-46062.803011</v>
      </c>
      <c r="W28" s="31" t="n">
        <v>-50979.775833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1150000</v>
      </c>
      <c r="D29" s="31" t="n">
        <v>10016462.82438</v>
      </c>
      <c r="E29" s="31" t="n">
        <v>10095913.836019</v>
      </c>
      <c r="F29" s="31" t="n">
        <v>10176914.979163</v>
      </c>
      <c r="G29" s="31" t="n">
        <v>10247621.984265</v>
      </c>
      <c r="H29" s="31" t="n">
        <v>10363937.375646</v>
      </c>
      <c r="I29" s="31" t="n">
        <v>10512224.381265</v>
      </c>
      <c r="J29" s="31" t="n">
        <v>10700877.560353</v>
      </c>
      <c r="K29" s="31" t="n">
        <v>10911629.914336</v>
      </c>
      <c r="L29" s="31" t="n">
        <v>11156157.769452</v>
      </c>
      <c r="M29" s="31" t="n">
        <v>11448014.604604</v>
      </c>
      <c r="N29" s="31" t="n">
        <v>11808311.730981</v>
      </c>
      <c r="O29" s="31" t="n">
        <v>12138980.140176</v>
      </c>
      <c r="P29" s="31" t="n">
        <v>12469324.79207</v>
      </c>
      <c r="Q29" s="31" t="n">
        <v>12583435.671648</v>
      </c>
      <c r="R29" s="31" t="n">
        <v>12587291.673079</v>
      </c>
      <c r="S29" s="31" t="n">
        <v>12590540.797942</v>
      </c>
      <c r="T29" s="31" t="n">
        <v>12580412.928278</v>
      </c>
      <c r="U29" s="31" t="n">
        <v>12555878.63013</v>
      </c>
      <c r="V29" s="31" t="n">
        <v>12506947.095082</v>
      </c>
      <c r="W29" s="31" t="n">
        <v>12484969.773763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120000</v>
      </c>
      <c r="D30" s="31" t="n">
        <v>1156296.108287</v>
      </c>
      <c r="E30" s="31" t="n">
        <v>1159684.665615</v>
      </c>
      <c r="F30" s="31" t="n">
        <v>1187126.214315</v>
      </c>
      <c r="G30" s="31" t="n">
        <v>1174291.012893</v>
      </c>
      <c r="H30" s="31" t="n">
        <v>1163723.097924</v>
      </c>
      <c r="I30" s="31" t="n">
        <v>1167022.881508</v>
      </c>
      <c r="J30" s="31" t="n">
        <v>1178987.813595</v>
      </c>
      <c r="K30" s="31" t="n">
        <v>1180123.516454</v>
      </c>
      <c r="L30" s="31" t="n">
        <v>1180024.344037</v>
      </c>
      <c r="M30" s="31" t="n">
        <v>1189438.27491</v>
      </c>
      <c r="N30" s="31" t="n">
        <v>1227210.915601</v>
      </c>
      <c r="O30" s="31" t="n">
        <v>1235444.067646</v>
      </c>
      <c r="P30" s="31" t="n">
        <v>1245926.501618</v>
      </c>
      <c r="Q30" s="31" t="n">
        <v>1256958.86854</v>
      </c>
      <c r="R30" s="31" t="n">
        <v>1292944.376032</v>
      </c>
      <c r="S30" s="31" t="n">
        <v>1284923.308401</v>
      </c>
      <c r="T30" s="31" t="n">
        <v>1284326.859711</v>
      </c>
      <c r="U30" s="31" t="n">
        <v>1288963.425697</v>
      </c>
      <c r="V30" s="31" t="n">
        <v>1322016.014169</v>
      </c>
      <c r="W30" s="31" t="n">
        <v>1311628.916466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75236.97960000001</v>
      </c>
      <c r="E31" s="31" t="n">
        <v>76087.720825</v>
      </c>
      <c r="F31" s="31" t="n">
        <v>76049.436329</v>
      </c>
      <c r="G31" s="31" t="n">
        <v>77030.84538100001</v>
      </c>
      <c r="H31" s="31" t="n">
        <v>77966.06273799999</v>
      </c>
      <c r="I31" s="31" t="n">
        <v>78444.436433</v>
      </c>
      <c r="J31" s="31" t="n">
        <v>78612.063243</v>
      </c>
      <c r="K31" s="31" t="n">
        <v>79362.751756</v>
      </c>
      <c r="L31" s="31" t="n">
        <v>80907.006249</v>
      </c>
      <c r="M31" s="31" t="n">
        <v>82487.95552600001</v>
      </c>
      <c r="N31" s="31" t="n">
        <v>83403.380595</v>
      </c>
      <c r="O31" s="31" t="n">
        <v>85267.34675500001</v>
      </c>
      <c r="P31" s="31" t="n">
        <v>86612.803017</v>
      </c>
      <c r="Q31" s="31" t="n">
        <v>87046.102055</v>
      </c>
      <c r="R31" s="31" t="n">
        <v>86281.19091400001</v>
      </c>
      <c r="S31" s="31" t="n">
        <v>86688.452351</v>
      </c>
      <c r="T31" s="31" t="n">
        <v>87025.933469</v>
      </c>
      <c r="U31" s="31" t="n">
        <v>86845.022511</v>
      </c>
      <c r="V31" s="31" t="n">
        <v>85739.40614599999</v>
      </c>
      <c r="W31" s="31" t="n">
        <v>85966.052478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100000</v>
      </c>
      <c r="E32" s="31" t="n">
        <v>100000</v>
      </c>
      <c r="F32" s="31" t="n">
        <v>100000</v>
      </c>
      <c r="G32" s="31" t="n">
        <v>100000</v>
      </c>
      <c r="H32" s="31" t="n">
        <v>100000</v>
      </c>
      <c r="I32" s="31" t="n">
        <v>100000</v>
      </c>
      <c r="J32" s="31" t="n">
        <v>100000</v>
      </c>
      <c r="K32" s="31" t="n">
        <v>100000</v>
      </c>
      <c r="L32" s="31" t="n">
        <v>100000</v>
      </c>
      <c r="M32" s="31" t="n">
        <v>206616</v>
      </c>
      <c r="N32" s="31" t="n">
        <v>225000</v>
      </c>
      <c r="O32" s="31" t="n">
        <v>200000</v>
      </c>
      <c r="P32" s="31" t="n">
        <v>175000</v>
      </c>
      <c r="Q32" s="31" t="n">
        <v>43384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120000</v>
      </c>
      <c r="D34" s="31" t="n">
        <v>1256296.108287</v>
      </c>
      <c r="E34" s="31" t="n">
        <v>1259684.665615</v>
      </c>
      <c r="F34" s="31" t="n">
        <v>1287126.214315</v>
      </c>
      <c r="G34" s="31" t="n">
        <v>1274291.012893</v>
      </c>
      <c r="H34" s="31" t="n">
        <v>1263723.097924</v>
      </c>
      <c r="I34" s="31" t="n">
        <v>1267022.881508</v>
      </c>
      <c r="J34" s="31" t="n">
        <v>1278987.813595</v>
      </c>
      <c r="K34" s="31" t="n">
        <v>1280123.516454</v>
      </c>
      <c r="L34" s="31" t="n">
        <v>1280024.344037</v>
      </c>
      <c r="M34" s="31" t="n">
        <v>1396054.27491</v>
      </c>
      <c r="N34" s="31" t="n">
        <v>1452210.915601</v>
      </c>
      <c r="O34" s="31" t="n">
        <v>1435444.067646</v>
      </c>
      <c r="P34" s="31" t="n">
        <v>1420926.501618</v>
      </c>
      <c r="Q34" s="31" t="n">
        <v>1300342.86854</v>
      </c>
      <c r="R34" s="31" t="n">
        <v>1292944.376032</v>
      </c>
      <c r="S34" s="31" t="n">
        <v>1284923.308401</v>
      </c>
      <c r="T34" s="31" t="n">
        <v>1284326.859711</v>
      </c>
      <c r="U34" s="31" t="n">
        <v>1288963.425697</v>
      </c>
      <c r="V34" s="31" t="n">
        <v>1322016.014169</v>
      </c>
      <c r="W34" s="31" t="n">
        <v>1311628.916466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500000</v>
      </c>
      <c r="D35" s="31" t="n">
        <v>375000</v>
      </c>
      <c r="E35" s="31" t="n">
        <v>350000</v>
      </c>
      <c r="F35" s="31" t="n">
        <v>325000</v>
      </c>
      <c r="G35" s="31" t="n">
        <v>300000</v>
      </c>
      <c r="H35" s="31" t="n">
        <v>275000</v>
      </c>
      <c r="I35" s="31" t="n">
        <v>250000</v>
      </c>
      <c r="J35" s="31" t="n">
        <v>225000</v>
      </c>
      <c r="K35" s="31" t="n">
        <v>200000</v>
      </c>
      <c r="L35" s="31" t="n">
        <v>175000</v>
      </c>
      <c r="M35" s="31" t="n">
        <v>43384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620000</v>
      </c>
      <c r="D36" s="31" t="n">
        <v>1631296.108287</v>
      </c>
      <c r="E36" s="31" t="n">
        <v>1609684.665615</v>
      </c>
      <c r="F36" s="31" t="n">
        <v>1612126.214315</v>
      </c>
      <c r="G36" s="31" t="n">
        <v>1574291.012893</v>
      </c>
      <c r="H36" s="31" t="n">
        <v>1538723.097924</v>
      </c>
      <c r="I36" s="31" t="n">
        <v>1517022.881508</v>
      </c>
      <c r="J36" s="31" t="n">
        <v>1503987.813595</v>
      </c>
      <c r="K36" s="31" t="n">
        <v>1480123.516454</v>
      </c>
      <c r="L36" s="31" t="n">
        <v>1455024.344037</v>
      </c>
      <c r="M36" s="31" t="n">
        <v>1439438.27491</v>
      </c>
      <c r="N36" s="31" t="n">
        <v>1452210.915601</v>
      </c>
      <c r="O36" s="31" t="n">
        <v>1435444.067646</v>
      </c>
      <c r="P36" s="31" t="n">
        <v>1420926.501618</v>
      </c>
      <c r="Q36" s="31" t="n">
        <v>1300342.86854</v>
      </c>
      <c r="R36" s="31" t="n">
        <v>1292944.376032</v>
      </c>
      <c r="S36" s="31" t="n">
        <v>1284923.308401</v>
      </c>
      <c r="T36" s="31" t="n">
        <v>1284326.859711</v>
      </c>
      <c r="U36" s="31" t="n">
        <v>1288963.425697</v>
      </c>
      <c r="V36" s="31" t="n">
        <v>1322016.014169</v>
      </c>
      <c r="W36" s="31" t="n">
        <v>1311628.916466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2500000</v>
      </c>
      <c r="D37" s="31" t="n">
        <v>10334854</v>
      </c>
      <c r="E37" s="31" t="n">
        <v>10386803</v>
      </c>
      <c r="F37" s="31" t="n">
        <v>10386803</v>
      </c>
      <c r="G37" s="31" t="n">
        <v>10386803</v>
      </c>
      <c r="H37" s="31" t="n">
        <v>10386803</v>
      </c>
      <c r="I37" s="31" t="n">
        <v>10386803</v>
      </c>
      <c r="J37" s="31" t="n">
        <v>10386803</v>
      </c>
      <c r="K37" s="31" t="n">
        <v>10386803</v>
      </c>
      <c r="L37" s="31" t="n">
        <v>10386803</v>
      </c>
      <c r="M37" s="31" t="n">
        <v>10386803</v>
      </c>
      <c r="N37" s="31" t="n">
        <v>10386803</v>
      </c>
      <c r="O37" s="31" t="n">
        <v>10386803</v>
      </c>
      <c r="P37" s="31" t="n">
        <v>10386803</v>
      </c>
      <c r="Q37" s="31" t="n">
        <v>10386803</v>
      </c>
      <c r="R37" s="31" t="n">
        <v>10386803</v>
      </c>
      <c r="S37" s="31" t="n">
        <v>10386803</v>
      </c>
      <c r="T37" s="31" t="n">
        <v>10386803</v>
      </c>
      <c r="U37" s="31" t="n">
        <v>10386803</v>
      </c>
      <c r="V37" s="31" t="n">
        <v>10386803</v>
      </c>
      <c r="W37" s="31" t="n">
        <v>10386803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-1970000</v>
      </c>
      <c r="D38" s="31" t="n">
        <v>-1949687.283908</v>
      </c>
      <c r="E38" s="31" t="n">
        <v>-1900573.829597</v>
      </c>
      <c r="F38" s="31" t="n">
        <v>-1822014.235151</v>
      </c>
      <c r="G38" s="31" t="n">
        <v>-1713472.028628</v>
      </c>
      <c r="H38" s="31" t="n">
        <v>-1561588.722278</v>
      </c>
      <c r="I38" s="31" t="n">
        <v>-1391601.500243</v>
      </c>
      <c r="J38" s="31" t="n">
        <v>-1189913.253242</v>
      </c>
      <c r="K38" s="31" t="n">
        <v>-955296.602118</v>
      </c>
      <c r="L38" s="31" t="n">
        <v>-685669.5745850001</v>
      </c>
      <c r="M38" s="31" t="n">
        <v>-378226.670307</v>
      </c>
      <c r="N38" s="31" t="n">
        <v>-30702.18462</v>
      </c>
      <c r="O38" s="31" t="n">
        <v>316733.07253</v>
      </c>
      <c r="P38" s="31" t="n">
        <v>661595.290452</v>
      </c>
      <c r="Q38" s="31" t="n">
        <v>896289.803108</v>
      </c>
      <c r="R38" s="31" t="n">
        <v>907544.297047</v>
      </c>
      <c r="S38" s="31" t="n">
        <v>918814.489541</v>
      </c>
      <c r="T38" s="31" t="n">
        <v>909283.068567</v>
      </c>
      <c r="U38" s="31" t="n">
        <v>880112.2044329999</v>
      </c>
      <c r="V38" s="31" t="n">
        <v>798128.080913</v>
      </c>
      <c r="W38" s="31" t="n">
        <v>786537.857297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530000</v>
      </c>
      <c r="D40" s="31" t="n">
        <v>8385166.716092</v>
      </c>
      <c r="E40" s="31" t="n">
        <v>8486229.170403</v>
      </c>
      <c r="F40" s="31" t="n">
        <v>8564788.764849</v>
      </c>
      <c r="G40" s="31" t="n">
        <v>8673330.971372001</v>
      </c>
      <c r="H40" s="31" t="n">
        <v>8825214.277721999</v>
      </c>
      <c r="I40" s="31" t="n">
        <v>8995201.499756999</v>
      </c>
      <c r="J40" s="31" t="n">
        <v>9196889.746758001</v>
      </c>
      <c r="K40" s="31" t="n">
        <v>9431506.397882</v>
      </c>
      <c r="L40" s="31" t="n">
        <v>9701133.425415</v>
      </c>
      <c r="M40" s="31" t="n">
        <v>10008576.329693</v>
      </c>
      <c r="N40" s="31" t="n">
        <v>10356100.81538</v>
      </c>
      <c r="O40" s="31" t="n">
        <v>10703536.07253</v>
      </c>
      <c r="P40" s="31" t="n">
        <v>11048398.290452</v>
      </c>
      <c r="Q40" s="31" t="n">
        <v>11283092.803108</v>
      </c>
      <c r="R40" s="31" t="n">
        <v>11294347.297047</v>
      </c>
      <c r="S40" s="31" t="n">
        <v>11305617.489541</v>
      </c>
      <c r="T40" s="31" t="n">
        <v>11296086.068567</v>
      </c>
      <c r="U40" s="31" t="n">
        <v>11266915.204433</v>
      </c>
      <c r="V40" s="31" t="n">
        <v>11184931.080913</v>
      </c>
      <c r="W40" s="31" t="n">
        <v>11173340.857297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1150000</v>
      </c>
      <c r="D41" s="31" t="n">
        <v>10016462.82438</v>
      </c>
      <c r="E41" s="31" t="n">
        <v>10095913.836019</v>
      </c>
      <c r="F41" s="31" t="n">
        <v>10176914.979163</v>
      </c>
      <c r="G41" s="31" t="n">
        <v>10247621.984265</v>
      </c>
      <c r="H41" s="31" t="n">
        <v>10363937.375646</v>
      </c>
      <c r="I41" s="31" t="n">
        <v>10512224.381265</v>
      </c>
      <c r="J41" s="31" t="n">
        <v>10700877.560353</v>
      </c>
      <c r="K41" s="31" t="n">
        <v>10911629.914336</v>
      </c>
      <c r="L41" s="31" t="n">
        <v>11156157.769452</v>
      </c>
      <c r="M41" s="31" t="n">
        <v>11448014.604604</v>
      </c>
      <c r="N41" s="31" t="n">
        <v>11808311.730981</v>
      </c>
      <c r="O41" s="31" t="n">
        <v>12138980.140176</v>
      </c>
      <c r="P41" s="31" t="n">
        <v>12469324.79207</v>
      </c>
      <c r="Q41" s="31" t="n">
        <v>12583435.671648</v>
      </c>
      <c r="R41" s="31" t="n">
        <v>12587291.673079</v>
      </c>
      <c r="S41" s="31" t="n">
        <v>12590540.797942</v>
      </c>
      <c r="T41" s="31" t="n">
        <v>12580412.928278</v>
      </c>
      <c r="U41" s="31" t="n">
        <v>12555878.63013</v>
      </c>
      <c r="V41" s="31" t="n">
        <v>12506947.095082</v>
      </c>
      <c r="W41" s="31" t="n">
        <v>12484969.773763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300000</v>
      </c>
      <c r="D45" s="31" t="n">
        <v>300000</v>
      </c>
      <c r="E45" s="31" t="n">
        <v>3743039.791954</v>
      </c>
      <c r="F45" s="31" t="n">
        <v>3779962.481457</v>
      </c>
      <c r="G45" s="31" t="n">
        <v>3831538.342686</v>
      </c>
      <c r="H45" s="31" t="n">
        <v>3879151.036279</v>
      </c>
      <c r="I45" s="31" t="n">
        <v>3979637.66788</v>
      </c>
      <c r="J45" s="31" t="n">
        <v>4115218.92739</v>
      </c>
      <c r="K45" s="31" t="n">
        <v>4289498.120623</v>
      </c>
      <c r="L45" s="31" t="n">
        <v>4470507.435097</v>
      </c>
      <c r="M45" s="31" t="n">
        <v>4655795.16119</v>
      </c>
      <c r="N45" s="31" t="n">
        <v>4859249.898273</v>
      </c>
      <c r="O45" s="31" t="n">
        <v>5128327.231933</v>
      </c>
      <c r="P45" s="31" t="n">
        <v>5374963.689467</v>
      </c>
      <c r="Q45" s="31" t="n">
        <v>5661847.081878</v>
      </c>
      <c r="R45" s="31" t="n">
        <v>5771982.493892</v>
      </c>
      <c r="S45" s="31" t="n">
        <v>5809012.364075</v>
      </c>
      <c r="T45" s="31" t="n">
        <v>5835059.821168</v>
      </c>
      <c r="U45" s="31" t="n">
        <v>5855167.526248</v>
      </c>
      <c r="V45" s="31" t="n">
        <v>5871947.901112</v>
      </c>
      <c r="W45" s="31" t="n">
        <v>5886699.844136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6471603.79569</v>
      </c>
      <c r="D46" s="31" t="n">
        <v>20312.716092</v>
      </c>
      <c r="E46" s="31" t="n">
        <v>49113.454311</v>
      </c>
      <c r="F46" s="31" t="n">
        <v>78559.594445</v>
      </c>
      <c r="G46" s="31" t="n">
        <v>108542.206524</v>
      </c>
      <c r="H46" s="31" t="n">
        <v>151883.306349</v>
      </c>
      <c r="I46" s="31" t="n">
        <v>169987.222035</v>
      </c>
      <c r="J46" s="31" t="n">
        <v>201688.247001</v>
      </c>
      <c r="K46" s="31" t="n">
        <v>234616.651125</v>
      </c>
      <c r="L46" s="31" t="n">
        <v>269627.027532</v>
      </c>
      <c r="M46" s="31" t="n">
        <v>307442.904279</v>
      </c>
      <c r="N46" s="31" t="n">
        <v>347524.485687</v>
      </c>
      <c r="O46" s="31" t="n">
        <v>347435.25715</v>
      </c>
      <c r="P46" s="31" t="n">
        <v>344862.217922</v>
      </c>
      <c r="Q46" s="31" t="n">
        <v>341313.512656</v>
      </c>
      <c r="R46" s="31" t="n">
        <v>336654.493939</v>
      </c>
      <c r="S46" s="31" t="n">
        <v>329903.192494</v>
      </c>
      <c r="T46" s="31" t="n">
        <v>322310.579026</v>
      </c>
      <c r="U46" s="31" t="n">
        <v>314498.135866</v>
      </c>
      <c r="V46" s="31" t="n">
        <v>306549.87648</v>
      </c>
      <c r="W46" s="31" t="n">
        <v>298507.776384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234</v>
      </c>
      <c r="E47" s="31" t="n">
        <v>470.260855</v>
      </c>
      <c r="F47" s="31" t="n">
        <v>707.303886</v>
      </c>
      <c r="G47" s="31" t="n">
        <v>946.680532</v>
      </c>
      <c r="H47" s="31" t="n">
        <v>1186.903673</v>
      </c>
      <c r="I47" s="31" t="n">
        <v>1428.936587</v>
      </c>
      <c r="J47" s="31" t="n">
        <v>1672.520039</v>
      </c>
      <c r="K47" s="31" t="n">
        <v>1917.391564</v>
      </c>
      <c r="L47" s="31" t="n">
        <v>2162.656176</v>
      </c>
      <c r="M47" s="31" t="n">
        <v>2409.93815</v>
      </c>
      <c r="N47" s="31" t="n">
        <v>2657.709451</v>
      </c>
      <c r="O47" s="31" t="n">
        <v>2906.33556</v>
      </c>
      <c r="P47" s="31" t="n">
        <v>3155.546912</v>
      </c>
      <c r="Q47" s="31" t="n">
        <v>3405.712571</v>
      </c>
      <c r="R47" s="31" t="n">
        <v>3656.559355</v>
      </c>
      <c r="S47" s="31" t="n">
        <v>3907.810018</v>
      </c>
      <c r="T47" s="31" t="n">
        <v>4159.829072</v>
      </c>
      <c r="U47" s="31" t="n">
        <v>4412.330842</v>
      </c>
      <c r="V47" s="31" t="n">
        <v>4664.377768</v>
      </c>
      <c r="W47" s="31" t="n">
        <v>4916.972823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-5418974.632426</v>
      </c>
      <c r="E48" s="31" t="n">
        <v>-38281.467678</v>
      </c>
      <c r="F48" s="31" t="n">
        <v>-25382.328034</v>
      </c>
      <c r="G48" s="31" t="n">
        <v>-19259.183063</v>
      </c>
      <c r="H48" s="31" t="n">
        <v>-12203.925133</v>
      </c>
      <c r="I48" s="31" t="n">
        <v>-9294.656165</v>
      </c>
      <c r="J48" s="31" t="n">
        <v>-11179.859218</v>
      </c>
      <c r="K48" s="31" t="n">
        <v>-26768.857433</v>
      </c>
      <c r="L48" s="31" t="n">
        <v>-56488.001042</v>
      </c>
      <c r="M48" s="31" t="n">
        <v>-85875.774454</v>
      </c>
      <c r="N48" s="31" t="n">
        <v>-88921.524974</v>
      </c>
      <c r="O48" s="31" t="n">
        <v>-81964.374346</v>
      </c>
      <c r="P48" s="31" t="n">
        <v>-41626.758148</v>
      </c>
      <c r="Q48" s="31" t="n">
        <v>-2376.815439</v>
      </c>
      <c r="R48" s="31" t="n">
        <v>34534.149975</v>
      </c>
      <c r="S48" s="31" t="n">
        <v>23917.978425</v>
      </c>
      <c r="T48" s="31" t="n">
        <v>31111.939602</v>
      </c>
      <c r="U48" s="31" t="n">
        <v>41945.375254</v>
      </c>
      <c r="V48" s="31" t="n">
        <v>64067.055387</v>
      </c>
      <c r="W48" s="31" t="n">
        <v>35499.13987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1036296.108287</v>
      </c>
      <c r="E49" s="31" t="n">
        <v>3388.557328</v>
      </c>
      <c r="F49" s="31" t="n">
        <v>27441.548699</v>
      </c>
      <c r="G49" s="31" t="n">
        <v>-12835.201422</v>
      </c>
      <c r="H49" s="31" t="n">
        <v>-10567.914968</v>
      </c>
      <c r="I49" s="31" t="n">
        <v>3299.783583</v>
      </c>
      <c r="J49" s="31" t="n">
        <v>11964.932087</v>
      </c>
      <c r="K49" s="31" t="n">
        <v>1135.702859</v>
      </c>
      <c r="L49" s="31" t="n">
        <v>-99.172416</v>
      </c>
      <c r="M49" s="31" t="n">
        <v>9413.930872999999</v>
      </c>
      <c r="N49" s="31" t="n">
        <v>37772.640691</v>
      </c>
      <c r="O49" s="31" t="n">
        <v>8233.152045000001</v>
      </c>
      <c r="P49" s="31" t="n">
        <v>10482.433972</v>
      </c>
      <c r="Q49" s="31" t="n">
        <v>11032.366923</v>
      </c>
      <c r="R49" s="31" t="n">
        <v>35985.507492</v>
      </c>
      <c r="S49" s="31" t="n">
        <v>-8021.067631</v>
      </c>
      <c r="T49" s="31" t="n">
        <v>-596.4486900000001</v>
      </c>
      <c r="U49" s="31" t="n">
        <v>4636.565985</v>
      </c>
      <c r="V49" s="31" t="n">
        <v>33052.588472</v>
      </c>
      <c r="W49" s="31" t="n">
        <v>-10387.097703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-4362131.808046</v>
      </c>
      <c r="E50" s="31" t="n">
        <v>14690.804817</v>
      </c>
      <c r="F50" s="31" t="n">
        <v>81326.118996</v>
      </c>
      <c r="G50" s="31" t="n">
        <v>77394.502571</v>
      </c>
      <c r="H50" s="31" t="n">
        <v>130298.369921</v>
      </c>
      <c r="I50" s="31" t="n">
        <v>165421.28604</v>
      </c>
      <c r="J50" s="31" t="n">
        <v>204145.839908</v>
      </c>
      <c r="K50" s="31" t="n">
        <v>210900.888114</v>
      </c>
      <c r="L50" s="31" t="n">
        <v>215202.51025</v>
      </c>
      <c r="M50" s="31" t="n">
        <v>233390.998847</v>
      </c>
      <c r="N50" s="31" t="n">
        <v>299033.310854</v>
      </c>
      <c r="O50" s="31" t="n">
        <v>276610.370409</v>
      </c>
      <c r="P50" s="31" t="n">
        <v>316873.440659</v>
      </c>
      <c r="Q50" s="31" t="n">
        <v>353374.77671</v>
      </c>
      <c r="R50" s="31" t="n">
        <v>410830.710761</v>
      </c>
      <c r="S50" s="31" t="n">
        <v>349707.913306</v>
      </c>
      <c r="T50" s="31" t="n">
        <v>356985.899011</v>
      </c>
      <c r="U50" s="31" t="n">
        <v>365492.407946</v>
      </c>
      <c r="V50" s="31" t="n">
        <v>408333.898107</v>
      </c>
      <c r="W50" s="31" t="n">
        <v>328536.791373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4682.4</v>
      </c>
      <c r="E51" s="31" t="n">
        <v>4717.115314</v>
      </c>
      <c r="F51" s="31" t="n">
        <v>4750.257766</v>
      </c>
      <c r="G51" s="31" t="n">
        <v>4781.808978</v>
      </c>
      <c r="H51" s="31" t="n">
        <v>4811.73832</v>
      </c>
      <c r="I51" s="31" t="n">
        <v>4840.02653</v>
      </c>
      <c r="J51" s="31" t="n">
        <v>4866.646676</v>
      </c>
      <c r="K51" s="31" t="n">
        <v>4891.57364</v>
      </c>
      <c r="L51" s="31" t="n">
        <v>4914.784157</v>
      </c>
      <c r="M51" s="31" t="n">
        <v>4936.261764</v>
      </c>
      <c r="N51" s="31" t="n">
        <v>4955.977193</v>
      </c>
      <c r="O51" s="31" t="n">
        <v>4973.912875</v>
      </c>
      <c r="P51" s="31" t="n">
        <v>4990.048248</v>
      </c>
      <c r="Q51" s="31" t="n">
        <v>5004.364696</v>
      </c>
      <c r="R51" s="31" t="n">
        <v>5016.840578</v>
      </c>
      <c r="S51" s="31" t="n">
        <v>5027.456212</v>
      </c>
      <c r="T51" s="31" t="n">
        <v>5036.193931</v>
      </c>
      <c r="U51" s="31" t="n">
        <v>5043.033083</v>
      </c>
      <c r="V51" s="31" t="n">
        <v>5047.955083</v>
      </c>
      <c r="W51" s="31" t="n">
        <v>5050.94852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-4682.4</v>
      </c>
      <c r="E52" s="31" t="n">
        <v>-4717.115314</v>
      </c>
      <c r="F52" s="31" t="n">
        <v>-4750.257766</v>
      </c>
      <c r="G52" s="31" t="n">
        <v>-4781.808978</v>
      </c>
      <c r="H52" s="31" t="n">
        <v>-4811.73832</v>
      </c>
      <c r="I52" s="31" t="n">
        <v>-4840.02653</v>
      </c>
      <c r="J52" s="31" t="n">
        <v>-4866.646676</v>
      </c>
      <c r="K52" s="31" t="n">
        <v>-4891.57364</v>
      </c>
      <c r="L52" s="31" t="n">
        <v>-4914.784157</v>
      </c>
      <c r="M52" s="31" t="n">
        <v>-4936.261764</v>
      </c>
      <c r="N52" s="31" t="n">
        <v>-4955.977193</v>
      </c>
      <c r="O52" s="31" t="n">
        <v>-4973.912875</v>
      </c>
      <c r="P52" s="31" t="n">
        <v>-4990.048248</v>
      </c>
      <c r="Q52" s="31" t="n">
        <v>-5004.364696</v>
      </c>
      <c r="R52" s="31" t="n">
        <v>-5016.840578</v>
      </c>
      <c r="S52" s="31" t="n">
        <v>-5027.456212</v>
      </c>
      <c r="T52" s="31" t="n">
        <v>-5036.193931</v>
      </c>
      <c r="U52" s="31" t="n">
        <v>-5043.033083</v>
      </c>
      <c r="V52" s="31" t="n">
        <v>-5047.955083</v>
      </c>
      <c r="W52" s="31" t="n">
        <v>-5050.94852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-25000</v>
      </c>
      <c r="E54" s="31" t="n">
        <v>-25000</v>
      </c>
      <c r="F54" s="31" t="n">
        <v>-25000</v>
      </c>
      <c r="G54" s="31" t="n">
        <v>-25000</v>
      </c>
      <c r="H54" s="31" t="n">
        <v>-25000</v>
      </c>
      <c r="I54" s="31" t="n">
        <v>-25000</v>
      </c>
      <c r="J54" s="31" t="n">
        <v>-25000</v>
      </c>
      <c r="K54" s="31" t="n">
        <v>-25000</v>
      </c>
      <c r="L54" s="31" t="n">
        <v>-25000</v>
      </c>
      <c r="M54" s="31" t="n">
        <v>-25000</v>
      </c>
      <c r="N54" s="31" t="n">
        <v>-25000</v>
      </c>
      <c r="O54" s="31" t="n">
        <v>-25000</v>
      </c>
      <c r="P54" s="31" t="n">
        <v>-25000</v>
      </c>
      <c r="Q54" s="31" t="n">
        <v>-131616</v>
      </c>
      <c r="R54" s="31" t="n">
        <v>-43384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7834854</v>
      </c>
      <c r="E55" s="31" t="n">
        <v>51949</v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106619</v>
      </c>
      <c r="R56" s="31" t="n">
        <v>325400</v>
      </c>
      <c r="S56" s="31" t="n">
        <v>318633</v>
      </c>
      <c r="T56" s="31" t="n">
        <v>331842</v>
      </c>
      <c r="U56" s="31" t="n">
        <v>343669</v>
      </c>
      <c r="V56" s="31" t="n">
        <v>388534</v>
      </c>
      <c r="W56" s="31" t="n">
        <v>310098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7809854</v>
      </c>
      <c r="E57" s="31" t="n">
        <v>26949</v>
      </c>
      <c r="F57" s="31" t="n">
        <v>-25000</v>
      </c>
      <c r="G57" s="31" t="n">
        <v>-25000</v>
      </c>
      <c r="H57" s="31" t="n">
        <v>-25000</v>
      </c>
      <c r="I57" s="31" t="n">
        <v>-25000</v>
      </c>
      <c r="J57" s="31" t="n">
        <v>-25000</v>
      </c>
      <c r="K57" s="31" t="n">
        <v>-25000</v>
      </c>
      <c r="L57" s="31" t="n">
        <v>-25000</v>
      </c>
      <c r="M57" s="31" t="n">
        <v>-25000</v>
      </c>
      <c r="N57" s="31" t="n">
        <v>-25000</v>
      </c>
      <c r="O57" s="31" t="n">
        <v>-25000</v>
      </c>
      <c r="P57" s="31" t="n">
        <v>-25000</v>
      </c>
      <c r="Q57" s="31" t="n">
        <v>-238235</v>
      </c>
      <c r="R57" s="31" t="n">
        <v>-368784</v>
      </c>
      <c r="S57" s="31" t="n">
        <v>-318633</v>
      </c>
      <c r="T57" s="31" t="n">
        <v>-331842</v>
      </c>
      <c r="U57" s="31" t="n">
        <v>-343669</v>
      </c>
      <c r="V57" s="31" t="n">
        <v>-388534</v>
      </c>
      <c r="W57" s="31" t="n">
        <v>-310098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3443039.791954</v>
      </c>
      <c r="E58" s="31" t="n">
        <v>36922.689503</v>
      </c>
      <c r="F58" s="31" t="n">
        <v>51575.86123</v>
      </c>
      <c r="G58" s="31" t="n">
        <v>47612.693593</v>
      </c>
      <c r="H58" s="31" t="n">
        <v>100486.631601</v>
      </c>
      <c r="I58" s="31" t="n">
        <v>135581.25951</v>
      </c>
      <c r="J58" s="31" t="n">
        <v>174279.193232</v>
      </c>
      <c r="K58" s="31" t="n">
        <v>181009.314474</v>
      </c>
      <c r="L58" s="31" t="n">
        <v>185287.726093</v>
      </c>
      <c r="M58" s="31" t="n">
        <v>203454.737083</v>
      </c>
      <c r="N58" s="31" t="n">
        <v>269077.333661</v>
      </c>
      <c r="O58" s="31" t="n">
        <v>246636.457534</v>
      </c>
      <c r="P58" s="31" t="n">
        <v>286883.392411</v>
      </c>
      <c r="Q58" s="31" t="n">
        <v>110135.412014</v>
      </c>
      <c r="R58" s="31" t="n">
        <v>37029.870183</v>
      </c>
      <c r="S58" s="31" t="n">
        <v>26047.457094</v>
      </c>
      <c r="T58" s="31" t="n">
        <v>20107.70508</v>
      </c>
      <c r="U58" s="31" t="n">
        <v>16780.374863</v>
      </c>
      <c r="V58" s="31" t="n">
        <v>14751.943024</v>
      </c>
      <c r="W58" s="31" t="n">
        <v>13387.842853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300000</v>
      </c>
      <c r="D59" s="31" t="n">
        <v>3743039.791954</v>
      </c>
      <c r="E59" s="31" t="n">
        <v>3779962.481457</v>
      </c>
      <c r="F59" s="31" t="n">
        <v>3831538.342686</v>
      </c>
      <c r="G59" s="31" t="n">
        <v>3879151.036279</v>
      </c>
      <c r="H59" s="31" t="n">
        <v>3979637.66788</v>
      </c>
      <c r="I59" s="31" t="n">
        <v>4115218.92739</v>
      </c>
      <c r="J59" s="31" t="n">
        <v>4289498.120623</v>
      </c>
      <c r="K59" s="31" t="n">
        <v>4470507.435097</v>
      </c>
      <c r="L59" s="31" t="n">
        <v>4655795.16119</v>
      </c>
      <c r="M59" s="31" t="n">
        <v>4859249.898273</v>
      </c>
      <c r="N59" s="31" t="n">
        <v>5128327.231933</v>
      </c>
      <c r="O59" s="31" t="n">
        <v>5374963.689467</v>
      </c>
      <c r="P59" s="31" t="n">
        <v>5661847.081878</v>
      </c>
      <c r="Q59" s="31" t="n">
        <v>5771982.493892</v>
      </c>
      <c r="R59" s="31" t="n">
        <v>5809012.364075</v>
      </c>
      <c r="S59" s="31" t="n">
        <v>5835059.821168</v>
      </c>
      <c r="T59" s="31" t="n">
        <v>5855167.526248</v>
      </c>
      <c r="U59" s="31" t="n">
        <v>5871947.901112</v>
      </c>
      <c r="V59" s="31" t="n">
        <v>5886699.844136</v>
      </c>
      <c r="W59" s="31" t="n">
        <v>5900087.686989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A27:N106</t>
        </is>
      </c>
      <c r="E16" s="39">
        <f>SUM(ABS('Payroll Schedule'!C15-SUMIFS('Payroll Schedule'!$G$27:$G$106,'Payroll Schedule'!$A$27:$A$106,0)),ABS('Payroll Schedule'!C16-SUMIFS('Payroll Schedule'!$H$27:$H$106,'Payroll Schedule'!$A$27:$A$106,0)),ABS('Payroll Schedule'!C17-SUMIFS('Payroll Schedule'!$M$27:$M$106,'Payroll Schedule'!$A$27:$A$106,0)),ABS('Payroll Schedule'!D15-SUMIFS('Payroll Schedule'!$G$27:$G$106,'Payroll Schedule'!$A$27:$A$106,1)),ABS('Payroll Schedule'!D16-SUMIFS('Payroll Schedule'!$H$27:$H$106,'Payroll Schedule'!$A$27:$A$106,1)),ABS('Payroll Schedule'!D17-SUMIFS('Payroll Schedule'!$M$27:$M$106,'Payroll Schedule'!$A$27:$A$106,1)),ABS('Payroll Schedule'!E15-SUMIFS('Payroll Schedule'!$G$27:$G$106,'Payroll Schedule'!$A$27:$A$106,2)),ABS('Payroll Schedule'!E16-SUMIFS('Payroll Schedule'!$H$27:$H$106,'Payroll Schedule'!$A$27:$A$106,2)),ABS('Payroll Schedule'!E17-SUMIFS('Payroll Schedule'!$M$27:$M$106,'Payroll Schedule'!$A$27:$A$106,2)),ABS('Payroll Schedule'!F15-SUMIFS('Payroll Schedule'!$G$27:$G$106,'Payroll Schedule'!$A$27:$A$106,3)),ABS('Payroll Schedule'!F16-SUMIFS('Payroll Schedule'!$H$27:$H$106,'Payroll Schedule'!$A$27:$A$106,3)),ABS('Payroll Schedule'!F17-SUMIFS('Payroll Schedule'!$M$27:$M$106,'Payroll Schedule'!$A$27:$A$106,3)),ABS('Payroll Schedule'!G15-SUMIFS('Payroll Schedule'!$G$27:$G$106,'Payroll Schedule'!$A$27:$A$106,4)),ABS('Payroll Schedule'!G16-SUMIFS('Payroll Schedule'!$H$27:$H$106,'Payroll Schedule'!$A$27:$A$106,4)),ABS('Payroll Schedule'!G17-SUMIFS('Payroll Schedule'!$M$27:$M$106,'Payroll Schedule'!$A$27:$A$106,4)),ABS('Payroll Schedule'!H15-SUMIFS('Payroll Schedule'!$G$27:$G$106,'Payroll Schedule'!$A$27:$A$106,5)),ABS('Payroll Schedule'!H16-SUMIFS('Payroll Schedule'!$H$27:$H$106,'Payroll Schedule'!$A$27:$A$106,5)),ABS('Payroll Schedule'!H17-SUMIFS('Payroll Schedule'!$M$27:$M$106,'Payroll Schedule'!$A$27:$A$106,5)),ABS('Payroll Schedule'!I15-SUMIFS('Payroll Schedule'!$G$27:$G$106,'Payroll Schedule'!$A$27:$A$106,6)),ABS('Payroll Schedule'!I16-SUMIFS('Payroll Schedule'!$H$27:$H$106,'Payroll Schedule'!$A$27:$A$106,6)),ABS('Payroll Schedule'!I17-SUMIFS('Payroll Schedule'!$M$27:$M$106,'Payroll Schedule'!$A$27:$A$106,6)),ABS('Payroll Schedule'!J15-SUMIFS('Payroll Schedule'!$G$27:$G$106,'Payroll Schedule'!$A$27:$A$106,7)),ABS('Payroll Schedule'!J16-SUMIFS('Payroll Schedule'!$H$27:$H$106,'Payroll Schedule'!$A$27:$A$106,7)),ABS('Payroll Schedule'!J17-SUMIFS('Payroll Schedule'!$M$27:$M$106,'Payroll Schedule'!$A$27:$A$106,7)),ABS('Payroll Schedule'!K15-SUMIFS('Payroll Schedule'!$G$27:$G$106,'Payroll Schedule'!$A$27:$A$106,8)),ABS('Payroll Schedule'!K16-SUMIFS('Payroll Schedule'!$H$27:$H$106,'Payroll Schedule'!$A$27:$A$106,8)),ABS('Payroll Schedule'!K17-SUMIFS('Payroll Schedule'!$M$27:$M$106,'Payroll Schedule'!$A$27:$A$106,8)),ABS('Payroll Schedule'!L15-SUMIFS('Payroll Schedule'!$G$27:$G$106,'Payroll Schedule'!$A$27:$A$106,9)),ABS('Payroll Schedule'!L16-SUMIFS('Payroll Schedule'!$H$27:$H$106,'Payroll Schedule'!$A$27:$A$106,9)),ABS('Payroll Schedule'!L17-SUMIFS('Payroll Schedule'!$M$27:$M$106,'Payroll Schedule'!$A$27:$A$106,9)),ABS('Payroll Schedule'!M15-SUMIFS('Payroll Schedule'!$G$27:$G$106,'Payroll Schedule'!$A$27:$A$106,10)),ABS('Payroll Schedule'!M16-SUMIFS('Payroll Schedule'!$H$27:$H$106,'Payroll Schedule'!$A$27:$A$106,10)),ABS('Payroll Schedule'!M17-SUMIFS('Payroll Schedule'!$M$27:$M$106,'Payroll Schedule'!$A$27:$A$106,10)),ABS('Payroll Schedule'!N15-SUMIFS('Payroll Schedule'!$G$27:$G$106,'Payroll Schedule'!$A$27:$A$106,11)),ABS('Payroll Schedule'!N16-SUMIFS('Payroll Schedule'!$H$27:$H$106,'Payroll Schedule'!$A$27:$A$106,11)),ABS('Payroll Schedule'!N17-SUMIFS('Payroll Schedule'!$M$27:$M$106,'Payroll Schedule'!$A$27:$A$106,11)),ABS('Payroll Schedule'!O15-SUMIFS('Payroll Schedule'!$G$27:$G$106,'Payroll Schedule'!$A$27:$A$106,12)),ABS('Payroll Schedule'!O16-SUMIFS('Payroll Schedule'!$H$27:$H$106,'Payroll Schedule'!$A$27:$A$106,12)),ABS('Payroll Schedule'!O17-SUMIFS('Payroll Schedule'!$M$27:$M$106,'Payroll Schedule'!$A$27:$A$106,12)),ABS('Payroll Schedule'!P15-SUMIFS('Payroll Schedule'!$G$27:$G$106,'Payroll Schedule'!$A$27:$A$106,13)),ABS('Payroll Schedule'!P16-SUMIFS('Payroll Schedule'!$H$27:$H$106,'Payroll Schedule'!$A$27:$A$106,13)),ABS('Payroll Schedule'!P17-SUMIFS('Payroll Schedule'!$M$27:$M$106,'Payroll Schedule'!$A$27:$A$106,13)),ABS('Payroll Schedule'!Q15-SUMIFS('Payroll Schedule'!$G$27:$G$106,'Payroll Schedule'!$A$27:$A$106,14)),ABS('Payroll Schedule'!Q16-SUMIFS('Payroll Schedule'!$H$27:$H$106,'Payroll Schedule'!$A$27:$A$106,14)),ABS('Payroll Schedule'!Q17-SUMIFS('Payroll Schedule'!$M$27:$M$106,'Payroll Schedule'!$A$27:$A$106,14)),ABS('Payroll Schedule'!R15-SUMIFS('Payroll Schedule'!$G$27:$G$106,'Payroll Schedule'!$A$27:$A$106,15)),ABS('Payroll Schedule'!R16-SUMIFS('Payroll Schedule'!$H$27:$H$106,'Payroll Schedule'!$A$27:$A$106,15)),ABS('Payroll Schedule'!R17-SUMIFS('Payroll Schedule'!$M$27:$M$106,'Payroll Schedule'!$A$27:$A$106,15)),ABS('Payroll Schedule'!S15-SUMIFS('Payroll Schedule'!$G$27:$G$106,'Payroll Schedule'!$A$27:$A$106,16)),ABS('Payroll Schedule'!S16-SUMIFS('Payroll Schedule'!$H$27:$H$106,'Payroll Schedule'!$A$27:$A$106,16)),ABS('Payroll Schedule'!S17-SUMIFS('Payroll Schedule'!$M$27:$M$106,'Payroll Schedule'!$A$27:$A$106,16)),ABS('Payroll Schedule'!T15-SUMIFS('Payroll Schedule'!$G$27:$G$106,'Payroll Schedule'!$A$27:$A$106,17)),ABS('Payroll Schedule'!T16-SUMIFS('Payroll Schedule'!$H$27:$H$106,'Payroll Schedule'!$A$27:$A$106,17)),ABS('Payroll Schedule'!T17-SUMIFS('Payroll Schedule'!$M$27:$M$106,'Payroll Schedule'!$A$27:$A$106,17)),ABS('Payroll Schedule'!U15-SUMIFS('Payroll Schedule'!$G$27:$G$106,'Payroll Schedule'!$A$27:$A$106,18)),ABS('Payroll Schedule'!U16-SUMIFS('Payroll Schedule'!$H$27:$H$106,'Payroll Schedule'!$A$27:$A$106,18)),ABS('Payroll Schedule'!U17-SUMIFS('Payroll Schedule'!$M$27:$M$106,'Payroll Schedule'!$A$27:$A$106,18)),ABS('Payroll Schedule'!V15-SUMIFS('Payroll Schedule'!$G$27:$G$106,'Payroll Schedule'!$A$27:$A$106,19)),ABS('Payroll Schedule'!V16-SUMIFS('Payroll Schedule'!$H$27:$H$106,'Payroll Schedule'!$A$27:$A$106,19)),ABS('Payroll Schedule'!V17-SUMIFS('Payroll Schedule'!$M$27:$M$106,'Payroll Schedule'!$A$27:$A$106,19)),ABS('Payroll Schedule'!W15-SUMIFS('Payroll Schedule'!$G$27:$G$106,'Payroll Schedule'!$A$27:$A$106,20)),ABS('Payroll Schedule'!W16-SUMIFS('Payroll Schedule'!$H$27:$H$106,'Payroll Schedule'!$A$27:$A$106,20)),ABS('Payroll Schedule'!W17-SUMIFS('Payroll Schedule'!$M$27:$M$106,'Payroll Schedule'!$A$27:$A$106,20)))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E27:H106</t>
        </is>
      </c>
      <c r="E18" s="39">
        <f>SUMPRODUCT(ABS('Payroll Schedule'!G27:G106-('Payroll Schedule'!E27:E106+'Payroll Schedule'!F27:F106)))+SUMPRODUCT(ABS('Payroll Schedule'!H27:H106-(('Payroll Schedule'!E27:E106+'Payroll Schedule'!G27:G106)/2)))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I27:M106</t>
        </is>
      </c>
      <c r="E19" s="39">
        <f>SUMPRODUCT(ABS('Payroll Schedule'!K27:K106-('Payroll Schedule'!H27:H106*'Payroll Schedule'!I27:I106/4)))+SUMPRODUCT(ABS('Payroll Schedule'!L27:L106-('Payroll Schedule'!K27:K106*'Payroll Schedule'!J27:J106)))+SUMPRODUCT(ABS('Payroll Schedule'!M27:M106-('Payroll Schedule'!K27:K106+'Payroll Schedule'!L27:L106)))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Schedule'!G27:G106</t>
        </is>
      </c>
      <c r="E61" s="39">
        <f>80</f>
        <v/>
      </c>
      <c r="F61" s="39" t="n">
        <v>80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Schedule'!H27:H106</t>
        </is>
      </c>
      <c r="E62" s="39">
        <f>80</f>
        <v/>
      </c>
      <c r="F62" s="39" t="n">
        <v>80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Schedule'!K27:K106</t>
        </is>
      </c>
      <c r="E63" s="39">
        <f>80</f>
        <v/>
      </c>
      <c r="F63" s="39" t="n">
        <v>80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Schedule'!L27:L106</t>
        </is>
      </c>
      <c r="E64" s="39">
        <f>80</f>
        <v/>
      </c>
      <c r="F64" s="39" t="n">
        <v>80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Schedule'!M27:M106</t>
        </is>
      </c>
      <c r="E65" s="39">
        <f>80</f>
        <v/>
      </c>
      <c r="F65" s="39" t="n">
        <v>80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Schedule'!C15:W106</t>
        </is>
      </c>
      <c r="E158" s="39">
        <f>SUMPRODUCT(--ISERROR('Payroll Schedule'!C15:W106))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ExpressLogix Shipping Services</t>
        </is>
      </c>
    </row>
    <row r="8">
      <c r="A8" s="45" t="inlineStr">
        <is>
          <t>Business Start Date</t>
        </is>
      </c>
      <c r="B8" s="46" t="inlineStr">
        <is>
          <t>1998-07-15</t>
        </is>
      </c>
    </row>
    <row r="9">
      <c r="A9" s="45" t="inlineStr">
        <is>
          <t>NAICS-6</t>
        </is>
      </c>
      <c r="B9" s="46" t="inlineStr">
        <is>
          <t>488999</t>
        </is>
      </c>
    </row>
    <row r="10">
      <c r="A10" s="45" t="inlineStr">
        <is>
          <t>Draft ID</t>
        </is>
      </c>
      <c r="B10" s="46" t="inlineStr">
        <is>
          <t>7292486ad8944b9c9404931b3483ec90</t>
        </is>
      </c>
    </row>
    <row r="11">
      <c r="A11" s="45" t="inlineStr">
        <is>
          <t>Planning Run ID</t>
        </is>
      </c>
      <c r="B11" s="46" t="inlineStr">
        <is>
          <t>4c27a029c832464eaaf24405ab634fd5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bs_only_path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ExpressLogix Shipping Services Financial Model</dc:title>
  <dc:subject>Client financial model workbook</dc:subject>
  <dcterms:created xsi:type="dcterms:W3CDTF">2026-05-20T07:55:08Z</dcterms:created>
  <dcterms:modified xsi:type="dcterms:W3CDTF">2026-05-20T07:55:09Z</dcterms:modified>
</cp:coreProperties>
</file>