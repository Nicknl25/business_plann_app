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home visit</t>
        </is>
      </c>
    </row>
    <row r="8">
      <c r="A8" s="8" t="inlineStr">
        <is>
          <t>Primary line of business / home visit - Capacity</t>
        </is>
      </c>
      <c r="B8" s="8" t="inlineStr">
        <is>
          <t>Source driver</t>
        </is>
      </c>
      <c r="C8" s="9" t="n">
        <v>1950</v>
      </c>
      <c r="D8" s="9" t="n">
        <v>4374.72</v>
      </c>
      <c r="E8" s="9" t="n">
        <v>4374.72</v>
      </c>
      <c r="F8" s="9" t="n">
        <v>4374.72</v>
      </c>
      <c r="G8" s="9" t="n">
        <v>4374.72</v>
      </c>
      <c r="H8" s="9" t="n">
        <v>4374.72</v>
      </c>
      <c r="I8" s="9" t="n">
        <v>4374.72</v>
      </c>
      <c r="J8" s="9" t="n">
        <v>4374.72</v>
      </c>
      <c r="K8" s="9" t="n">
        <v>4374.72</v>
      </c>
      <c r="L8" s="9" t="n">
        <v>4374.72</v>
      </c>
      <c r="M8" s="9" t="n">
        <v>4374.72</v>
      </c>
      <c r="N8" s="9" t="n">
        <v>4374.72</v>
      </c>
      <c r="O8" s="9" t="n">
        <v>4374.72</v>
      </c>
      <c r="P8" s="9" t="n">
        <v>4374.72</v>
      </c>
      <c r="Q8" s="9" t="n">
        <v>4374.72</v>
      </c>
      <c r="R8" s="9" t="n">
        <v>4374.72</v>
      </c>
      <c r="S8" s="9" t="n">
        <v>4374.72</v>
      </c>
      <c r="T8" s="9" t="n">
        <v>4374.72</v>
      </c>
      <c r="U8" s="9" t="n">
        <v>4374.72</v>
      </c>
      <c r="V8" s="9" t="n">
        <v>4374.72</v>
      </c>
      <c r="W8" s="9" t="n">
        <v>4374.72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home visit - Unit Price</t>
        </is>
      </c>
      <c r="B9" s="8" t="inlineStr">
        <is>
          <t>Source driver</t>
        </is>
      </c>
      <c r="C9" s="11" t="n">
        <v>120</v>
      </c>
      <c r="D9" s="11" t="n">
        <v>120</v>
      </c>
      <c r="E9" s="11" t="n">
        <v>126</v>
      </c>
      <c r="F9" s="11" t="n">
        <v>132</v>
      </c>
      <c r="G9" s="11" t="n">
        <v>138</v>
      </c>
      <c r="H9" s="11" t="n">
        <v>144</v>
      </c>
      <c r="I9" s="11" t="n">
        <v>150</v>
      </c>
      <c r="J9" s="11" t="n">
        <v>156</v>
      </c>
      <c r="K9" s="11" t="n">
        <v>162</v>
      </c>
      <c r="L9" s="11" t="n">
        <v>168</v>
      </c>
      <c r="M9" s="11" t="n">
        <v>174</v>
      </c>
      <c r="N9" s="11" t="n">
        <v>180</v>
      </c>
      <c r="O9" s="11" t="n">
        <v>181.111111</v>
      </c>
      <c r="P9" s="11" t="n">
        <v>182.222222</v>
      </c>
      <c r="Q9" s="11" t="n">
        <v>183.333333</v>
      </c>
      <c r="R9" s="11" t="n">
        <v>184.444444</v>
      </c>
      <c r="S9" s="11" t="n">
        <v>185.555556</v>
      </c>
      <c r="T9" s="11" t="n">
        <v>186.666667</v>
      </c>
      <c r="U9" s="11" t="n">
        <v>187.777778</v>
      </c>
      <c r="V9" s="11" t="n">
        <v>188.888889</v>
      </c>
      <c r="W9" s="11" t="n">
        <v>190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home visit - Utilization</t>
        </is>
      </c>
      <c r="B10" s="8" t="inlineStr">
        <is>
          <t>Source driver</t>
        </is>
      </c>
      <c r="C10" s="13" t="n">
        <v>0.7</v>
      </c>
      <c r="D10" s="13" t="n">
        <v>0.7</v>
      </c>
      <c r="E10" s="13" t="n">
        <v>0.714</v>
      </c>
      <c r="F10" s="13" t="n">
        <v>0.728</v>
      </c>
      <c r="G10" s="13" t="n">
        <v>0.742</v>
      </c>
      <c r="H10" s="13" t="n">
        <v>0.756</v>
      </c>
      <c r="I10" s="13" t="n">
        <v>0.77</v>
      </c>
      <c r="J10" s="13" t="n">
        <v>0.784</v>
      </c>
      <c r="K10" s="13" t="n">
        <v>0.798</v>
      </c>
      <c r="L10" s="13" t="n">
        <v>0.8120000000000001</v>
      </c>
      <c r="M10" s="13" t="n">
        <v>0.826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home visit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0.5</v>
      </c>
      <c r="E18" s="13" t="n">
        <v>0.5</v>
      </c>
      <c r="F18" s="13" t="n">
        <v>0.5</v>
      </c>
      <c r="G18" s="13" t="n">
        <v>0.5</v>
      </c>
      <c r="H18" s="13" t="n">
        <v>0.5</v>
      </c>
      <c r="I18" s="13" t="n">
        <v>0.5</v>
      </c>
      <c r="J18" s="13" t="n">
        <v>0.5</v>
      </c>
      <c r="K18" s="13" t="n">
        <v>0.5</v>
      </c>
      <c r="L18" s="13" t="n">
        <v>0.5</v>
      </c>
      <c r="M18" s="13" t="n">
        <v>0.5</v>
      </c>
      <c r="N18" s="13" t="n">
        <v>0.5</v>
      </c>
      <c r="O18" s="13" t="n">
        <v>0.5</v>
      </c>
      <c r="P18" s="13" t="n">
        <v>0.5</v>
      </c>
      <c r="Q18" s="13" t="n">
        <v>0.5</v>
      </c>
      <c r="R18" s="13" t="n">
        <v>0.5</v>
      </c>
      <c r="S18" s="13" t="n">
        <v>0.5</v>
      </c>
      <c r="T18" s="13" t="n">
        <v>0.5</v>
      </c>
      <c r="U18" s="13" t="n">
        <v>0.5</v>
      </c>
      <c r="V18" s="13" t="n">
        <v>0.5</v>
      </c>
      <c r="W18" s="13" t="n">
        <v>0.5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0.75</v>
      </c>
      <c r="E19" s="13" t="n">
        <v>0.75</v>
      </c>
      <c r="F19" s="13" t="n">
        <v>0.75</v>
      </c>
      <c r="G19" s="13" t="n">
        <v>0.75</v>
      </c>
      <c r="H19" s="13" t="n">
        <v>0.75</v>
      </c>
      <c r="I19" s="13" t="n">
        <v>0.75</v>
      </c>
      <c r="J19" s="13" t="n">
        <v>0.75</v>
      </c>
      <c r="K19" s="13" t="n">
        <v>0.75</v>
      </c>
      <c r="L19" s="13" t="n">
        <v>0.75</v>
      </c>
      <c r="M19" s="13" t="n">
        <v>0.75</v>
      </c>
      <c r="N19" s="13" t="n">
        <v>0.75</v>
      </c>
      <c r="O19" s="13" t="n">
        <v>0.75</v>
      </c>
      <c r="P19" s="13" t="n">
        <v>0.75</v>
      </c>
      <c r="Q19" s="13" t="n">
        <v>0.75</v>
      </c>
      <c r="R19" s="13" t="n">
        <v>0.75</v>
      </c>
      <c r="S19" s="13" t="n">
        <v>0.75</v>
      </c>
      <c r="T19" s="13" t="n">
        <v>0.75</v>
      </c>
      <c r="U19" s="13" t="n">
        <v>0.75</v>
      </c>
      <c r="V19" s="13" t="n">
        <v>0.75</v>
      </c>
      <c r="W19" s="13" t="n">
        <v>0.75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0.75</v>
      </c>
      <c r="E20" s="13" t="n">
        <v>0.75</v>
      </c>
      <c r="F20" s="13" t="n">
        <v>0.75</v>
      </c>
      <c r="G20" s="13" t="n">
        <v>0.75</v>
      </c>
      <c r="H20" s="13" t="n">
        <v>0.75</v>
      </c>
      <c r="I20" s="13" t="n">
        <v>0.75</v>
      </c>
      <c r="J20" s="13" t="n">
        <v>0.75</v>
      </c>
      <c r="K20" s="13" t="n">
        <v>0.75</v>
      </c>
      <c r="L20" s="13" t="n">
        <v>0.75</v>
      </c>
      <c r="M20" s="13" t="n">
        <v>0.75</v>
      </c>
      <c r="N20" s="13" t="n">
        <v>0.75</v>
      </c>
      <c r="O20" s="13" t="n">
        <v>0.75</v>
      </c>
      <c r="P20" s="13" t="n">
        <v>0.75</v>
      </c>
      <c r="Q20" s="13" t="n">
        <v>0.75</v>
      </c>
      <c r="R20" s="13" t="n">
        <v>0.75</v>
      </c>
      <c r="S20" s="13" t="n">
        <v>0.75</v>
      </c>
      <c r="T20" s="13" t="n">
        <v>0.75</v>
      </c>
      <c r="U20" s="13" t="n">
        <v>0.75</v>
      </c>
      <c r="V20" s="13" t="n">
        <v>0.75</v>
      </c>
      <c r="W20" s="13" t="n">
        <v>0.75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0.25</v>
      </c>
      <c r="E21" s="13" t="n">
        <v>0.31</v>
      </c>
      <c r="F21" s="13" t="n">
        <v>0.37</v>
      </c>
      <c r="G21" s="13" t="n">
        <v>0.43</v>
      </c>
      <c r="H21" s="13" t="n">
        <v>0.49</v>
      </c>
      <c r="I21" s="13" t="n">
        <v>0.55</v>
      </c>
      <c r="J21" s="13" t="n">
        <v>0.61</v>
      </c>
      <c r="K21" s="13" t="n">
        <v>0.67</v>
      </c>
      <c r="L21" s="13" t="n">
        <v>0.73</v>
      </c>
      <c r="M21" s="13" t="n">
        <v>0.79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0.6899999999999999</v>
      </c>
      <c r="E22" s="13" t="n">
        <v>0.6899999999999999</v>
      </c>
      <c r="F22" s="13" t="n">
        <v>0.6899999999999999</v>
      </c>
      <c r="G22" s="13" t="n">
        <v>0.6899999999999999</v>
      </c>
      <c r="H22" s="13" t="n">
        <v>0.6899999999999999</v>
      </c>
      <c r="I22" s="13" t="n">
        <v>0.6899999999999999</v>
      </c>
      <c r="J22" s="13" t="n">
        <v>0.6899999999999999</v>
      </c>
      <c r="K22" s="13" t="n">
        <v>0.6899999999999999</v>
      </c>
      <c r="L22" s="13" t="n">
        <v>0.6899999999999999</v>
      </c>
      <c r="M22" s="13" t="n">
        <v>0.6899999999999999</v>
      </c>
      <c r="N22" s="13" t="n">
        <v>0.6899999999999999</v>
      </c>
      <c r="O22" s="13" t="n">
        <v>0.6899999999999999</v>
      </c>
      <c r="P22" s="13" t="n">
        <v>0.6899999999999999</v>
      </c>
      <c r="Q22" s="13" t="n">
        <v>0.6899999999999999</v>
      </c>
      <c r="R22" s="13" t="n">
        <v>0.6899999999999999</v>
      </c>
      <c r="S22" s="13" t="n">
        <v>0.6899999999999999</v>
      </c>
      <c r="T22" s="13" t="n">
        <v>0.6899999999999999</v>
      </c>
      <c r="U22" s="13" t="n">
        <v>0.6899999999999999</v>
      </c>
      <c r="V22" s="13" t="n">
        <v>0.6899999999999999</v>
      </c>
      <c r="W22" s="13" t="n">
        <v>0.6899999999999999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0.75</v>
      </c>
      <c r="E23" s="13" t="n">
        <v>0.75</v>
      </c>
      <c r="F23" s="13" t="n">
        <v>0.75</v>
      </c>
      <c r="G23" s="13" t="n">
        <v>0.75</v>
      </c>
      <c r="H23" s="13" t="n">
        <v>0.75</v>
      </c>
      <c r="I23" s="13" t="n">
        <v>0.75</v>
      </c>
      <c r="J23" s="13" t="n">
        <v>0.75</v>
      </c>
      <c r="K23" s="13" t="n">
        <v>0.75</v>
      </c>
      <c r="L23" s="13" t="n">
        <v>0.75</v>
      </c>
      <c r="M23" s="13" t="n">
        <v>0.75</v>
      </c>
      <c r="N23" s="13" t="n">
        <v>0.75</v>
      </c>
      <c r="O23" s="13" t="n">
        <v>0.75</v>
      </c>
      <c r="P23" s="13" t="n">
        <v>0.75</v>
      </c>
      <c r="Q23" s="13" t="n">
        <v>0.75</v>
      </c>
      <c r="R23" s="13" t="n">
        <v>0.75</v>
      </c>
      <c r="S23" s="13" t="n">
        <v>0.75</v>
      </c>
      <c r="T23" s="13" t="n">
        <v>0.75</v>
      </c>
      <c r="U23" s="13" t="n">
        <v>0.75</v>
      </c>
      <c r="V23" s="13" t="n">
        <v>0.75</v>
      </c>
      <c r="W23" s="13" t="n">
        <v>0.75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0.28</v>
      </c>
      <c r="E24" s="13" t="n">
        <v>0.28</v>
      </c>
      <c r="F24" s="13" t="n">
        <v>0.28</v>
      </c>
      <c r="G24" s="13" t="n">
        <v>0.28</v>
      </c>
      <c r="H24" s="13" t="n">
        <v>0.28</v>
      </c>
      <c r="I24" s="13" t="n">
        <v>0.28</v>
      </c>
      <c r="J24" s="13" t="n">
        <v>0.28</v>
      </c>
      <c r="K24" s="13" t="n">
        <v>0.28</v>
      </c>
      <c r="L24" s="13" t="n">
        <v>0.28</v>
      </c>
      <c r="M24" s="13" t="n">
        <v>0.28</v>
      </c>
      <c r="N24" s="13" t="n">
        <v>0.28</v>
      </c>
      <c r="O24" s="13" t="n">
        <v>0.28</v>
      </c>
      <c r="P24" s="13" t="n">
        <v>0.28</v>
      </c>
      <c r="Q24" s="13" t="n">
        <v>0.28</v>
      </c>
      <c r="R24" s="13" t="n">
        <v>0.28</v>
      </c>
      <c r="S24" s="13" t="n">
        <v>0.28</v>
      </c>
      <c r="T24" s="13" t="n">
        <v>0.28</v>
      </c>
      <c r="U24" s="13" t="n">
        <v>0.28</v>
      </c>
      <c r="V24" s="13" t="n">
        <v>0.28</v>
      </c>
      <c r="W24" s="13" t="n">
        <v>0.28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0.02</v>
      </c>
      <c r="E25" s="13" t="n">
        <v>0.02</v>
      </c>
      <c r="F25" s="13" t="n">
        <v>0.02</v>
      </c>
      <c r="G25" s="13" t="n">
        <v>0.02</v>
      </c>
      <c r="H25" s="13" t="n">
        <v>0.02</v>
      </c>
      <c r="I25" s="13" t="n">
        <v>0.02</v>
      </c>
      <c r="J25" s="13" t="n">
        <v>0.02</v>
      </c>
      <c r="K25" s="13" t="n">
        <v>0.02</v>
      </c>
      <c r="L25" s="13" t="n">
        <v>0.02</v>
      </c>
      <c r="M25" s="13" t="n">
        <v>0.02</v>
      </c>
      <c r="N25" s="13" t="n">
        <v>0.02</v>
      </c>
      <c r="O25" s="13" t="n">
        <v>0.02</v>
      </c>
      <c r="P25" s="13" t="n">
        <v>0.02</v>
      </c>
      <c r="Q25" s="13" t="n">
        <v>0.02</v>
      </c>
      <c r="R25" s="13" t="n">
        <v>0.02</v>
      </c>
      <c r="S25" s="13" t="n">
        <v>0.02</v>
      </c>
      <c r="T25" s="13" t="n">
        <v>0.02</v>
      </c>
      <c r="U25" s="13" t="n">
        <v>0.02</v>
      </c>
      <c r="V25" s="13" t="n">
        <v>0.02</v>
      </c>
      <c r="W25" s="13" t="n">
        <v>0.02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0.28</v>
      </c>
      <c r="E26" s="13" t="n">
        <v>0.28</v>
      </c>
      <c r="F26" s="13" t="n">
        <v>0.28</v>
      </c>
      <c r="G26" s="13" t="n">
        <v>0.28</v>
      </c>
      <c r="H26" s="13" t="n">
        <v>0.28</v>
      </c>
      <c r="I26" s="13" t="n">
        <v>0.28</v>
      </c>
      <c r="J26" s="13" t="n">
        <v>0.28</v>
      </c>
      <c r="K26" s="13" t="n">
        <v>0.28</v>
      </c>
      <c r="L26" s="13" t="n">
        <v>0.28</v>
      </c>
      <c r="M26" s="13" t="n">
        <v>0.28</v>
      </c>
      <c r="N26" s="13" t="n">
        <v>0.28</v>
      </c>
      <c r="O26" s="13" t="n">
        <v>0.28</v>
      </c>
      <c r="P26" s="13" t="n">
        <v>0.28</v>
      </c>
      <c r="Q26" s="13" t="n">
        <v>0.28</v>
      </c>
      <c r="R26" s="13" t="n">
        <v>0.28</v>
      </c>
      <c r="S26" s="13" t="n">
        <v>0.28</v>
      </c>
      <c r="T26" s="13" t="n">
        <v>0.28</v>
      </c>
      <c r="U26" s="13" t="n">
        <v>0.28</v>
      </c>
      <c r="V26" s="13" t="n">
        <v>0.28</v>
      </c>
      <c r="W26" s="13" t="n">
        <v>0.28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0.04</v>
      </c>
      <c r="E27" s="13" t="n">
        <v>0.04</v>
      </c>
      <c r="F27" s="13" t="n">
        <v>0.04</v>
      </c>
      <c r="G27" s="13" t="n">
        <v>0.04</v>
      </c>
      <c r="H27" s="13" t="n">
        <v>0.04</v>
      </c>
      <c r="I27" s="13" t="n">
        <v>0.04</v>
      </c>
      <c r="J27" s="13" t="n">
        <v>0.04</v>
      </c>
      <c r="K27" s="13" t="n">
        <v>0.04</v>
      </c>
      <c r="L27" s="13" t="n">
        <v>0.04</v>
      </c>
      <c r="M27" s="13" t="n">
        <v>0.04</v>
      </c>
      <c r="N27" s="13" t="n">
        <v>0.04</v>
      </c>
      <c r="O27" s="13" t="n">
        <v>0.04</v>
      </c>
      <c r="P27" s="13" t="n">
        <v>0.04</v>
      </c>
      <c r="Q27" s="13" t="n">
        <v>0.04</v>
      </c>
      <c r="R27" s="13" t="n">
        <v>0.04</v>
      </c>
      <c r="S27" s="13" t="n">
        <v>0.04</v>
      </c>
      <c r="T27" s="13" t="n">
        <v>0.04</v>
      </c>
      <c r="U27" s="13" t="n">
        <v>0.04</v>
      </c>
      <c r="V27" s="13" t="n">
        <v>0.04</v>
      </c>
      <c r="W27" s="13" t="n">
        <v>0.04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-0.1</v>
      </c>
      <c r="E28" s="13" t="n">
        <v>-0.1</v>
      </c>
      <c r="F28" s="13" t="n">
        <v>-0.1</v>
      </c>
      <c r="G28" s="13" t="n">
        <v>-0.1</v>
      </c>
      <c r="H28" s="13" t="n">
        <v>-0.09</v>
      </c>
      <c r="I28" s="13" t="n">
        <v>-0.07000000000000001</v>
      </c>
      <c r="J28" s="13" t="n">
        <v>-0.06</v>
      </c>
      <c r="K28" s="13" t="n">
        <v>-0.05</v>
      </c>
      <c r="L28" s="13" t="n">
        <v>-0.03</v>
      </c>
      <c r="M28" s="13" t="n">
        <v>-0.02</v>
      </c>
      <c r="N28" s="13" t="n">
        <v>0</v>
      </c>
      <c r="O28" s="13" t="n">
        <v>0.01</v>
      </c>
      <c r="P28" s="13" t="n">
        <v>0.01</v>
      </c>
      <c r="Q28" s="13" t="n">
        <v>0.02</v>
      </c>
      <c r="R28" s="13" t="n">
        <v>0.02</v>
      </c>
      <c r="S28" s="13" t="n">
        <v>0.03</v>
      </c>
      <c r="T28" s="13" t="n">
        <v>0.03</v>
      </c>
      <c r="U28" s="13" t="n">
        <v>0.04</v>
      </c>
      <c r="V28" s="13" t="n">
        <v>0.04</v>
      </c>
      <c r="W28" s="13" t="n">
        <v>0.05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high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</v>
      </c>
    </row>
    <row r="11">
      <c r="A11" t="inlineStr">
        <is>
          <t>Capacity Units per Supporting FTE</t>
        </is>
      </c>
      <c r="B11" t="n">
        <v>550</v>
      </c>
    </row>
    <row r="12">
      <c r="A12" t="inlineStr">
        <is>
          <t>Target Payroll % of Revenue</t>
        </is>
      </c>
      <c r="B12" t="n">
        <v>0.55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Founder and CEO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100220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Founder and CEO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100220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Founder and CEO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100220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Founder and CEO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100220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Founder and CEO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103227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Founder and CEO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103227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Founder and CEO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103227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Founder and CEO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103227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Founder and CEO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106323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Founder and CEO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106323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Founder and CEO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106323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Founder and CEO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106323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Founder and CEO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109513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Founder and CEO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109513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Founder and CEO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109513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Founder and CEO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109513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Founder and CEO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112799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Founder and CEO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112799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Founder and CEO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112799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Founder and CEO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112799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Clinical Director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100220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Clinical Director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100220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Clinical Director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100220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Clinical Director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100220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Clinical Director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103227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Clinical Director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103227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Clinical Director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103227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Clinical Director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103227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Clinical Director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106323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Clinical Director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106323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Clinical Director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106323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Clinical Director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106323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Clinical Director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109513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Clinical Director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109513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Clinical Director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109513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Clinical Director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109513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Clinical Director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112799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Clinical Director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112799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Clinical Director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112799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Clinical Director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112799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Registered Nurses</t>
        </is>
      </c>
      <c r="D67" t="inlineStr">
        <is>
          <t>Registered Nurses</t>
        </is>
      </c>
      <c r="E67" s="29" t="n">
        <v>2</v>
      </c>
      <c r="F67" s="29" t="n">
        <v>0</v>
      </c>
      <c r="G67" s="30">
        <f>E67+F67</f>
        <v/>
      </c>
      <c r="H67" s="30">
        <f>(E67+G67)/2</f>
        <v/>
      </c>
      <c r="I67" s="31" t="n">
        <v>98184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Registered Nurses</t>
        </is>
      </c>
      <c r="D68" t="inlineStr">
        <is>
          <t>Registered Nurses</t>
        </is>
      </c>
      <c r="E68" s="29" t="n">
        <v>2</v>
      </c>
      <c r="F68" s="29" t="n">
        <v>0</v>
      </c>
      <c r="G68" s="30">
        <f>E68+F68</f>
        <v/>
      </c>
      <c r="H68" s="30">
        <f>(E68+G68)/2</f>
        <v/>
      </c>
      <c r="I68" s="31" t="n">
        <v>98184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Registered Nurses</t>
        </is>
      </c>
      <c r="D69" t="inlineStr">
        <is>
          <t>Registered Nurses</t>
        </is>
      </c>
      <c r="E69" s="29" t="n">
        <v>2</v>
      </c>
      <c r="F69" s="29" t="n">
        <v>0</v>
      </c>
      <c r="G69" s="30">
        <f>E69+F69</f>
        <v/>
      </c>
      <c r="H69" s="30">
        <f>(E69+G69)/2</f>
        <v/>
      </c>
      <c r="I69" s="31" t="n">
        <v>98184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Registered Nurses</t>
        </is>
      </c>
      <c r="D70" t="inlineStr">
        <is>
          <t>Registered Nurses</t>
        </is>
      </c>
      <c r="E70" s="29" t="n">
        <v>2</v>
      </c>
      <c r="F70" s="29" t="n">
        <v>0</v>
      </c>
      <c r="G70" s="30">
        <f>E70+F70</f>
        <v/>
      </c>
      <c r="H70" s="30">
        <f>(E70+G70)/2</f>
        <v/>
      </c>
      <c r="I70" s="31" t="n">
        <v>98184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Registered Nurses</t>
        </is>
      </c>
      <c r="D71" t="inlineStr">
        <is>
          <t>Registered Nurses</t>
        </is>
      </c>
      <c r="E71" s="29" t="n">
        <v>2</v>
      </c>
      <c r="F71" s="29" t="n">
        <v>0</v>
      </c>
      <c r="G71" s="30">
        <f>E71+F71</f>
        <v/>
      </c>
      <c r="H71" s="30">
        <f>(E71+G71)/2</f>
        <v/>
      </c>
      <c r="I71" s="31" t="n">
        <v>101130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Registered Nurses</t>
        </is>
      </c>
      <c r="D72" t="inlineStr">
        <is>
          <t>Registered Nurses</t>
        </is>
      </c>
      <c r="E72" s="29" t="n">
        <v>2</v>
      </c>
      <c r="F72" s="29" t="n">
        <v>0</v>
      </c>
      <c r="G72" s="30">
        <f>E72+F72</f>
        <v/>
      </c>
      <c r="H72" s="30">
        <f>(E72+G72)/2</f>
        <v/>
      </c>
      <c r="I72" s="31" t="n">
        <v>101130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Registered Nurses</t>
        </is>
      </c>
      <c r="D73" t="inlineStr">
        <is>
          <t>Registered Nurses</t>
        </is>
      </c>
      <c r="E73" s="29" t="n">
        <v>2</v>
      </c>
      <c r="F73" s="29" t="n">
        <v>0</v>
      </c>
      <c r="G73" s="30">
        <f>E73+F73</f>
        <v/>
      </c>
      <c r="H73" s="30">
        <f>(E73+G73)/2</f>
        <v/>
      </c>
      <c r="I73" s="31" t="n">
        <v>101130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Registered Nurses</t>
        </is>
      </c>
      <c r="D74" t="inlineStr">
        <is>
          <t>Registered Nurses</t>
        </is>
      </c>
      <c r="E74" s="29" t="n">
        <v>2</v>
      </c>
      <c r="F74" s="29" t="n">
        <v>0</v>
      </c>
      <c r="G74" s="30">
        <f>E74+F74</f>
        <v/>
      </c>
      <c r="H74" s="30">
        <f>(E74+G74)/2</f>
        <v/>
      </c>
      <c r="I74" s="31" t="n">
        <v>101130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Registered Nurses</t>
        </is>
      </c>
      <c r="D75" t="inlineStr">
        <is>
          <t>Registered Nurses</t>
        </is>
      </c>
      <c r="E75" s="29" t="n">
        <v>2</v>
      </c>
      <c r="F75" s="29" t="n">
        <v>0</v>
      </c>
      <c r="G75" s="30">
        <f>E75+F75</f>
        <v/>
      </c>
      <c r="H75" s="30">
        <f>(E75+G75)/2</f>
        <v/>
      </c>
      <c r="I75" s="31" t="n">
        <v>104163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Registered Nurses</t>
        </is>
      </c>
      <c r="D76" t="inlineStr">
        <is>
          <t>Registered Nurses</t>
        </is>
      </c>
      <c r="E76" s="29" t="n">
        <v>2</v>
      </c>
      <c r="F76" s="29" t="n">
        <v>0</v>
      </c>
      <c r="G76" s="30">
        <f>E76+F76</f>
        <v/>
      </c>
      <c r="H76" s="30">
        <f>(E76+G76)/2</f>
        <v/>
      </c>
      <c r="I76" s="31" t="n">
        <v>104163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Registered Nurses</t>
        </is>
      </c>
      <c r="D77" t="inlineStr">
        <is>
          <t>Registered Nurses</t>
        </is>
      </c>
      <c r="E77" s="29" t="n">
        <v>2</v>
      </c>
      <c r="F77" s="29" t="n">
        <v>0</v>
      </c>
      <c r="G77" s="30">
        <f>E77+F77</f>
        <v/>
      </c>
      <c r="H77" s="30">
        <f>(E77+G77)/2</f>
        <v/>
      </c>
      <c r="I77" s="31" t="n">
        <v>104163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Registered Nurses</t>
        </is>
      </c>
      <c r="D78" t="inlineStr">
        <is>
          <t>Registered Nurses</t>
        </is>
      </c>
      <c r="E78" s="29" t="n">
        <v>2</v>
      </c>
      <c r="F78" s="29" t="n">
        <v>0</v>
      </c>
      <c r="G78" s="30">
        <f>E78+F78</f>
        <v/>
      </c>
      <c r="H78" s="30">
        <f>(E78+G78)/2</f>
        <v/>
      </c>
      <c r="I78" s="31" t="n">
        <v>104163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Registered Nurses</t>
        </is>
      </c>
      <c r="D79" t="inlineStr">
        <is>
          <t>Registered Nurses</t>
        </is>
      </c>
      <c r="E79" s="29" t="n">
        <v>2</v>
      </c>
      <c r="F79" s="29" t="n">
        <v>0</v>
      </c>
      <c r="G79" s="30">
        <f>E79+F79</f>
        <v/>
      </c>
      <c r="H79" s="30">
        <f>(E79+G79)/2</f>
        <v/>
      </c>
      <c r="I79" s="31" t="n">
        <v>107288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Registered Nurses</t>
        </is>
      </c>
      <c r="D80" t="inlineStr">
        <is>
          <t>Registered Nurses</t>
        </is>
      </c>
      <c r="E80" s="29" t="n">
        <v>2</v>
      </c>
      <c r="F80" s="29" t="n">
        <v>0</v>
      </c>
      <c r="G80" s="30">
        <f>E80+F80</f>
        <v/>
      </c>
      <c r="H80" s="30">
        <f>(E80+G80)/2</f>
        <v/>
      </c>
      <c r="I80" s="31" t="n">
        <v>107288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Registered Nurses</t>
        </is>
      </c>
      <c r="D81" t="inlineStr">
        <is>
          <t>Registered Nurses</t>
        </is>
      </c>
      <c r="E81" s="29" t="n">
        <v>2</v>
      </c>
      <c r="F81" s="29" t="n">
        <v>0</v>
      </c>
      <c r="G81" s="30">
        <f>E81+F81</f>
        <v/>
      </c>
      <c r="H81" s="30">
        <f>(E81+G81)/2</f>
        <v/>
      </c>
      <c r="I81" s="31" t="n">
        <v>107288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Registered Nurses</t>
        </is>
      </c>
      <c r="D82" t="inlineStr">
        <is>
          <t>Registered Nurses</t>
        </is>
      </c>
      <c r="E82" s="29" t="n">
        <v>2</v>
      </c>
      <c r="F82" s="29" t="n">
        <v>0</v>
      </c>
      <c r="G82" s="30">
        <f>E82+F82</f>
        <v/>
      </c>
      <c r="H82" s="30">
        <f>(E82+G82)/2</f>
        <v/>
      </c>
      <c r="I82" s="31" t="n">
        <v>107288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Registered Nurses</t>
        </is>
      </c>
      <c r="D83" t="inlineStr">
        <is>
          <t>Registered Nurses</t>
        </is>
      </c>
      <c r="E83" s="29" t="n">
        <v>2</v>
      </c>
      <c r="F83" s="29" t="n">
        <v>0</v>
      </c>
      <c r="G83" s="30">
        <f>E83+F83</f>
        <v/>
      </c>
      <c r="H83" s="30">
        <f>(E83+G83)/2</f>
        <v/>
      </c>
      <c r="I83" s="31" t="n">
        <v>110507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Registered Nurses</t>
        </is>
      </c>
      <c r="D84" t="inlineStr">
        <is>
          <t>Registered Nurses</t>
        </is>
      </c>
      <c r="E84" s="29" t="n">
        <v>2</v>
      </c>
      <c r="F84" s="29" t="n">
        <v>0</v>
      </c>
      <c r="G84" s="30">
        <f>E84+F84</f>
        <v/>
      </c>
      <c r="H84" s="30">
        <f>(E84+G84)/2</f>
        <v/>
      </c>
      <c r="I84" s="31" t="n">
        <v>110507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Registered Nurses</t>
        </is>
      </c>
      <c r="D85" t="inlineStr">
        <is>
          <t>Registered Nurses</t>
        </is>
      </c>
      <c r="E85" s="29" t="n">
        <v>2</v>
      </c>
      <c r="F85" s="29" t="n">
        <v>0</v>
      </c>
      <c r="G85" s="30">
        <f>E85+F85</f>
        <v/>
      </c>
      <c r="H85" s="30">
        <f>(E85+G85)/2</f>
        <v/>
      </c>
      <c r="I85" s="31" t="n">
        <v>110507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Registered Nurses</t>
        </is>
      </c>
      <c r="D86" t="inlineStr">
        <is>
          <t>Registered Nurses</t>
        </is>
      </c>
      <c r="E86" s="29" t="n">
        <v>2</v>
      </c>
      <c r="F86" s="29" t="n">
        <v>0</v>
      </c>
      <c r="G86" s="30">
        <f>E86+F86</f>
        <v/>
      </c>
      <c r="H86" s="30">
        <f>(E86+G86)/2</f>
        <v/>
      </c>
      <c r="I86" s="31" t="n">
        <v>110507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0.025</v>
      </c>
      <c r="E12" s="13" t="n">
        <v>0.025</v>
      </c>
      <c r="F12" s="13" t="n">
        <v>0.025</v>
      </c>
      <c r="G12" s="13" t="n">
        <v>0.025</v>
      </c>
      <c r="H12" s="13" t="n">
        <v>0.025</v>
      </c>
      <c r="I12" s="13" t="n">
        <v>0.025</v>
      </c>
      <c r="J12" s="13" t="n">
        <v>0.025</v>
      </c>
      <c r="K12" s="13" t="n">
        <v>0.025</v>
      </c>
      <c r="L12" s="13" t="n">
        <v>0.025</v>
      </c>
      <c r="M12" s="13" t="n">
        <v>0.025</v>
      </c>
      <c r="N12" s="13" t="n">
        <v>0.025</v>
      </c>
      <c r="O12" s="13" t="n">
        <v>0.025</v>
      </c>
      <c r="P12" s="13" t="n">
        <v>0.025</v>
      </c>
      <c r="Q12" s="13" t="n">
        <v>0.025</v>
      </c>
      <c r="R12" s="13" t="n">
        <v>0.025</v>
      </c>
      <c r="S12" s="13" t="n">
        <v>0.025</v>
      </c>
      <c r="T12" s="13" t="n">
        <v>0.025</v>
      </c>
      <c r="U12" s="13" t="n">
        <v>0.025</v>
      </c>
      <c r="V12" s="13" t="n">
        <v>0.025</v>
      </c>
      <c r="W12" s="13" t="n">
        <v>0.025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30</v>
      </c>
      <c r="E7" s="9" t="n">
        <v>30</v>
      </c>
      <c r="F7" s="9" t="n">
        <v>30</v>
      </c>
      <c r="G7" s="9" t="n">
        <v>30</v>
      </c>
      <c r="H7" s="9" t="n">
        <v>30</v>
      </c>
      <c r="I7" s="9" t="n">
        <v>30</v>
      </c>
      <c r="J7" s="9" t="n">
        <v>30</v>
      </c>
      <c r="K7" s="9" t="n">
        <v>30</v>
      </c>
      <c r="L7" s="9" t="n">
        <v>30</v>
      </c>
      <c r="M7" s="9" t="n">
        <v>30</v>
      </c>
      <c r="N7" s="9" t="n">
        <v>30</v>
      </c>
      <c r="O7" s="9" t="n">
        <v>30</v>
      </c>
      <c r="P7" s="9" t="n">
        <v>30</v>
      </c>
      <c r="Q7" s="9" t="n">
        <v>30</v>
      </c>
      <c r="R7" s="9" t="n">
        <v>30</v>
      </c>
      <c r="S7" s="9" t="n">
        <v>30</v>
      </c>
      <c r="T7" s="9" t="n">
        <v>30</v>
      </c>
      <c r="U7" s="9" t="n">
        <v>30</v>
      </c>
      <c r="V7" s="9" t="n">
        <v>30</v>
      </c>
      <c r="W7" s="9" t="n">
        <v>30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2</v>
      </c>
      <c r="E10" s="13" t="n">
        <v>2</v>
      </c>
      <c r="F10" s="13" t="n">
        <v>2</v>
      </c>
      <c r="G10" s="13" t="n">
        <v>2</v>
      </c>
      <c r="H10" s="13" t="n">
        <v>2</v>
      </c>
      <c r="I10" s="13" t="n">
        <v>2</v>
      </c>
      <c r="J10" s="13" t="n">
        <v>2</v>
      </c>
      <c r="K10" s="13" t="n">
        <v>2</v>
      </c>
      <c r="L10" s="13" t="n">
        <v>2</v>
      </c>
      <c r="M10" s="13" t="n">
        <v>2</v>
      </c>
      <c r="N10" s="13" t="n">
        <v>2</v>
      </c>
      <c r="O10" s="13" t="n">
        <v>2</v>
      </c>
      <c r="P10" s="13" t="n">
        <v>2</v>
      </c>
      <c r="Q10" s="13" t="n">
        <v>2</v>
      </c>
      <c r="R10" s="13" t="n">
        <v>2</v>
      </c>
      <c r="S10" s="13" t="n">
        <v>2</v>
      </c>
      <c r="T10" s="13" t="n">
        <v>2</v>
      </c>
      <c r="U10" s="13" t="n">
        <v>2</v>
      </c>
      <c r="V10" s="13" t="n">
        <v>2</v>
      </c>
      <c r="W10" s="13" t="n">
        <v>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50000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50000</v>
      </c>
      <c r="D7" s="11" t="n">
        <v>1274355</v>
      </c>
      <c r="E7" s="11" t="n">
        <v>1552515</v>
      </c>
      <c r="F7" s="11" t="n">
        <v>1815078</v>
      </c>
      <c r="G7" s="11" t="n">
        <v>2057305</v>
      </c>
      <c r="H7" s="11" t="n">
        <v>2281277</v>
      </c>
      <c r="I7" s="11" t="n">
        <v>2479493</v>
      </c>
      <c r="J7" s="11" t="n">
        <v>2649641</v>
      </c>
      <c r="K7" s="11" t="n">
        <v>2786703</v>
      </c>
      <c r="L7" s="11" t="n">
        <v>2891134</v>
      </c>
      <c r="M7" s="11" t="n">
        <v>2958586</v>
      </c>
      <c r="N7" s="11" t="n">
        <v>2996148</v>
      </c>
      <c r="O7" s="11" t="n">
        <v>2996148</v>
      </c>
      <c r="P7" s="11" t="n">
        <v>2996148</v>
      </c>
      <c r="Q7" s="11" t="n">
        <v>2996148</v>
      </c>
      <c r="R7" s="11" t="n">
        <v>2996148</v>
      </c>
      <c r="S7" s="11" t="n">
        <v>2996148</v>
      </c>
      <c r="T7" s="11" t="n">
        <v>2996148</v>
      </c>
      <c r="U7" s="11" t="n">
        <v>2996148</v>
      </c>
      <c r="V7" s="11" t="n">
        <v>2996148</v>
      </c>
      <c r="W7" s="11" t="n">
        <v>2996148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41527</v>
      </c>
      <c r="R9" s="11" t="n">
        <v>57955</v>
      </c>
      <c r="S9" s="11" t="n">
        <v>70525</v>
      </c>
      <c r="T9" s="11" t="n">
        <v>73886</v>
      </c>
      <c r="U9" s="11" t="n">
        <v>81511</v>
      </c>
      <c r="V9" s="11" t="n">
        <v>86013</v>
      </c>
      <c r="W9" s="11" t="n">
        <v>99228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0</v>
      </c>
      <c r="D12" s="11" t="n">
        <v>0.05</v>
      </c>
      <c r="E12" s="11" t="n">
        <v>0.05</v>
      </c>
      <c r="F12" s="11" t="n">
        <v>0.05</v>
      </c>
      <c r="G12" s="11" t="n">
        <v>0.05</v>
      </c>
      <c r="H12" s="11" t="n">
        <v>0.045</v>
      </c>
      <c r="I12" s="11" t="n">
        <v>0.045</v>
      </c>
      <c r="J12" s="11" t="n">
        <v>0.04</v>
      </c>
      <c r="K12" s="11" t="n">
        <v>0.04</v>
      </c>
      <c r="L12" s="11" t="n">
        <v>0.035</v>
      </c>
      <c r="M12" s="11" t="n">
        <v>0.035</v>
      </c>
      <c r="N12" s="11" t="n">
        <v>0.03</v>
      </c>
      <c r="O12" s="11" t="n">
        <v>0.03</v>
      </c>
      <c r="P12" s="11" t="n">
        <v>0.025</v>
      </c>
      <c r="Q12" s="11" t="n">
        <v>0.025</v>
      </c>
      <c r="R12" s="11" t="n">
        <v>0.02</v>
      </c>
      <c r="S12" s="11" t="n">
        <v>0.02</v>
      </c>
      <c r="T12" s="11" t="n">
        <v>0.02</v>
      </c>
      <c r="U12" s="11" t="n">
        <v>0.02</v>
      </c>
      <c r="V12" s="11" t="n">
        <v>0.02</v>
      </c>
      <c r="W12" s="11" t="n">
        <v>0.02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home visit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home visit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home visit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home visit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0.675518</v>
      </c>
      <c r="D12" s="14" t="n">
        <v>0.75</v>
      </c>
      <c r="E12" s="14" t="n">
        <v>0.7300000000000001</v>
      </c>
      <c r="F12" s="14" t="n">
        <v>0.7100000000000001</v>
      </c>
      <c r="G12" s="14" t="n">
        <v>0.6899999999999999</v>
      </c>
      <c r="H12" s="14" t="n">
        <v>0.6699999999999999</v>
      </c>
      <c r="I12" s="14" t="n">
        <v>0.65</v>
      </c>
      <c r="J12" s="14" t="n">
        <v>0.6300000000000001</v>
      </c>
      <c r="K12" s="14" t="n">
        <v>0.6100000000000001</v>
      </c>
      <c r="L12" s="14" t="n">
        <v>0.5900000000000001</v>
      </c>
      <c r="M12" s="14" t="n">
        <v>0.5700000000000001</v>
      </c>
      <c r="N12" s="14" t="n">
        <v>0.55</v>
      </c>
      <c r="O12" s="14" t="n">
        <v>0.5444444444444445</v>
      </c>
      <c r="P12" s="14" t="n">
        <v>0.538888888888889</v>
      </c>
      <c r="Q12" s="14" t="n">
        <v>0.5333333333333334</v>
      </c>
      <c r="R12" s="14" t="n">
        <v>0.5277777777777778</v>
      </c>
      <c r="S12" s="14" t="n">
        <v>0.5222222222222223</v>
      </c>
      <c r="T12" s="14" t="n">
        <v>0.5166666666666667</v>
      </c>
      <c r="U12" s="14" t="n">
        <v>0.5111111111111111</v>
      </c>
      <c r="V12" s="14" t="n">
        <v>0.5055555555555555</v>
      </c>
      <c r="W12" s="14" t="n">
        <v>0.5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0.11</v>
      </c>
      <c r="D13" s="14" t="n">
        <v>0.24</v>
      </c>
      <c r="E13" s="14" t="n">
        <v>0.224</v>
      </c>
      <c r="F13" s="14" t="n">
        <v>0.208</v>
      </c>
      <c r="G13" s="14" t="n">
        <v>0.192</v>
      </c>
      <c r="H13" s="14" t="n">
        <v>0.176</v>
      </c>
      <c r="I13" s="14" t="n">
        <v>0.16</v>
      </c>
      <c r="J13" s="14" t="n">
        <v>0.144</v>
      </c>
      <c r="K13" s="14" t="n">
        <v>0.128</v>
      </c>
      <c r="L13" s="14" t="n">
        <v>0.112</v>
      </c>
      <c r="M13" s="14" t="n">
        <v>0.096</v>
      </c>
      <c r="N13" s="14" t="n">
        <v>0.08</v>
      </c>
      <c r="O13" s="14" t="n">
        <v>0.07666666666666666</v>
      </c>
      <c r="P13" s="14" t="n">
        <v>0.07333333333333333</v>
      </c>
      <c r="Q13" s="14" t="n">
        <v>0.07000000000000001</v>
      </c>
      <c r="R13" s="14" t="n">
        <v>0.06666666666666667</v>
      </c>
      <c r="S13" s="14" t="n">
        <v>0.06333333333333334</v>
      </c>
      <c r="T13" s="14" t="n">
        <v>0.06</v>
      </c>
      <c r="U13" s="14" t="n">
        <v>0.05666666666666667</v>
      </c>
      <c r="V13" s="14" t="n">
        <v>0.05333333333333334</v>
      </c>
      <c r="W13" s="14" t="n">
        <v>0.05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0.05</v>
      </c>
      <c r="E14" s="14" t="n">
        <v>0.04600000000000001</v>
      </c>
      <c r="F14" s="14" t="n">
        <v>0.04200000000000001</v>
      </c>
      <c r="G14" s="14" t="n">
        <v>0.038</v>
      </c>
      <c r="H14" s="14" t="n">
        <v>0.034</v>
      </c>
      <c r="I14" s="14" t="n">
        <v>0.03</v>
      </c>
      <c r="J14" s="14" t="n">
        <v>0.026</v>
      </c>
      <c r="K14" s="14" t="n">
        <v>0.022</v>
      </c>
      <c r="L14" s="14" t="n">
        <v>0.018</v>
      </c>
      <c r="M14" s="14" t="n">
        <v>0.014</v>
      </c>
      <c r="N14" s="14" t="n">
        <v>0.01</v>
      </c>
      <c r="O14" s="14" t="n">
        <v>0.009444444444444445</v>
      </c>
      <c r="P14" s="14" t="n">
        <v>0.008888888888888889</v>
      </c>
      <c r="Q14" s="14" t="n">
        <v>0.008333333333333335</v>
      </c>
      <c r="R14" s="14" t="n">
        <v>0.007777777777777778</v>
      </c>
      <c r="S14" s="14" t="n">
        <v>0.007222222222222222</v>
      </c>
      <c r="T14" s="14" t="n">
        <v>0.006666666666666667</v>
      </c>
      <c r="U14" s="14" t="n">
        <v>0.006111111111111111</v>
      </c>
      <c r="V14" s="14" t="n">
        <v>0.005555555555555556</v>
      </c>
      <c r="W14" s="14" t="n">
        <v>0.005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99292.5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0.0009</v>
      </c>
      <c r="D17" s="14" t="n">
        <v>0.24</v>
      </c>
      <c r="E17" s="14" t="n">
        <v>0.224</v>
      </c>
      <c r="F17" s="14" t="n">
        <v>0.208</v>
      </c>
      <c r="G17" s="14" t="n">
        <v>0.192</v>
      </c>
      <c r="H17" s="14" t="n">
        <v>0.176</v>
      </c>
      <c r="I17" s="14" t="n">
        <v>0.16</v>
      </c>
      <c r="J17" s="14" t="n">
        <v>0.144</v>
      </c>
      <c r="K17" s="14" t="n">
        <v>0.128</v>
      </c>
      <c r="L17" s="14" t="n">
        <v>0.112</v>
      </c>
      <c r="M17" s="14" t="n">
        <v>0.096</v>
      </c>
      <c r="N17" s="14" t="n">
        <v>0.08</v>
      </c>
      <c r="O17" s="14" t="n">
        <v>0.07666666666666666</v>
      </c>
      <c r="P17" s="14" t="n">
        <v>0.07333333333333333</v>
      </c>
      <c r="Q17" s="14" t="n">
        <v>0.07000000000000001</v>
      </c>
      <c r="R17" s="14" t="n">
        <v>0.06666666666666667</v>
      </c>
      <c r="S17" s="14" t="n">
        <v>0.06333333333333334</v>
      </c>
      <c r="T17" s="14" t="n">
        <v>0.06</v>
      </c>
      <c r="U17" s="14" t="n">
        <v>0.05666666666666667</v>
      </c>
      <c r="V17" s="14" t="n">
        <v>0.05333333333333334</v>
      </c>
      <c r="W17" s="14" t="n">
        <v>0.05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0.237834</v>
      </c>
      <c r="D22" s="14" t="n">
        <v>0.237834</v>
      </c>
      <c r="E22" s="14" t="n">
        <v>0.237834</v>
      </c>
      <c r="F22" s="14" t="n">
        <v>0.237834</v>
      </c>
      <c r="G22" s="14" t="n">
        <v>0.237834</v>
      </c>
      <c r="H22" s="14" t="n">
        <v>0.237834</v>
      </c>
      <c r="I22" s="14" t="n">
        <v>0.237834</v>
      </c>
      <c r="J22" s="14" t="n">
        <v>0.237834</v>
      </c>
      <c r="K22" s="14" t="n">
        <v>0.237834</v>
      </c>
      <c r="L22" s="14" t="n">
        <v>0.237834</v>
      </c>
      <c r="M22" s="14" t="n">
        <v>0.237834</v>
      </c>
      <c r="N22" s="14" t="n">
        <v>0.237834</v>
      </c>
      <c r="O22" s="14" t="n">
        <v>0.237834</v>
      </c>
      <c r="P22" s="14" t="n">
        <v>0.237834</v>
      </c>
      <c r="Q22" s="14" t="n">
        <v>0.237834</v>
      </c>
      <c r="R22" s="14" t="n">
        <v>0.237834</v>
      </c>
      <c r="S22" s="14" t="n">
        <v>0.237834</v>
      </c>
      <c r="T22" s="14" t="n">
        <v>0.237834</v>
      </c>
      <c r="U22" s="14" t="n">
        <v>0.237834</v>
      </c>
      <c r="V22" s="14" t="n">
        <v>0.237834</v>
      </c>
      <c r="W22" s="14" t="n">
        <v>0.237834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163800</v>
      </c>
      <c r="D7" s="31" t="n">
        <v>367476.48</v>
      </c>
      <c r="E7" s="31" t="n">
        <v>393567.31008</v>
      </c>
      <c r="F7" s="31" t="n">
        <v>420393.09312</v>
      </c>
      <c r="G7" s="31" t="n">
        <v>447953.82912</v>
      </c>
      <c r="H7" s="31" t="n">
        <v>476249.51808</v>
      </c>
      <c r="I7" s="31" t="n">
        <v>505280.16</v>
      </c>
      <c r="J7" s="31" t="n">
        <v>535045.75488</v>
      </c>
      <c r="K7" s="31" t="n">
        <v>565546.30272</v>
      </c>
      <c r="L7" s="31" t="n">
        <v>596781.80352</v>
      </c>
      <c r="M7" s="31" t="n">
        <v>628752.25728</v>
      </c>
      <c r="N7" s="31" t="n">
        <v>661457.664</v>
      </c>
      <c r="O7" s="31" t="n">
        <v>665540.735592</v>
      </c>
      <c r="P7" s="31" t="n">
        <v>669623.807183</v>
      </c>
      <c r="Q7" s="31" t="n">
        <v>673706.878775</v>
      </c>
      <c r="R7" s="31" t="n">
        <v>677789.950367</v>
      </c>
      <c r="S7" s="31" t="n">
        <v>681873.025633</v>
      </c>
      <c r="T7" s="31" t="n">
        <v>685956.097225</v>
      </c>
      <c r="U7" s="31" t="n">
        <v>690039.168817</v>
      </c>
      <c r="V7" s="31" t="n">
        <v>694122.240408</v>
      </c>
      <c r="W7" s="31" t="n">
        <v>698205.312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110649.8484</v>
      </c>
      <c r="D8" s="31" t="n">
        <v>275607.36</v>
      </c>
      <c r="E8" s="31" t="n">
        <v>287304.136358</v>
      </c>
      <c r="F8" s="31" t="n">
        <v>298479.096115</v>
      </c>
      <c r="G8" s="31" t="n">
        <v>309088.142093</v>
      </c>
      <c r="H8" s="31" t="n">
        <v>319087.177114</v>
      </c>
      <c r="I8" s="31" t="n">
        <v>328432.104</v>
      </c>
      <c r="J8" s="31" t="n">
        <v>337078.825574</v>
      </c>
      <c r="K8" s="31" t="n">
        <v>344983.244659</v>
      </c>
      <c r="L8" s="31" t="n">
        <v>352101.264077</v>
      </c>
      <c r="M8" s="31" t="n">
        <v>358388.78665</v>
      </c>
      <c r="N8" s="31" t="n">
        <v>363801.7152</v>
      </c>
      <c r="O8" s="31" t="n">
        <v>362349.956044</v>
      </c>
      <c r="P8" s="31" t="n">
        <v>360852.829427</v>
      </c>
      <c r="Q8" s="31" t="n">
        <v>359310.335347</v>
      </c>
      <c r="R8" s="31" t="n">
        <v>357722.473805</v>
      </c>
      <c r="S8" s="31" t="n">
        <v>356089.24672</v>
      </c>
      <c r="T8" s="31" t="n">
        <v>354410.650233</v>
      </c>
      <c r="U8" s="31" t="n">
        <v>352686.686284</v>
      </c>
      <c r="V8" s="31" t="n">
        <v>350917.354873</v>
      </c>
      <c r="W8" s="31" t="n">
        <v>349102.656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53150.1516</v>
      </c>
      <c r="D9" s="31" t="n">
        <v>91869.12</v>
      </c>
      <c r="E9" s="31" t="n">
        <v>106263.173722</v>
      </c>
      <c r="F9" s="31" t="n">
        <v>121913.997005</v>
      </c>
      <c r="G9" s="31" t="n">
        <v>138865.687027</v>
      </c>
      <c r="H9" s="31" t="n">
        <v>157162.340966</v>
      </c>
      <c r="I9" s="31" t="n">
        <v>176848.056</v>
      </c>
      <c r="J9" s="31" t="n">
        <v>197966.929306</v>
      </c>
      <c r="K9" s="31" t="n">
        <v>220563.058061</v>
      </c>
      <c r="L9" s="31" t="n">
        <v>244680.539443</v>
      </c>
      <c r="M9" s="31" t="n">
        <v>270363.47063</v>
      </c>
      <c r="N9" s="31" t="n">
        <v>297655.9488</v>
      </c>
      <c r="O9" s="31" t="n">
        <v>303190.779547</v>
      </c>
      <c r="P9" s="31" t="n">
        <v>308770.977757</v>
      </c>
      <c r="Q9" s="31" t="n">
        <v>314396.543428</v>
      </c>
      <c r="R9" s="31" t="n">
        <v>320067.476562</v>
      </c>
      <c r="S9" s="31" t="n">
        <v>325783.778914</v>
      </c>
      <c r="T9" s="31" t="n">
        <v>331545.446992</v>
      </c>
      <c r="U9" s="31" t="n">
        <v>337352.482533</v>
      </c>
      <c r="V9" s="31" t="n">
        <v>343204.885535</v>
      </c>
      <c r="W9" s="31" t="n">
        <v>349102.656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18018</v>
      </c>
      <c r="D10" s="31" t="n">
        <v>88194.35520000001</v>
      </c>
      <c r="E10" s="31" t="n">
        <v>88159.077458</v>
      </c>
      <c r="F10" s="31" t="n">
        <v>87441.76336899999</v>
      </c>
      <c r="G10" s="31" t="n">
        <v>86007.13519099999</v>
      </c>
      <c r="H10" s="31" t="n">
        <v>83819.915182</v>
      </c>
      <c r="I10" s="31" t="n">
        <v>80844.8256</v>
      </c>
      <c r="J10" s="31" t="n">
        <v>77046.588703</v>
      </c>
      <c r="K10" s="31" t="n">
        <v>72389.926748</v>
      </c>
      <c r="L10" s="31" t="n">
        <v>66839.561994</v>
      </c>
      <c r="M10" s="31" t="n">
        <v>60360.216699</v>
      </c>
      <c r="N10" s="31" t="n">
        <v>52916.61312</v>
      </c>
      <c r="O10" s="31" t="n">
        <v>51024.789729</v>
      </c>
      <c r="P10" s="31" t="n">
        <v>49105.74586</v>
      </c>
      <c r="Q10" s="31" t="n">
        <v>47159.481514</v>
      </c>
      <c r="R10" s="31" t="n">
        <v>45185.996691</v>
      </c>
      <c r="S10" s="31" t="n">
        <v>43185.291623</v>
      </c>
      <c r="T10" s="31" t="n">
        <v>41157.365833</v>
      </c>
      <c r="U10" s="31" t="n">
        <v>39102.219566</v>
      </c>
      <c r="V10" s="31" t="n">
        <v>37019.852822</v>
      </c>
      <c r="W10" s="31" t="n">
        <v>34910.2656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18373.824</v>
      </c>
      <c r="E11" s="31" t="n">
        <v>18104.096264</v>
      </c>
      <c r="F11" s="31" t="n">
        <v>17656.509911</v>
      </c>
      <c r="G11" s="31" t="n">
        <v>17022.245507</v>
      </c>
      <c r="H11" s="31" t="n">
        <v>16192.483615</v>
      </c>
      <c r="I11" s="31" t="n">
        <v>15158.4048</v>
      </c>
      <c r="J11" s="31" t="n">
        <v>13911.189627</v>
      </c>
      <c r="K11" s="31" t="n">
        <v>12442.01866</v>
      </c>
      <c r="L11" s="31" t="n">
        <v>10742.072463</v>
      </c>
      <c r="M11" s="31" t="n">
        <v>8802.531601999999</v>
      </c>
      <c r="N11" s="31" t="n">
        <v>6614.57664</v>
      </c>
      <c r="O11" s="31" t="n">
        <v>6285.662503</v>
      </c>
      <c r="P11" s="31" t="n">
        <v>5952.211619</v>
      </c>
      <c r="Q11" s="31" t="n">
        <v>5614.22399</v>
      </c>
      <c r="R11" s="31" t="n">
        <v>5271.699614</v>
      </c>
      <c r="S11" s="31" t="n">
        <v>4924.638518</v>
      </c>
      <c r="T11" s="31" t="n">
        <v>4573.040648</v>
      </c>
      <c r="U11" s="31" t="n">
        <v>4216.906032</v>
      </c>
      <c r="V11" s="31" t="n">
        <v>3856.234669</v>
      </c>
      <c r="W11" s="31" t="n">
        <v>3491.02656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0</v>
      </c>
      <c r="D12" s="31" t="n">
        <v>0.05</v>
      </c>
      <c r="E12" s="31" t="n">
        <v>0.05</v>
      </c>
      <c r="F12" s="31" t="n">
        <v>0.05</v>
      </c>
      <c r="G12" s="31" t="n">
        <v>0.05</v>
      </c>
      <c r="H12" s="31" t="n">
        <v>0.045</v>
      </c>
      <c r="I12" s="31" t="n">
        <v>0.045</v>
      </c>
      <c r="J12" s="31" t="n">
        <v>0.04</v>
      </c>
      <c r="K12" s="31" t="n">
        <v>0.04</v>
      </c>
      <c r="L12" s="31" t="n">
        <v>0.035</v>
      </c>
      <c r="M12" s="31" t="n">
        <v>0.035</v>
      </c>
      <c r="N12" s="31" t="n">
        <v>0.03</v>
      </c>
      <c r="O12" s="31" t="n">
        <v>0.03</v>
      </c>
      <c r="P12" s="31" t="n">
        <v>0.025</v>
      </c>
      <c r="Q12" s="31" t="n">
        <v>0.025</v>
      </c>
      <c r="R12" s="31" t="n">
        <v>0.02</v>
      </c>
      <c r="S12" s="31" t="n">
        <v>0.02</v>
      </c>
      <c r="T12" s="31" t="n">
        <v>0.02</v>
      </c>
      <c r="U12" s="31" t="n">
        <v>0.02</v>
      </c>
      <c r="V12" s="31" t="n">
        <v>0.02</v>
      </c>
      <c r="W12" s="31" t="n">
        <v>0.02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99292.5</v>
      </c>
      <c r="D13" s="31" t="n">
        <v>123522</v>
      </c>
      <c r="E13" s="31" t="n">
        <v>123522</v>
      </c>
      <c r="F13" s="31" t="n">
        <v>123522</v>
      </c>
      <c r="G13" s="31" t="n">
        <v>123522</v>
      </c>
      <c r="H13" s="31" t="n">
        <v>127230</v>
      </c>
      <c r="I13" s="31" t="n">
        <v>127230</v>
      </c>
      <c r="J13" s="31" t="n">
        <v>127230</v>
      </c>
      <c r="K13" s="31" t="n">
        <v>127230</v>
      </c>
      <c r="L13" s="31" t="n">
        <v>131045</v>
      </c>
      <c r="M13" s="31" t="n">
        <v>131045</v>
      </c>
      <c r="N13" s="31" t="n">
        <v>131045</v>
      </c>
      <c r="O13" s="31" t="n">
        <v>131045</v>
      </c>
      <c r="P13" s="31" t="n">
        <v>134976</v>
      </c>
      <c r="Q13" s="31" t="n">
        <v>134976</v>
      </c>
      <c r="R13" s="31" t="n">
        <v>134976</v>
      </c>
      <c r="S13" s="31" t="n">
        <v>134976</v>
      </c>
      <c r="T13" s="31" t="n">
        <v>139026</v>
      </c>
      <c r="U13" s="31" t="n">
        <v>139026</v>
      </c>
      <c r="V13" s="31" t="n">
        <v>139026</v>
      </c>
      <c r="W13" s="31" t="n">
        <v>139026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147.42</v>
      </c>
      <c r="D14" s="31" t="n">
        <v>88194.35520000001</v>
      </c>
      <c r="E14" s="31" t="n">
        <v>88159.077458</v>
      </c>
      <c r="F14" s="31" t="n">
        <v>87441.76336899999</v>
      </c>
      <c r="G14" s="31" t="n">
        <v>86007.13519099999</v>
      </c>
      <c r="H14" s="31" t="n">
        <v>83819.915182</v>
      </c>
      <c r="I14" s="31" t="n">
        <v>80844.8256</v>
      </c>
      <c r="J14" s="31" t="n">
        <v>77046.588703</v>
      </c>
      <c r="K14" s="31" t="n">
        <v>72389.926748</v>
      </c>
      <c r="L14" s="31" t="n">
        <v>66839.561994</v>
      </c>
      <c r="M14" s="31" t="n">
        <v>60360.216699</v>
      </c>
      <c r="N14" s="31" t="n">
        <v>52916.61312</v>
      </c>
      <c r="O14" s="31" t="n">
        <v>51024.789729</v>
      </c>
      <c r="P14" s="31" t="n">
        <v>49105.74586</v>
      </c>
      <c r="Q14" s="31" t="n">
        <v>47159.481514</v>
      </c>
      <c r="R14" s="31" t="n">
        <v>45185.996691</v>
      </c>
      <c r="S14" s="31" t="n">
        <v>43185.291623</v>
      </c>
      <c r="T14" s="31" t="n">
        <v>41157.365833</v>
      </c>
      <c r="U14" s="31" t="n">
        <v>39102.219566</v>
      </c>
      <c r="V14" s="31" t="n">
        <v>37019.852822</v>
      </c>
      <c r="W14" s="31" t="n">
        <v>34910.2656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-64307.7684</v>
      </c>
      <c r="D15" s="31" t="n">
        <v>-226415.4644</v>
      </c>
      <c r="E15" s="31" t="n">
        <v>-211681.127458</v>
      </c>
      <c r="F15" s="31" t="n">
        <v>-194148.089644</v>
      </c>
      <c r="G15" s="31" t="n">
        <v>-173692.878861</v>
      </c>
      <c r="H15" s="31" t="n">
        <v>-153900.018012</v>
      </c>
      <c r="I15" s="31" t="n">
        <v>-127230.045</v>
      </c>
      <c r="J15" s="31" t="n">
        <v>-97267.477727</v>
      </c>
      <c r="K15" s="31" t="n">
        <v>-63888.854095</v>
      </c>
      <c r="L15" s="31" t="n">
        <v>-30785.692009</v>
      </c>
      <c r="M15" s="31" t="n">
        <v>9795.470631</v>
      </c>
      <c r="N15" s="31" t="n">
        <v>54163.11592</v>
      </c>
      <c r="O15" s="31" t="n">
        <v>63810.507587</v>
      </c>
      <c r="P15" s="31" t="n">
        <v>69631.249417</v>
      </c>
      <c r="Q15" s="31" t="n">
        <v>79487.33141</v>
      </c>
      <c r="R15" s="31" t="n">
        <v>89447.76356599999</v>
      </c>
      <c r="S15" s="31" t="n">
        <v>99512.537148</v>
      </c>
      <c r="T15" s="31" t="n">
        <v>105631.654677</v>
      </c>
      <c r="U15" s="31" t="n">
        <v>115905.117368</v>
      </c>
      <c r="V15" s="31" t="n">
        <v>126282.925223</v>
      </c>
      <c r="W15" s="31" t="n">
        <v>136765.07824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2329.695962</v>
      </c>
      <c r="N18" s="31" t="n">
        <v>12881.830512</v>
      </c>
      <c r="O18" s="31" t="n">
        <v>15176.308261</v>
      </c>
      <c r="P18" s="31" t="n">
        <v>16560.678574</v>
      </c>
      <c r="Q18" s="31" t="n">
        <v>18904.789979</v>
      </c>
      <c r="R18" s="31" t="n">
        <v>21273.7194</v>
      </c>
      <c r="S18" s="31" t="n">
        <v>23667.46476</v>
      </c>
      <c r="T18" s="31" t="n">
        <v>25122.798958</v>
      </c>
      <c r="U18" s="31" t="n">
        <v>27566.177684</v>
      </c>
      <c r="V18" s="31" t="n">
        <v>30034.373237</v>
      </c>
      <c r="W18" s="31" t="n">
        <v>32527.385618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-64307.7684</v>
      </c>
      <c r="D19" s="31" t="n">
        <v>-226415.4644</v>
      </c>
      <c r="E19" s="31" t="n">
        <v>-211681.127458</v>
      </c>
      <c r="F19" s="31" t="n">
        <v>-194148.089644</v>
      </c>
      <c r="G19" s="31" t="n">
        <v>-173692.878861</v>
      </c>
      <c r="H19" s="31" t="n">
        <v>-153900.018012</v>
      </c>
      <c r="I19" s="31" t="n">
        <v>-127230.045</v>
      </c>
      <c r="J19" s="31" t="n">
        <v>-97267.477727</v>
      </c>
      <c r="K19" s="31" t="n">
        <v>-63888.854095</v>
      </c>
      <c r="L19" s="31" t="n">
        <v>-30785.692009</v>
      </c>
      <c r="M19" s="31" t="n">
        <v>7465.774669</v>
      </c>
      <c r="N19" s="31" t="n">
        <v>41281.285408</v>
      </c>
      <c r="O19" s="31" t="n">
        <v>48634.199326</v>
      </c>
      <c r="P19" s="31" t="n">
        <v>53070.570843</v>
      </c>
      <c r="Q19" s="31" t="n">
        <v>60582.541431</v>
      </c>
      <c r="R19" s="31" t="n">
        <v>68174.04416600001</v>
      </c>
      <c r="S19" s="31" t="n">
        <v>75845.072388</v>
      </c>
      <c r="T19" s="31" t="n">
        <v>80508.85571800001</v>
      </c>
      <c r="U19" s="31" t="n">
        <v>88338.939684</v>
      </c>
      <c r="V19" s="31" t="n">
        <v>96248.551985</v>
      </c>
      <c r="W19" s="31" t="n">
        <v>104237.692622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50000</v>
      </c>
      <c r="D23" s="31" t="n">
        <v>296945.740078</v>
      </c>
      <c r="E23" s="31" t="n">
        <v>302624.111167</v>
      </c>
      <c r="F23" s="31" t="n">
        <v>307270.130101</v>
      </c>
      <c r="G23" s="31" t="n">
        <v>310823.980331</v>
      </c>
      <c r="H23" s="31" t="n">
        <v>315075.007496</v>
      </c>
      <c r="I23" s="31" t="n">
        <v>316255.689559</v>
      </c>
      <c r="J23" s="31" t="n">
        <v>316155.703034</v>
      </c>
      <c r="K23" s="31" t="n">
        <v>314717.958956</v>
      </c>
      <c r="L23" s="31" t="n">
        <v>313783.928775</v>
      </c>
      <c r="M23" s="31" t="n">
        <v>309477.529006</v>
      </c>
      <c r="N23" s="31" t="n">
        <v>303648.474497</v>
      </c>
      <c r="O23" s="31" t="n">
        <v>342945.680475</v>
      </c>
      <c r="P23" s="31" t="n">
        <v>387967.325571</v>
      </c>
      <c r="Q23" s="31" t="n">
        <v>396145.771239</v>
      </c>
      <c r="R23" s="31" t="n">
        <v>392228.122113</v>
      </c>
      <c r="S23" s="31" t="n">
        <v>388240.399472</v>
      </c>
      <c r="T23" s="31" t="n">
        <v>386881.707214</v>
      </c>
      <c r="U23" s="31" t="n">
        <v>382755.62369</v>
      </c>
      <c r="V23" s="31" t="n">
        <v>378559.947564</v>
      </c>
      <c r="W23" s="31" t="n">
        <v>374294.080912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119829.286957</v>
      </c>
      <c r="E24" s="31" t="n">
        <v>128337.16633</v>
      </c>
      <c r="F24" s="31" t="n">
        <v>140131.03104</v>
      </c>
      <c r="G24" s="31" t="n">
        <v>147677.086523</v>
      </c>
      <c r="H24" s="31" t="n">
        <v>155298.755896</v>
      </c>
      <c r="I24" s="31" t="n">
        <v>164765.269565</v>
      </c>
      <c r="J24" s="31" t="n">
        <v>176388.7104</v>
      </c>
      <c r="K24" s="31" t="n">
        <v>186443.836062</v>
      </c>
      <c r="L24" s="31" t="n">
        <v>194602.762017</v>
      </c>
      <c r="M24" s="31" t="n">
        <v>205027.909983</v>
      </c>
      <c r="N24" s="31" t="n">
        <v>220485.888</v>
      </c>
      <c r="O24" s="31" t="n">
        <v>219409.033712</v>
      </c>
      <c r="P24" s="31" t="n">
        <v>218355.589299</v>
      </c>
      <c r="Q24" s="31" t="n">
        <v>219687.025688</v>
      </c>
      <c r="R24" s="31" t="n">
        <v>225929.983456</v>
      </c>
      <c r="S24" s="31" t="n">
        <v>224793.305154</v>
      </c>
      <c r="T24" s="31" t="n">
        <v>223681.336052</v>
      </c>
      <c r="U24" s="31" t="n">
        <v>225012.77244</v>
      </c>
      <c r="V24" s="31" t="n">
        <v>231374.080136</v>
      </c>
      <c r="W24" s="31" t="n">
        <v>230177.575385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50000</v>
      </c>
      <c r="D26" s="31" t="n">
        <v>1151727.987035</v>
      </c>
      <c r="E26" s="31" t="n">
        <v>1218095.897657</v>
      </c>
      <c r="F26" s="31" t="n">
        <v>1288187.347381</v>
      </c>
      <c r="G26" s="31" t="n">
        <v>1354408.725094</v>
      </c>
      <c r="H26" s="31" t="n">
        <v>1422872.799552</v>
      </c>
      <c r="I26" s="31" t="n">
        <v>1491581.279124</v>
      </c>
      <c r="J26" s="31" t="n">
        <v>1562635.923194</v>
      </c>
      <c r="K26" s="31" t="n">
        <v>1632254.400458</v>
      </c>
      <c r="L26" s="31" t="n">
        <v>1701950.297832</v>
      </c>
      <c r="M26" s="31" t="n">
        <v>1772009.953549</v>
      </c>
      <c r="N26" s="31" t="n">
        <v>1847049.690497</v>
      </c>
      <c r="O26" s="31" t="n">
        <v>1893436.18537</v>
      </c>
      <c r="P26" s="31" t="n">
        <v>1945570.529237</v>
      </c>
      <c r="Q26" s="31" t="n">
        <v>1963246.554477</v>
      </c>
      <c r="R26" s="31" t="n">
        <v>1973738.006302</v>
      </c>
      <c r="S26" s="31" t="n">
        <v>1976779.755893</v>
      </c>
      <c r="T26" s="31" t="n">
        <v>1982475.237716</v>
      </c>
      <c r="U26" s="31" t="n">
        <v>1987846.733764</v>
      </c>
      <c r="V26" s="31" t="n">
        <v>1998178.508517</v>
      </c>
      <c r="W26" s="31" t="n">
        <v>2000882.280296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0</v>
      </c>
      <c r="H28" s="31" t="n">
        <v>0</v>
      </c>
      <c r="I28" s="31" t="n">
        <v>0</v>
      </c>
      <c r="J28" s="31" t="n">
        <v>0</v>
      </c>
      <c r="K28" s="31" t="n">
        <v>0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50000</v>
      </c>
      <c r="D29" s="31" t="n">
        <v>1151727.987035</v>
      </c>
      <c r="E29" s="31" t="n">
        <v>1218095.897657</v>
      </c>
      <c r="F29" s="31" t="n">
        <v>1288187.347381</v>
      </c>
      <c r="G29" s="31" t="n">
        <v>1354408.725094</v>
      </c>
      <c r="H29" s="31" t="n">
        <v>1422872.799552</v>
      </c>
      <c r="I29" s="31" t="n">
        <v>1491581.279124</v>
      </c>
      <c r="J29" s="31" t="n">
        <v>1562635.923194</v>
      </c>
      <c r="K29" s="31" t="n">
        <v>1632254.400458</v>
      </c>
      <c r="L29" s="31" t="n">
        <v>1701950.297832</v>
      </c>
      <c r="M29" s="31" t="n">
        <v>1772009.953549</v>
      </c>
      <c r="N29" s="31" t="n">
        <v>1847049.690497</v>
      </c>
      <c r="O29" s="31" t="n">
        <v>1893436.18537</v>
      </c>
      <c r="P29" s="31" t="n">
        <v>1945570.529237</v>
      </c>
      <c r="Q29" s="31" t="n">
        <v>1963246.554477</v>
      </c>
      <c r="R29" s="31" t="n">
        <v>1973738.006302</v>
      </c>
      <c r="S29" s="31" t="n">
        <v>1976779.755893</v>
      </c>
      <c r="T29" s="31" t="n">
        <v>1982475.237716</v>
      </c>
      <c r="U29" s="31" t="n">
        <v>1987846.733764</v>
      </c>
      <c r="V29" s="31" t="n">
        <v>1998178.508517</v>
      </c>
      <c r="W29" s="31" t="n">
        <v>2000882.280296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0</v>
      </c>
      <c r="D30" s="31" t="n">
        <v>103788.451435</v>
      </c>
      <c r="E30" s="31" t="n">
        <v>103677.489515</v>
      </c>
      <c r="F30" s="31" t="n">
        <v>105354.028883</v>
      </c>
      <c r="G30" s="31" t="n">
        <v>103041.285458</v>
      </c>
      <c r="H30" s="31" t="n">
        <v>101433.377928</v>
      </c>
      <c r="I30" s="31" t="n">
        <v>99155.9025</v>
      </c>
      <c r="J30" s="31" t="n">
        <v>97330.024296</v>
      </c>
      <c r="K30" s="31" t="n">
        <v>93775.355656</v>
      </c>
      <c r="L30" s="31" t="n">
        <v>89825.945039</v>
      </c>
      <c r="M30" s="31" t="n">
        <v>84967.82608699999</v>
      </c>
      <c r="N30" s="31" t="n">
        <v>81164.277627</v>
      </c>
      <c r="O30" s="31" t="n">
        <v>78916.573174</v>
      </c>
      <c r="P30" s="31" t="n">
        <v>77980.346198</v>
      </c>
      <c r="Q30" s="31" t="n">
        <v>76600.830006</v>
      </c>
      <c r="R30" s="31" t="n">
        <v>76873.23766499999</v>
      </c>
      <c r="S30" s="31" t="n">
        <v>74594.91486800001</v>
      </c>
      <c r="T30" s="31" t="n">
        <v>73667.540972</v>
      </c>
      <c r="U30" s="31" t="n">
        <v>72211.09733600001</v>
      </c>
      <c r="V30" s="31" t="n">
        <v>72307.320104</v>
      </c>
      <c r="W30" s="31" t="n">
        <v>70001.39926200001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734952.96</v>
      </c>
      <c r="E31" s="31" t="n">
        <v>787134.62016</v>
      </c>
      <c r="F31" s="31" t="n">
        <v>840786.18624</v>
      </c>
      <c r="G31" s="31" t="n">
        <v>895907.65824</v>
      </c>
      <c r="H31" s="31" t="n">
        <v>952499.03616</v>
      </c>
      <c r="I31" s="31" t="n">
        <v>1010560.32</v>
      </c>
      <c r="J31" s="31" t="n">
        <v>1070091.50976</v>
      </c>
      <c r="K31" s="31" t="n">
        <v>1131092.60544</v>
      </c>
      <c r="L31" s="31" t="n">
        <v>1193563.60704</v>
      </c>
      <c r="M31" s="31" t="n">
        <v>1257504.51456</v>
      </c>
      <c r="N31" s="31" t="n">
        <v>1322915.328</v>
      </c>
      <c r="O31" s="31" t="n">
        <v>1331081.471183</v>
      </c>
      <c r="P31" s="31" t="n">
        <v>1339247.614367</v>
      </c>
      <c r="Q31" s="31" t="n">
        <v>1347413.75755</v>
      </c>
      <c r="R31" s="31" t="n">
        <v>1355579.900734</v>
      </c>
      <c r="S31" s="31" t="n">
        <v>1363746.051266</v>
      </c>
      <c r="T31" s="31" t="n">
        <v>1371912.19445</v>
      </c>
      <c r="U31" s="31" t="n">
        <v>1380078.337633</v>
      </c>
      <c r="V31" s="31" t="n">
        <v>1388244.480817</v>
      </c>
      <c r="W31" s="31" t="n">
        <v>1396410.624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0</v>
      </c>
      <c r="D34" s="31" t="n">
        <v>103788.451435</v>
      </c>
      <c r="E34" s="31" t="n">
        <v>103677.489515</v>
      </c>
      <c r="F34" s="31" t="n">
        <v>105354.028883</v>
      </c>
      <c r="G34" s="31" t="n">
        <v>103041.285458</v>
      </c>
      <c r="H34" s="31" t="n">
        <v>101433.377928</v>
      </c>
      <c r="I34" s="31" t="n">
        <v>99155.9025</v>
      </c>
      <c r="J34" s="31" t="n">
        <v>97330.024296</v>
      </c>
      <c r="K34" s="31" t="n">
        <v>93775.355656</v>
      </c>
      <c r="L34" s="31" t="n">
        <v>89825.945039</v>
      </c>
      <c r="M34" s="31" t="n">
        <v>84967.82608699999</v>
      </c>
      <c r="N34" s="31" t="n">
        <v>81164.277627</v>
      </c>
      <c r="O34" s="31" t="n">
        <v>78916.573174</v>
      </c>
      <c r="P34" s="31" t="n">
        <v>77980.346198</v>
      </c>
      <c r="Q34" s="31" t="n">
        <v>76600.830006</v>
      </c>
      <c r="R34" s="31" t="n">
        <v>76873.23766499999</v>
      </c>
      <c r="S34" s="31" t="n">
        <v>74594.91486800001</v>
      </c>
      <c r="T34" s="31" t="n">
        <v>73667.540972</v>
      </c>
      <c r="U34" s="31" t="n">
        <v>72211.09733600001</v>
      </c>
      <c r="V34" s="31" t="n">
        <v>72307.320104</v>
      </c>
      <c r="W34" s="31" t="n">
        <v>70001.39926200001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0</v>
      </c>
      <c r="D36" s="31" t="n">
        <v>103788.451435</v>
      </c>
      <c r="E36" s="31" t="n">
        <v>103677.489515</v>
      </c>
      <c r="F36" s="31" t="n">
        <v>105354.028883</v>
      </c>
      <c r="G36" s="31" t="n">
        <v>103041.285458</v>
      </c>
      <c r="H36" s="31" t="n">
        <v>101433.377928</v>
      </c>
      <c r="I36" s="31" t="n">
        <v>99155.9025</v>
      </c>
      <c r="J36" s="31" t="n">
        <v>97330.024296</v>
      </c>
      <c r="K36" s="31" t="n">
        <v>93775.355656</v>
      </c>
      <c r="L36" s="31" t="n">
        <v>89825.945039</v>
      </c>
      <c r="M36" s="31" t="n">
        <v>84967.82608699999</v>
      </c>
      <c r="N36" s="31" t="n">
        <v>81164.277627</v>
      </c>
      <c r="O36" s="31" t="n">
        <v>78916.573174</v>
      </c>
      <c r="P36" s="31" t="n">
        <v>77980.346198</v>
      </c>
      <c r="Q36" s="31" t="n">
        <v>76600.830006</v>
      </c>
      <c r="R36" s="31" t="n">
        <v>76873.23766499999</v>
      </c>
      <c r="S36" s="31" t="n">
        <v>74594.91486800001</v>
      </c>
      <c r="T36" s="31" t="n">
        <v>73667.540972</v>
      </c>
      <c r="U36" s="31" t="n">
        <v>72211.09733600001</v>
      </c>
      <c r="V36" s="31" t="n">
        <v>72307.320104</v>
      </c>
      <c r="W36" s="31" t="n">
        <v>70001.39926200001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50000</v>
      </c>
      <c r="D37" s="31" t="n">
        <v>1274355</v>
      </c>
      <c r="E37" s="31" t="n">
        <v>1552515</v>
      </c>
      <c r="F37" s="31" t="n">
        <v>1815078</v>
      </c>
      <c r="G37" s="31" t="n">
        <v>2057305</v>
      </c>
      <c r="H37" s="31" t="n">
        <v>2281277</v>
      </c>
      <c r="I37" s="31" t="n">
        <v>2479493</v>
      </c>
      <c r="J37" s="31" t="n">
        <v>2649641</v>
      </c>
      <c r="K37" s="31" t="n">
        <v>2786703</v>
      </c>
      <c r="L37" s="31" t="n">
        <v>2891134</v>
      </c>
      <c r="M37" s="31" t="n">
        <v>2958586</v>
      </c>
      <c r="N37" s="31" t="n">
        <v>2996148</v>
      </c>
      <c r="O37" s="31" t="n">
        <v>2996148</v>
      </c>
      <c r="P37" s="31" t="n">
        <v>2996148</v>
      </c>
      <c r="Q37" s="31" t="n">
        <v>2996148</v>
      </c>
      <c r="R37" s="31" t="n">
        <v>2996148</v>
      </c>
      <c r="S37" s="31" t="n">
        <v>2996148</v>
      </c>
      <c r="T37" s="31" t="n">
        <v>2996148</v>
      </c>
      <c r="U37" s="31" t="n">
        <v>2996148</v>
      </c>
      <c r="V37" s="31" t="n">
        <v>2996148</v>
      </c>
      <c r="W37" s="31" t="n">
        <v>2996148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0</v>
      </c>
      <c r="D38" s="31" t="n">
        <v>-226415.4644</v>
      </c>
      <c r="E38" s="31" t="n">
        <v>-438096.591858</v>
      </c>
      <c r="F38" s="31" t="n">
        <v>-632244.681502</v>
      </c>
      <c r="G38" s="31" t="n">
        <v>-805937.560364</v>
      </c>
      <c r="H38" s="31" t="n">
        <v>-959837.578376</v>
      </c>
      <c r="I38" s="31" t="n">
        <v>-1087067.623376</v>
      </c>
      <c r="J38" s="31" t="n">
        <v>-1184335.101103</v>
      </c>
      <c r="K38" s="31" t="n">
        <v>-1248223.955198</v>
      </c>
      <c r="L38" s="31" t="n">
        <v>-1279009.647207</v>
      </c>
      <c r="M38" s="31" t="n">
        <v>-1271543.872538</v>
      </c>
      <c r="N38" s="31" t="n">
        <v>-1230262.58713</v>
      </c>
      <c r="O38" s="31" t="n">
        <v>-1181628.387804</v>
      </c>
      <c r="P38" s="31" t="n">
        <v>-1128557.816961</v>
      </c>
      <c r="Q38" s="31" t="n">
        <v>-1109502.275529</v>
      </c>
      <c r="R38" s="31" t="n">
        <v>-1099283.231363</v>
      </c>
      <c r="S38" s="31" t="n">
        <v>-1093963.158975</v>
      </c>
      <c r="T38" s="31" t="n">
        <v>-1087340.303257</v>
      </c>
      <c r="U38" s="31" t="n">
        <v>-1080512.363573</v>
      </c>
      <c r="V38" s="31" t="n">
        <v>-1070276.811587</v>
      </c>
      <c r="W38" s="31" t="n">
        <v>-1065267.118965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50000</v>
      </c>
      <c r="D40" s="31" t="n">
        <v>1047939.5356</v>
      </c>
      <c r="E40" s="31" t="n">
        <v>1114418.408142</v>
      </c>
      <c r="F40" s="31" t="n">
        <v>1182833.318498</v>
      </c>
      <c r="G40" s="31" t="n">
        <v>1251367.439636</v>
      </c>
      <c r="H40" s="31" t="n">
        <v>1321439.421624</v>
      </c>
      <c r="I40" s="31" t="n">
        <v>1392425.376624</v>
      </c>
      <c r="J40" s="31" t="n">
        <v>1465305.898897</v>
      </c>
      <c r="K40" s="31" t="n">
        <v>1538479.044802</v>
      </c>
      <c r="L40" s="31" t="n">
        <v>1612124.352793</v>
      </c>
      <c r="M40" s="31" t="n">
        <v>1687042.127462</v>
      </c>
      <c r="N40" s="31" t="n">
        <v>1765885.41287</v>
      </c>
      <c r="O40" s="31" t="n">
        <v>1814519.612196</v>
      </c>
      <c r="P40" s="31" t="n">
        <v>1867590.183039</v>
      </c>
      <c r="Q40" s="31" t="n">
        <v>1886645.724471</v>
      </c>
      <c r="R40" s="31" t="n">
        <v>1896864.768637</v>
      </c>
      <c r="S40" s="31" t="n">
        <v>1902184.841025</v>
      </c>
      <c r="T40" s="31" t="n">
        <v>1908807.696743</v>
      </c>
      <c r="U40" s="31" t="n">
        <v>1915635.636427</v>
      </c>
      <c r="V40" s="31" t="n">
        <v>1925871.188413</v>
      </c>
      <c r="W40" s="31" t="n">
        <v>1930880.881035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50000</v>
      </c>
      <c r="D41" s="31" t="n">
        <v>1151727.987035</v>
      </c>
      <c r="E41" s="31" t="n">
        <v>1218095.897657</v>
      </c>
      <c r="F41" s="31" t="n">
        <v>1288187.347381</v>
      </c>
      <c r="G41" s="31" t="n">
        <v>1354408.725094</v>
      </c>
      <c r="H41" s="31" t="n">
        <v>1422872.799552</v>
      </c>
      <c r="I41" s="31" t="n">
        <v>1491581.279124</v>
      </c>
      <c r="J41" s="31" t="n">
        <v>1562635.923194</v>
      </c>
      <c r="K41" s="31" t="n">
        <v>1632254.400458</v>
      </c>
      <c r="L41" s="31" t="n">
        <v>1701950.297832</v>
      </c>
      <c r="M41" s="31" t="n">
        <v>1772009.953549</v>
      </c>
      <c r="N41" s="31" t="n">
        <v>1847049.690497</v>
      </c>
      <c r="O41" s="31" t="n">
        <v>1893436.18537</v>
      </c>
      <c r="P41" s="31" t="n">
        <v>1945570.529237</v>
      </c>
      <c r="Q41" s="31" t="n">
        <v>1963246.554477</v>
      </c>
      <c r="R41" s="31" t="n">
        <v>1973738.006302</v>
      </c>
      <c r="S41" s="31" t="n">
        <v>1976779.755893</v>
      </c>
      <c r="T41" s="31" t="n">
        <v>1982475.237716</v>
      </c>
      <c r="U41" s="31" t="n">
        <v>1987846.733764</v>
      </c>
      <c r="V41" s="31" t="n">
        <v>1998178.508517</v>
      </c>
      <c r="W41" s="31" t="n">
        <v>2000882.280296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50000</v>
      </c>
      <c r="D45" s="31" t="n">
        <v>50000</v>
      </c>
      <c r="E45" s="31" t="n">
        <v>296945.740078</v>
      </c>
      <c r="F45" s="31" t="n">
        <v>302624.111167</v>
      </c>
      <c r="G45" s="31" t="n">
        <v>307270.130101</v>
      </c>
      <c r="H45" s="31" t="n">
        <v>310823.980331</v>
      </c>
      <c r="I45" s="31" t="n">
        <v>315075.007496</v>
      </c>
      <c r="J45" s="31" t="n">
        <v>316255.689559</v>
      </c>
      <c r="K45" s="31" t="n">
        <v>316155.703034</v>
      </c>
      <c r="L45" s="31" t="n">
        <v>314717.958956</v>
      </c>
      <c r="M45" s="31" t="n">
        <v>313783.928775</v>
      </c>
      <c r="N45" s="31" t="n">
        <v>309477.529006</v>
      </c>
      <c r="O45" s="31" t="n">
        <v>303648.474497</v>
      </c>
      <c r="P45" s="31" t="n">
        <v>342945.680475</v>
      </c>
      <c r="Q45" s="31" t="n">
        <v>387967.325571</v>
      </c>
      <c r="R45" s="31" t="n">
        <v>396145.771239</v>
      </c>
      <c r="S45" s="31" t="n">
        <v>392228.122113</v>
      </c>
      <c r="T45" s="31" t="n">
        <v>388240.399472</v>
      </c>
      <c r="U45" s="31" t="n">
        <v>386881.707214</v>
      </c>
      <c r="V45" s="31" t="n">
        <v>382755.62369</v>
      </c>
      <c r="W45" s="31" t="n">
        <v>378559.947564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-64307.7684</v>
      </c>
      <c r="D46" s="31" t="n">
        <v>-226415.4644</v>
      </c>
      <c r="E46" s="31" t="n">
        <v>-211681.127458</v>
      </c>
      <c r="F46" s="31" t="n">
        <v>-194148.089644</v>
      </c>
      <c r="G46" s="31" t="n">
        <v>-173692.878861</v>
      </c>
      <c r="H46" s="31" t="n">
        <v>-153900.018012</v>
      </c>
      <c r="I46" s="31" t="n">
        <v>-127230.045</v>
      </c>
      <c r="J46" s="31" t="n">
        <v>-97267.477727</v>
      </c>
      <c r="K46" s="31" t="n">
        <v>-63888.854095</v>
      </c>
      <c r="L46" s="31" t="n">
        <v>-30785.692009</v>
      </c>
      <c r="M46" s="31" t="n">
        <v>7465.774669</v>
      </c>
      <c r="N46" s="31" t="n">
        <v>41281.285408</v>
      </c>
      <c r="O46" s="31" t="n">
        <v>48634.199326</v>
      </c>
      <c r="P46" s="31" t="n">
        <v>53070.570843</v>
      </c>
      <c r="Q46" s="31" t="n">
        <v>60582.541431</v>
      </c>
      <c r="R46" s="31" t="n">
        <v>68174.04416600001</v>
      </c>
      <c r="S46" s="31" t="n">
        <v>75845.072388</v>
      </c>
      <c r="T46" s="31" t="n">
        <v>80508.85571800001</v>
      </c>
      <c r="U46" s="31" t="n">
        <v>88338.939684</v>
      </c>
      <c r="V46" s="31" t="n">
        <v>96248.551985</v>
      </c>
      <c r="W46" s="31" t="n">
        <v>104237.692622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1" t="n">
        <v>0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</v>
      </c>
      <c r="V47" s="31" t="n">
        <v>0</v>
      </c>
      <c r="W47" s="31" t="n">
        <v>0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-854782.246957</v>
      </c>
      <c r="E48" s="31" t="n">
        <v>-60689.539534</v>
      </c>
      <c r="F48" s="31" t="n">
        <v>-65445.43079</v>
      </c>
      <c r="G48" s="31" t="n">
        <v>-62667.527483</v>
      </c>
      <c r="H48" s="31" t="n">
        <v>-64213.047293</v>
      </c>
      <c r="I48" s="31" t="n">
        <v>-67527.79751</v>
      </c>
      <c r="J48" s="31" t="n">
        <v>-71154.630595</v>
      </c>
      <c r="K48" s="31" t="n">
        <v>-71056.221342</v>
      </c>
      <c r="L48" s="31" t="n">
        <v>-70629.927556</v>
      </c>
      <c r="M48" s="31" t="n">
        <v>-74366.055485</v>
      </c>
      <c r="N48" s="31" t="n">
        <v>-80868.791457</v>
      </c>
      <c r="O48" s="31" t="n">
        <v>-7089.288895</v>
      </c>
      <c r="P48" s="31" t="n">
        <v>-7112.698771</v>
      </c>
      <c r="Q48" s="31" t="n">
        <v>-9497.579572000001</v>
      </c>
      <c r="R48" s="31" t="n">
        <v>-14409.100951</v>
      </c>
      <c r="S48" s="31" t="n">
        <v>-7029.472231</v>
      </c>
      <c r="T48" s="31" t="n">
        <v>-7054.174081</v>
      </c>
      <c r="U48" s="31" t="n">
        <v>-9497.579572000001</v>
      </c>
      <c r="V48" s="31" t="n">
        <v>-14527.450879</v>
      </c>
      <c r="W48" s="31" t="n">
        <v>-6969.638432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103788.451435</v>
      </c>
      <c r="E49" s="31" t="n">
        <v>-110.96192</v>
      </c>
      <c r="F49" s="31" t="n">
        <v>1676.539368</v>
      </c>
      <c r="G49" s="31" t="n">
        <v>-2312.743425</v>
      </c>
      <c r="H49" s="31" t="n">
        <v>-1607.90753</v>
      </c>
      <c r="I49" s="31" t="n">
        <v>-2277.475428</v>
      </c>
      <c r="J49" s="31" t="n">
        <v>-1825.878204</v>
      </c>
      <c r="K49" s="31" t="n">
        <v>-3554.66864</v>
      </c>
      <c r="L49" s="31" t="n">
        <v>-3949.410617</v>
      </c>
      <c r="M49" s="31" t="n">
        <v>-4858.118952</v>
      </c>
      <c r="N49" s="31" t="n">
        <v>-3803.54846</v>
      </c>
      <c r="O49" s="31" t="n">
        <v>-2247.704453</v>
      </c>
      <c r="P49" s="31" t="n">
        <v>-936.226976</v>
      </c>
      <c r="Q49" s="31" t="n">
        <v>-1379.516192</v>
      </c>
      <c r="R49" s="31" t="n">
        <v>272.407659</v>
      </c>
      <c r="S49" s="31" t="n">
        <v>-2278.322798</v>
      </c>
      <c r="T49" s="31" t="n">
        <v>-927.3738949999999</v>
      </c>
      <c r="U49" s="31" t="n">
        <v>-1456.443636</v>
      </c>
      <c r="V49" s="31" t="n">
        <v>96.222768</v>
      </c>
      <c r="W49" s="31" t="n">
        <v>-2305.920843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-977409.259922</v>
      </c>
      <c r="E50" s="31" t="n">
        <v>-272481.628912</v>
      </c>
      <c r="F50" s="31" t="n">
        <v>-257916.981066</v>
      </c>
      <c r="G50" s="31" t="n">
        <v>-238673.14977</v>
      </c>
      <c r="H50" s="31" t="n">
        <v>-219720.972835</v>
      </c>
      <c r="I50" s="31" t="n">
        <v>-197035.317937</v>
      </c>
      <c r="J50" s="31" t="n">
        <v>-170247.986525</v>
      </c>
      <c r="K50" s="31" t="n">
        <v>-138499.744077</v>
      </c>
      <c r="L50" s="31" t="n">
        <v>-105365.030182</v>
      </c>
      <c r="M50" s="31" t="n">
        <v>-71758.399768</v>
      </c>
      <c r="N50" s="31" t="n">
        <v>-43391.054509</v>
      </c>
      <c r="O50" s="31" t="n">
        <v>39297.205978</v>
      </c>
      <c r="P50" s="31" t="n">
        <v>45021.645097</v>
      </c>
      <c r="Q50" s="31" t="n">
        <v>49705.445668</v>
      </c>
      <c r="R50" s="31" t="n">
        <v>54037.350874</v>
      </c>
      <c r="S50" s="31" t="n">
        <v>66537.277359</v>
      </c>
      <c r="T50" s="31" t="n">
        <v>72527.307742</v>
      </c>
      <c r="U50" s="31" t="n">
        <v>77384.916476</v>
      </c>
      <c r="V50" s="31" t="n">
        <v>81817.32387399999</v>
      </c>
      <c r="W50" s="31" t="n">
        <v>94962.133347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0</v>
      </c>
      <c r="M51" s="31" t="n">
        <v>0</v>
      </c>
      <c r="N51" s="31" t="n">
        <v>0</v>
      </c>
      <c r="O51" s="31" t="n">
        <v>0</v>
      </c>
      <c r="P51" s="31" t="n">
        <v>0</v>
      </c>
      <c r="Q51" s="31" t="n">
        <v>0</v>
      </c>
      <c r="R51" s="31" t="n">
        <v>0</v>
      </c>
      <c r="S51" s="31" t="n">
        <v>0</v>
      </c>
      <c r="T51" s="31" t="n">
        <v>0</v>
      </c>
      <c r="U51" s="31" t="n">
        <v>0</v>
      </c>
      <c r="V51" s="31" t="n">
        <v>0</v>
      </c>
      <c r="W51" s="31" t="n">
        <v>0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0</v>
      </c>
      <c r="E52" s="31" t="n">
        <v>0</v>
      </c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n">
        <v>0</v>
      </c>
      <c r="T52" s="31" t="n">
        <v>0</v>
      </c>
      <c r="U52" s="31" t="n">
        <v>0</v>
      </c>
      <c r="V52" s="31" t="n">
        <v>0</v>
      </c>
      <c r="W52" s="31" t="n">
        <v>0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1224355</v>
      </c>
      <c r="E55" s="31" t="n">
        <v>278160</v>
      </c>
      <c r="F55" s="31" t="n">
        <v>262563</v>
      </c>
      <c r="G55" s="31" t="n">
        <v>242227</v>
      </c>
      <c r="H55" s="31" t="n">
        <v>223972</v>
      </c>
      <c r="I55" s="31" t="n">
        <v>198216</v>
      </c>
      <c r="J55" s="31" t="n">
        <v>170148</v>
      </c>
      <c r="K55" s="31" t="n">
        <v>137062</v>
      </c>
      <c r="L55" s="31" t="n">
        <v>104431</v>
      </c>
      <c r="M55" s="31" t="n">
        <v>67452</v>
      </c>
      <c r="N55" s="31" t="n">
        <v>37562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41527</v>
      </c>
      <c r="R56" s="31" t="n">
        <v>57955</v>
      </c>
      <c r="S56" s="31" t="n">
        <v>70525</v>
      </c>
      <c r="T56" s="31" t="n">
        <v>73886</v>
      </c>
      <c r="U56" s="31" t="n">
        <v>81511</v>
      </c>
      <c r="V56" s="31" t="n">
        <v>86013</v>
      </c>
      <c r="W56" s="31" t="n">
        <v>99228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1224355</v>
      </c>
      <c r="E57" s="31" t="n">
        <v>278160</v>
      </c>
      <c r="F57" s="31" t="n">
        <v>262563</v>
      </c>
      <c r="G57" s="31" t="n">
        <v>242227</v>
      </c>
      <c r="H57" s="31" t="n">
        <v>223972</v>
      </c>
      <c r="I57" s="31" t="n">
        <v>198216</v>
      </c>
      <c r="J57" s="31" t="n">
        <v>170148</v>
      </c>
      <c r="K57" s="31" t="n">
        <v>137062</v>
      </c>
      <c r="L57" s="31" t="n">
        <v>104431</v>
      </c>
      <c r="M57" s="31" t="n">
        <v>67452</v>
      </c>
      <c r="N57" s="31" t="n">
        <v>37562</v>
      </c>
      <c r="O57" s="31" t="n">
        <v>0</v>
      </c>
      <c r="P57" s="31" t="n">
        <v>0</v>
      </c>
      <c r="Q57" s="31" t="n">
        <v>-41527</v>
      </c>
      <c r="R57" s="31" t="n">
        <v>-57955</v>
      </c>
      <c r="S57" s="31" t="n">
        <v>-70525</v>
      </c>
      <c r="T57" s="31" t="n">
        <v>-73886</v>
      </c>
      <c r="U57" s="31" t="n">
        <v>-81511</v>
      </c>
      <c r="V57" s="31" t="n">
        <v>-86013</v>
      </c>
      <c r="W57" s="31" t="n">
        <v>-99228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246945.740078</v>
      </c>
      <c r="E58" s="31" t="n">
        <v>5678.371088</v>
      </c>
      <c r="F58" s="31" t="n">
        <v>4646.018934</v>
      </c>
      <c r="G58" s="31" t="n">
        <v>3553.85023</v>
      </c>
      <c r="H58" s="31" t="n">
        <v>4251.027165</v>
      </c>
      <c r="I58" s="31" t="n">
        <v>1180.682063</v>
      </c>
      <c r="J58" s="31" t="n">
        <v>-99.986525</v>
      </c>
      <c r="K58" s="31" t="n">
        <v>-1437.744077</v>
      </c>
      <c r="L58" s="31" t="n">
        <v>-934.030182</v>
      </c>
      <c r="M58" s="31" t="n">
        <v>-4306.399768</v>
      </c>
      <c r="N58" s="31" t="n">
        <v>-5829.054509</v>
      </c>
      <c r="O58" s="31" t="n">
        <v>39297.205978</v>
      </c>
      <c r="P58" s="31" t="n">
        <v>45021.645097</v>
      </c>
      <c r="Q58" s="31" t="n">
        <v>8178.445668</v>
      </c>
      <c r="R58" s="31" t="n">
        <v>-3917.649126</v>
      </c>
      <c r="S58" s="31" t="n">
        <v>-3987.722641</v>
      </c>
      <c r="T58" s="31" t="n">
        <v>-1358.692258</v>
      </c>
      <c r="U58" s="31" t="n">
        <v>-4126.083524</v>
      </c>
      <c r="V58" s="31" t="n">
        <v>-4195.676126</v>
      </c>
      <c r="W58" s="31" t="n">
        <v>-4265.866653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50000</v>
      </c>
      <c r="D59" s="31" t="n">
        <v>296945.740078</v>
      </c>
      <c r="E59" s="31" t="n">
        <v>302624.111167</v>
      </c>
      <c r="F59" s="31" t="n">
        <v>307270.130101</v>
      </c>
      <c r="G59" s="31" t="n">
        <v>310823.980331</v>
      </c>
      <c r="H59" s="31" t="n">
        <v>315075.007496</v>
      </c>
      <c r="I59" s="31" t="n">
        <v>316255.689559</v>
      </c>
      <c r="J59" s="31" t="n">
        <v>316155.703034</v>
      </c>
      <c r="K59" s="31" t="n">
        <v>314717.958956</v>
      </c>
      <c r="L59" s="31" t="n">
        <v>313783.928775</v>
      </c>
      <c r="M59" s="31" t="n">
        <v>309477.529006</v>
      </c>
      <c r="N59" s="31" t="n">
        <v>303648.474497</v>
      </c>
      <c r="O59" s="31" t="n">
        <v>342945.680475</v>
      </c>
      <c r="P59" s="31" t="n">
        <v>387967.325571</v>
      </c>
      <c r="Q59" s="31" t="n">
        <v>396145.771239</v>
      </c>
      <c r="R59" s="31" t="n">
        <v>392228.122113</v>
      </c>
      <c r="S59" s="31" t="n">
        <v>388240.399472</v>
      </c>
      <c r="T59" s="31" t="n">
        <v>386881.707214</v>
      </c>
      <c r="U59" s="31" t="n">
        <v>382755.62369</v>
      </c>
      <c r="V59" s="31" t="n">
        <v>378559.947564</v>
      </c>
      <c r="W59" s="31" t="n">
        <v>374294.080912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turnaround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pre-revenue</t>
        </is>
      </c>
    </row>
    <row r="7">
      <c r="A7" s="45" t="inlineStr">
        <is>
          <t>Business Name</t>
        </is>
      </c>
      <c r="B7" s="46" t="inlineStr">
        <is>
          <t>Caring Hands Home Health Services</t>
        </is>
      </c>
    </row>
    <row r="8">
      <c r="A8" s="45" t="inlineStr">
        <is>
          <t>Business Start Date</t>
        </is>
      </c>
      <c r="B8" s="46" t="inlineStr">
        <is>
          <t>09/03/2026</t>
        </is>
      </c>
    </row>
    <row r="9">
      <c r="A9" s="45" t="inlineStr">
        <is>
          <t>NAICS-6</t>
        </is>
      </c>
      <c r="B9" s="46" t="inlineStr">
        <is>
          <t>621610</t>
        </is>
      </c>
    </row>
    <row r="10">
      <c r="A10" s="45" t="inlineStr">
        <is>
          <t>Draft ID</t>
        </is>
      </c>
      <c r="B10" s="46" t="inlineStr">
        <is>
          <t>5e003360b2e14d649541e46ea6835d92</t>
        </is>
      </c>
    </row>
    <row r="11">
      <c r="A11" s="45" t="inlineStr">
        <is>
          <t>Planning Run ID</t>
        </is>
      </c>
      <c r="B11" s="46" t="inlineStr">
        <is>
          <t>f994b89bdf584700a45743ae8935f311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6</t>
        </is>
      </c>
    </row>
    <row r="22">
      <c r="A22" s="45" t="inlineStr">
        <is>
          <t>Budget extension triggered</t>
        </is>
      </c>
      <c r="B22" s="46" t="inlineStr">
        <is>
          <t>True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Caring Hands Home Health Services Financial Model</dc:title>
  <dc:subject>Client financial model workbook</dc:subject>
  <dcterms:created xsi:type="dcterms:W3CDTF">2026-05-20T06:25:30Z</dcterms:created>
  <dcterms:modified xsi:type="dcterms:W3CDTF">2026-05-20T06:25:31Z</dcterms:modified>
</cp:coreProperties>
</file>