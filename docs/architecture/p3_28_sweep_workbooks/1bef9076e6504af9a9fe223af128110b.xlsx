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Schedule'!$A$26:$N$66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Repair orders</t>
        </is>
      </c>
    </row>
    <row r="8">
      <c r="A8" s="8" t="inlineStr">
        <is>
          <t>Primary line of business / Repair orders - Capacity</t>
        </is>
      </c>
      <c r="B8" s="8" t="inlineStr">
        <is>
          <t>Source driver</t>
        </is>
      </c>
      <c r="C8" s="9" t="n">
        <v>1495</v>
      </c>
      <c r="D8" s="9" t="n">
        <v>1500</v>
      </c>
      <c r="E8" s="9" t="n">
        <v>1500</v>
      </c>
      <c r="F8" s="9" t="n">
        <v>1500</v>
      </c>
      <c r="G8" s="9" t="n">
        <v>1500</v>
      </c>
      <c r="H8" s="9" t="n">
        <v>1500</v>
      </c>
      <c r="I8" s="9" t="n">
        <v>1500</v>
      </c>
      <c r="J8" s="9" t="n">
        <v>1500</v>
      </c>
      <c r="K8" s="9" t="n">
        <v>1500</v>
      </c>
      <c r="L8" s="9" t="n">
        <v>1500</v>
      </c>
      <c r="M8" s="9" t="n">
        <v>1500</v>
      </c>
      <c r="N8" s="9" t="n">
        <v>1500</v>
      </c>
      <c r="O8" s="9" t="n">
        <v>1500</v>
      </c>
      <c r="P8" s="9" t="n">
        <v>1500</v>
      </c>
      <c r="Q8" s="9" t="n">
        <v>1500</v>
      </c>
      <c r="R8" s="9" t="n">
        <v>1500</v>
      </c>
      <c r="S8" s="9" t="n">
        <v>1500</v>
      </c>
      <c r="T8" s="9" t="n">
        <v>1500</v>
      </c>
      <c r="U8" s="9" t="n">
        <v>1500</v>
      </c>
      <c r="V8" s="9" t="n">
        <v>1500</v>
      </c>
      <c r="W8" s="9" t="n">
        <v>1500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Repair orders - Unit Price</t>
        </is>
      </c>
      <c r="B9" s="8" t="inlineStr">
        <is>
          <t>Source driver</t>
        </is>
      </c>
      <c r="C9" s="11" t="n">
        <v>625</v>
      </c>
      <c r="D9" s="11" t="n">
        <v>625</v>
      </c>
      <c r="E9" s="11" t="n">
        <v>630</v>
      </c>
      <c r="F9" s="11" t="n">
        <v>635</v>
      </c>
      <c r="G9" s="11" t="n">
        <v>640</v>
      </c>
      <c r="H9" s="11" t="n">
        <v>645</v>
      </c>
      <c r="I9" s="11" t="n">
        <v>650</v>
      </c>
      <c r="J9" s="11" t="n">
        <v>655</v>
      </c>
      <c r="K9" s="11" t="n">
        <v>660</v>
      </c>
      <c r="L9" s="11" t="n">
        <v>665</v>
      </c>
      <c r="M9" s="11" t="n">
        <v>670</v>
      </c>
      <c r="N9" s="11" t="n">
        <v>675</v>
      </c>
      <c r="O9" s="11" t="n">
        <v>677.777778</v>
      </c>
      <c r="P9" s="11" t="n">
        <v>680.555556</v>
      </c>
      <c r="Q9" s="11" t="n">
        <v>683.333333</v>
      </c>
      <c r="R9" s="11" t="n">
        <v>686.1111110000001</v>
      </c>
      <c r="S9" s="11" t="n">
        <v>688.8888889999999</v>
      </c>
      <c r="T9" s="11" t="n">
        <v>691.666667</v>
      </c>
      <c r="U9" s="11" t="n">
        <v>694.444444</v>
      </c>
      <c r="V9" s="11" t="n">
        <v>697.222222</v>
      </c>
      <c r="W9" s="11" t="n">
        <v>700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Repair orders - Utilization</t>
        </is>
      </c>
      <c r="B10" s="8" t="inlineStr">
        <is>
          <t>Source driver</t>
        </is>
      </c>
      <c r="C10" s="13" t="n">
        <v>0.82</v>
      </c>
      <c r="D10" s="13" t="n">
        <v>0.82</v>
      </c>
      <c r="E10" s="13" t="n">
        <v>0.822</v>
      </c>
      <c r="F10" s="13" t="n">
        <v>0.824</v>
      </c>
      <c r="G10" s="13" t="n">
        <v>0.826</v>
      </c>
      <c r="H10" s="13" t="n">
        <v>0.828</v>
      </c>
      <c r="I10" s="13" t="n">
        <v>0.83</v>
      </c>
      <c r="J10" s="13" t="n">
        <v>0.832</v>
      </c>
      <c r="K10" s="13" t="n">
        <v>0.834</v>
      </c>
      <c r="L10" s="13" t="n">
        <v>0.836</v>
      </c>
      <c r="M10" s="13" t="n">
        <v>0.838</v>
      </c>
      <c r="N10" s="13" t="n">
        <v>0.84</v>
      </c>
      <c r="O10" s="13" t="n">
        <v>0.84</v>
      </c>
      <c r="P10" s="13" t="n">
        <v>0.84</v>
      </c>
      <c r="Q10" s="13" t="n">
        <v>0.84</v>
      </c>
      <c r="R10" s="13" t="n">
        <v>0.84</v>
      </c>
      <c r="S10" s="13" t="n">
        <v>0.84</v>
      </c>
      <c r="T10" s="13" t="n">
        <v>0.84</v>
      </c>
      <c r="U10" s="13" t="n">
        <v>0.84</v>
      </c>
      <c r="V10" s="13" t="n">
        <v>0.84</v>
      </c>
      <c r="W10" s="13" t="n">
        <v>0.84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Repair orders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0.02</v>
      </c>
      <c r="E18" s="13" t="n">
        <v>0.02</v>
      </c>
      <c r="F18" s="13" t="n">
        <v>0.02</v>
      </c>
      <c r="G18" s="13" t="n">
        <v>0.02</v>
      </c>
      <c r="H18" s="13" t="n">
        <v>0.02</v>
      </c>
      <c r="I18" s="13" t="n">
        <v>0.02</v>
      </c>
      <c r="J18" s="13" t="n">
        <v>0.02</v>
      </c>
      <c r="K18" s="13" t="n">
        <v>0.02</v>
      </c>
      <c r="L18" s="13" t="n">
        <v>0.02</v>
      </c>
      <c r="M18" s="13" t="n">
        <v>0.02</v>
      </c>
      <c r="N18" s="13" t="n">
        <v>0.02</v>
      </c>
      <c r="O18" s="13" t="n">
        <v>0.02</v>
      </c>
      <c r="P18" s="13" t="n">
        <v>0.02</v>
      </c>
      <c r="Q18" s="13" t="n">
        <v>0.02</v>
      </c>
      <c r="R18" s="13" t="n">
        <v>0.02</v>
      </c>
      <c r="S18" s="13" t="n">
        <v>0.02</v>
      </c>
      <c r="T18" s="13" t="n">
        <v>0.02</v>
      </c>
      <c r="U18" s="13" t="n">
        <v>0.02</v>
      </c>
      <c r="V18" s="13" t="n">
        <v>0.02</v>
      </c>
      <c r="W18" s="13" t="n">
        <v>0.02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0.07000000000000001</v>
      </c>
      <c r="E19" s="13" t="n">
        <v>0.07000000000000001</v>
      </c>
      <c r="F19" s="13" t="n">
        <v>0.07000000000000001</v>
      </c>
      <c r="G19" s="13" t="n">
        <v>0.07000000000000001</v>
      </c>
      <c r="H19" s="13" t="n">
        <v>0.07000000000000001</v>
      </c>
      <c r="I19" s="13" t="n">
        <v>0.07000000000000001</v>
      </c>
      <c r="J19" s="13" t="n">
        <v>0.07000000000000001</v>
      </c>
      <c r="K19" s="13" t="n">
        <v>0.07000000000000001</v>
      </c>
      <c r="L19" s="13" t="n">
        <v>0.07000000000000001</v>
      </c>
      <c r="M19" s="13" t="n">
        <v>0.07000000000000001</v>
      </c>
      <c r="N19" s="13" t="n">
        <v>0.07000000000000001</v>
      </c>
      <c r="O19" s="13" t="n">
        <v>0.07000000000000001</v>
      </c>
      <c r="P19" s="13" t="n">
        <v>0.07000000000000001</v>
      </c>
      <c r="Q19" s="13" t="n">
        <v>0.07000000000000001</v>
      </c>
      <c r="R19" s="13" t="n">
        <v>0.07000000000000001</v>
      </c>
      <c r="S19" s="13" t="n">
        <v>0.07000000000000001</v>
      </c>
      <c r="T19" s="13" t="n">
        <v>0.07000000000000001</v>
      </c>
      <c r="U19" s="13" t="n">
        <v>0.07000000000000001</v>
      </c>
      <c r="V19" s="13" t="n">
        <v>0.07000000000000001</v>
      </c>
      <c r="W19" s="13" t="n">
        <v>0.07000000000000001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0.07000000000000001</v>
      </c>
      <c r="E20" s="13" t="n">
        <v>0.07000000000000001</v>
      </c>
      <c r="F20" s="13" t="n">
        <v>0.07000000000000001</v>
      </c>
      <c r="G20" s="13" t="n">
        <v>0.07000000000000001</v>
      </c>
      <c r="H20" s="13" t="n">
        <v>0.07000000000000001</v>
      </c>
      <c r="I20" s="13" t="n">
        <v>0.07000000000000001</v>
      </c>
      <c r="J20" s="13" t="n">
        <v>0.07000000000000001</v>
      </c>
      <c r="K20" s="13" t="n">
        <v>0.07000000000000001</v>
      </c>
      <c r="L20" s="13" t="n">
        <v>0.07000000000000001</v>
      </c>
      <c r="M20" s="13" t="n">
        <v>0.07000000000000001</v>
      </c>
      <c r="N20" s="13" t="n">
        <v>0.07000000000000001</v>
      </c>
      <c r="O20" s="13" t="n">
        <v>0.07000000000000001</v>
      </c>
      <c r="P20" s="13" t="n">
        <v>0.07000000000000001</v>
      </c>
      <c r="Q20" s="13" t="n">
        <v>0.07000000000000001</v>
      </c>
      <c r="R20" s="13" t="n">
        <v>0.07000000000000001</v>
      </c>
      <c r="S20" s="13" t="n">
        <v>0.07000000000000001</v>
      </c>
      <c r="T20" s="13" t="n">
        <v>0.07000000000000001</v>
      </c>
      <c r="U20" s="13" t="n">
        <v>0.07000000000000001</v>
      </c>
      <c r="V20" s="13" t="n">
        <v>0.07000000000000001</v>
      </c>
      <c r="W20" s="13" t="n">
        <v>0.07000000000000001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0.6899999999999999</v>
      </c>
      <c r="E22" s="13" t="n">
        <v>0.6899999999999999</v>
      </c>
      <c r="F22" s="13" t="n">
        <v>0.6899999999999999</v>
      </c>
      <c r="G22" s="13" t="n">
        <v>0.6899999999999999</v>
      </c>
      <c r="H22" s="13" t="n">
        <v>0.6899999999999999</v>
      </c>
      <c r="I22" s="13" t="n">
        <v>0.6899999999999999</v>
      </c>
      <c r="J22" s="13" t="n">
        <v>0.6899999999999999</v>
      </c>
      <c r="K22" s="13" t="n">
        <v>0.6899999999999999</v>
      </c>
      <c r="L22" s="13" t="n">
        <v>0.6899999999999999</v>
      </c>
      <c r="M22" s="13" t="n">
        <v>0.6899999999999999</v>
      </c>
      <c r="N22" s="13" t="n">
        <v>0.6899999999999999</v>
      </c>
      <c r="O22" s="13" t="n">
        <v>0.6899999999999999</v>
      </c>
      <c r="P22" s="13" t="n">
        <v>0.6899999999999999</v>
      </c>
      <c r="Q22" s="13" t="n">
        <v>0.6899999999999999</v>
      </c>
      <c r="R22" s="13" t="n">
        <v>0.6899999999999999</v>
      </c>
      <c r="S22" s="13" t="n">
        <v>0.6899999999999999</v>
      </c>
      <c r="T22" s="13" t="n">
        <v>0.6899999999999999</v>
      </c>
      <c r="U22" s="13" t="n">
        <v>0.6899999999999999</v>
      </c>
      <c r="V22" s="13" t="n">
        <v>0.6899999999999999</v>
      </c>
      <c r="W22" s="13" t="n">
        <v>0.6899999999999999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0.9</v>
      </c>
      <c r="E23" s="13" t="n">
        <v>0.9</v>
      </c>
      <c r="F23" s="13" t="n">
        <v>0.9</v>
      </c>
      <c r="G23" s="13" t="n">
        <v>0.9</v>
      </c>
      <c r="H23" s="13" t="n">
        <v>0.9</v>
      </c>
      <c r="I23" s="13" t="n">
        <v>0.9</v>
      </c>
      <c r="J23" s="13" t="n">
        <v>0.9</v>
      </c>
      <c r="K23" s="13" t="n">
        <v>0.9</v>
      </c>
      <c r="L23" s="13" t="n">
        <v>0.9</v>
      </c>
      <c r="M23" s="13" t="n">
        <v>0.9</v>
      </c>
      <c r="N23" s="13" t="n">
        <v>0.9</v>
      </c>
      <c r="O23" s="13" t="n">
        <v>0.9</v>
      </c>
      <c r="P23" s="13" t="n">
        <v>0.9</v>
      </c>
      <c r="Q23" s="13" t="n">
        <v>0.9</v>
      </c>
      <c r="R23" s="13" t="n">
        <v>0.9</v>
      </c>
      <c r="S23" s="13" t="n">
        <v>0.9</v>
      </c>
      <c r="T23" s="13" t="n">
        <v>0.9</v>
      </c>
      <c r="U23" s="13" t="n">
        <v>0.9</v>
      </c>
      <c r="V23" s="13" t="n">
        <v>0.9</v>
      </c>
      <c r="W23" s="13" t="n">
        <v>0.9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0.4</v>
      </c>
      <c r="E24" s="13" t="n">
        <v>0.4</v>
      </c>
      <c r="F24" s="13" t="n">
        <v>0.4</v>
      </c>
      <c r="G24" s="13" t="n">
        <v>0.4</v>
      </c>
      <c r="H24" s="13" t="n">
        <v>0.4</v>
      </c>
      <c r="I24" s="13" t="n">
        <v>0.4</v>
      </c>
      <c r="J24" s="13" t="n">
        <v>0.4</v>
      </c>
      <c r="K24" s="13" t="n">
        <v>0.4</v>
      </c>
      <c r="L24" s="13" t="n">
        <v>0.4</v>
      </c>
      <c r="M24" s="13" t="n">
        <v>0.4</v>
      </c>
      <c r="N24" s="13" t="n">
        <v>0.4</v>
      </c>
      <c r="O24" s="13" t="n">
        <v>0.4</v>
      </c>
      <c r="P24" s="13" t="n">
        <v>0.4</v>
      </c>
      <c r="Q24" s="13" t="n">
        <v>0.4</v>
      </c>
      <c r="R24" s="13" t="n">
        <v>0.4</v>
      </c>
      <c r="S24" s="13" t="n">
        <v>0.4</v>
      </c>
      <c r="T24" s="13" t="n">
        <v>0.4</v>
      </c>
      <c r="U24" s="13" t="n">
        <v>0.4</v>
      </c>
      <c r="V24" s="13" t="n">
        <v>0.4</v>
      </c>
      <c r="W24" s="13" t="n">
        <v>0.4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0.29</v>
      </c>
      <c r="E25" s="13" t="n">
        <v>0.29</v>
      </c>
      <c r="F25" s="13" t="n">
        <v>0.29</v>
      </c>
      <c r="G25" s="13" t="n">
        <v>0.29</v>
      </c>
      <c r="H25" s="13" t="n">
        <v>0.29</v>
      </c>
      <c r="I25" s="13" t="n">
        <v>0.29</v>
      </c>
      <c r="J25" s="13" t="n">
        <v>0.29</v>
      </c>
      <c r="K25" s="13" t="n">
        <v>0.29</v>
      </c>
      <c r="L25" s="13" t="n">
        <v>0.29</v>
      </c>
      <c r="M25" s="13" t="n">
        <v>0.29</v>
      </c>
      <c r="N25" s="13" t="n">
        <v>0.29</v>
      </c>
      <c r="O25" s="13" t="n">
        <v>0.29</v>
      </c>
      <c r="P25" s="13" t="n">
        <v>0.29</v>
      </c>
      <c r="Q25" s="13" t="n">
        <v>0.29</v>
      </c>
      <c r="R25" s="13" t="n">
        <v>0.29</v>
      </c>
      <c r="S25" s="13" t="n">
        <v>0.29</v>
      </c>
      <c r="T25" s="13" t="n">
        <v>0.29</v>
      </c>
      <c r="U25" s="13" t="n">
        <v>0.29</v>
      </c>
      <c r="V25" s="13" t="n">
        <v>0.29</v>
      </c>
      <c r="W25" s="13" t="n">
        <v>0.29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0.6</v>
      </c>
      <c r="E26" s="13" t="n">
        <v>0.6</v>
      </c>
      <c r="F26" s="13" t="n">
        <v>0.6</v>
      </c>
      <c r="G26" s="13" t="n">
        <v>0.6</v>
      </c>
      <c r="H26" s="13" t="n">
        <v>0.6</v>
      </c>
      <c r="I26" s="13" t="n">
        <v>0.6</v>
      </c>
      <c r="J26" s="13" t="n">
        <v>0.6</v>
      </c>
      <c r="K26" s="13" t="n">
        <v>0.6</v>
      </c>
      <c r="L26" s="13" t="n">
        <v>0.6</v>
      </c>
      <c r="M26" s="13" t="n">
        <v>0.6</v>
      </c>
      <c r="N26" s="13" t="n">
        <v>0.6</v>
      </c>
      <c r="O26" s="13" t="n">
        <v>0.6</v>
      </c>
      <c r="P26" s="13" t="n">
        <v>0.6</v>
      </c>
      <c r="Q26" s="13" t="n">
        <v>0.6</v>
      </c>
      <c r="R26" s="13" t="n">
        <v>0.6</v>
      </c>
      <c r="S26" s="13" t="n">
        <v>0.6</v>
      </c>
      <c r="T26" s="13" t="n">
        <v>0.6</v>
      </c>
      <c r="U26" s="13" t="n">
        <v>0.6</v>
      </c>
      <c r="V26" s="13" t="n">
        <v>0.6</v>
      </c>
      <c r="W26" s="13" t="n">
        <v>0.6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0.3</v>
      </c>
      <c r="E27" s="13" t="n">
        <v>0.3</v>
      </c>
      <c r="F27" s="13" t="n">
        <v>0.3</v>
      </c>
      <c r="G27" s="13" t="n">
        <v>0.3</v>
      </c>
      <c r="H27" s="13" t="n">
        <v>0.3</v>
      </c>
      <c r="I27" s="13" t="n">
        <v>0.3</v>
      </c>
      <c r="J27" s="13" t="n">
        <v>0.3</v>
      </c>
      <c r="K27" s="13" t="n">
        <v>0.3</v>
      </c>
      <c r="L27" s="13" t="n">
        <v>0.3</v>
      </c>
      <c r="M27" s="13" t="n">
        <v>0.3</v>
      </c>
      <c r="N27" s="13" t="n">
        <v>0.3</v>
      </c>
      <c r="O27" s="13" t="n">
        <v>0.3</v>
      </c>
      <c r="P27" s="13" t="n">
        <v>0.3</v>
      </c>
      <c r="Q27" s="13" t="n">
        <v>0.3</v>
      </c>
      <c r="R27" s="13" t="n">
        <v>0.3</v>
      </c>
      <c r="S27" s="13" t="n">
        <v>0.3</v>
      </c>
      <c r="T27" s="13" t="n">
        <v>0.3</v>
      </c>
      <c r="U27" s="13" t="n">
        <v>0.3</v>
      </c>
      <c r="V27" s="13" t="n">
        <v>0.3</v>
      </c>
      <c r="W27" s="13" t="n">
        <v>0.3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0.05</v>
      </c>
      <c r="I28" s="13" t="n">
        <v>0.05</v>
      </c>
      <c r="J28" s="13" t="n">
        <v>0.05</v>
      </c>
      <c r="K28" s="13" t="n">
        <v>0.05</v>
      </c>
      <c r="L28" s="13" t="n">
        <v>0.05</v>
      </c>
      <c r="M28" s="13" t="n">
        <v>0.05</v>
      </c>
      <c r="N28" s="13" t="n">
        <v>0.05</v>
      </c>
      <c r="O28" s="13" t="n">
        <v>0.05</v>
      </c>
      <c r="P28" s="13" t="n">
        <v>0.05</v>
      </c>
      <c r="Q28" s="13" t="n">
        <v>0.05</v>
      </c>
      <c r="R28" s="13" t="n">
        <v>0.05</v>
      </c>
      <c r="S28" s="13" t="n">
        <v>0.05</v>
      </c>
      <c r="T28" s="13" t="n">
        <v>0.05</v>
      </c>
      <c r="U28" s="13" t="n">
        <v>0.05</v>
      </c>
      <c r="V28" s="13" t="n">
        <v>0.05</v>
      </c>
      <c r="W28" s="13" t="n">
        <v>0.05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medium</t>
        </is>
      </c>
    </row>
    <row r="9">
      <c r="A9" t="inlineStr">
        <is>
          <t>Wage Positioning Tier</t>
        </is>
      </c>
      <c r="B9" t="inlineStr">
        <is>
          <t>market</t>
        </is>
      </c>
    </row>
    <row r="10">
      <c r="A10" t="inlineStr">
        <is>
          <t>Wage Positioning Multiplier</t>
        </is>
      </c>
      <c r="B10" t="n">
        <v>1.2</v>
      </c>
    </row>
    <row r="11">
      <c r="A11" t="inlineStr">
        <is>
          <t>Capacity Units per Supporting FTE</t>
        </is>
      </c>
      <c r="B11" t="n">
        <v>300</v>
      </c>
    </row>
    <row r="12">
      <c r="A12" t="inlineStr">
        <is>
          <t>Target Payroll % of Revenue</t>
        </is>
      </c>
      <c r="B12" t="n">
        <v>0.22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SUMIFS($G$27:$G$66,$A$27:$A$66,0)</f>
        <v/>
      </c>
      <c r="D15" s="23">
        <f>SUMIFS($G$27:$G$66,$A$27:$A$66,1)</f>
        <v/>
      </c>
      <c r="E15" s="23">
        <f>SUMIFS($G$27:$G$66,$A$27:$A$66,2)</f>
        <v/>
      </c>
      <c r="F15" s="23">
        <f>SUMIFS($G$27:$G$66,$A$27:$A$66,3)</f>
        <v/>
      </c>
      <c r="G15" s="23">
        <f>SUMIFS($G$27:$G$66,$A$27:$A$66,4)</f>
        <v/>
      </c>
      <c r="H15" s="23">
        <f>SUMIFS($G$27:$G$66,$A$27:$A$66,5)</f>
        <v/>
      </c>
      <c r="I15" s="23">
        <f>SUMIFS($G$27:$G$66,$A$27:$A$66,6)</f>
        <v/>
      </c>
      <c r="J15" s="23">
        <f>SUMIFS($G$27:$G$66,$A$27:$A$66,7)</f>
        <v/>
      </c>
      <c r="K15" s="23">
        <f>SUMIFS($G$27:$G$66,$A$27:$A$66,8)</f>
        <v/>
      </c>
      <c r="L15" s="23">
        <f>SUMIFS($G$27:$G$66,$A$27:$A$66,9)</f>
        <v/>
      </c>
      <c r="M15" s="23">
        <f>SUMIFS($G$27:$G$66,$A$27:$A$66,10)</f>
        <v/>
      </c>
      <c r="N15" s="23">
        <f>SUMIFS($G$27:$G$66,$A$27:$A$66,11)</f>
        <v/>
      </c>
      <c r="O15" s="23">
        <f>SUMIFS($G$27:$G$66,$A$27:$A$66,12)</f>
        <v/>
      </c>
      <c r="P15" s="23">
        <f>SUMIFS($G$27:$G$66,$A$27:$A$66,13)</f>
        <v/>
      </c>
      <c r="Q15" s="23">
        <f>SUMIFS($G$27:$G$66,$A$27:$A$66,14)</f>
        <v/>
      </c>
      <c r="R15" s="23">
        <f>SUMIFS($G$27:$G$66,$A$27:$A$66,15)</f>
        <v/>
      </c>
      <c r="S15" s="23">
        <f>SUMIFS($G$27:$G$66,$A$27:$A$66,16)</f>
        <v/>
      </c>
      <c r="T15" s="23">
        <f>SUMIFS($G$27:$G$66,$A$27:$A$66,17)</f>
        <v/>
      </c>
      <c r="U15" s="23">
        <f>SUMIFS($G$27:$G$66,$A$27:$A$66,18)</f>
        <v/>
      </c>
      <c r="V15" s="23">
        <f>SUMIFS($G$27:$G$66,$A$27:$A$66,19)</f>
        <v/>
      </c>
      <c r="W15" s="23">
        <f>SUMIFS($G$27:$G$66,$A$27:$A$66,20)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SUMIFS($H$27:$H$66,$A$27:$A$66,0)</f>
        <v/>
      </c>
      <c r="D16" s="23">
        <f>SUMIFS($H$27:$H$66,$A$27:$A$66,1)</f>
        <v/>
      </c>
      <c r="E16" s="23">
        <f>SUMIFS($H$27:$H$66,$A$27:$A$66,2)</f>
        <v/>
      </c>
      <c r="F16" s="23">
        <f>SUMIFS($H$27:$H$66,$A$27:$A$66,3)</f>
        <v/>
      </c>
      <c r="G16" s="23">
        <f>SUMIFS($H$27:$H$66,$A$27:$A$66,4)</f>
        <v/>
      </c>
      <c r="H16" s="23">
        <f>SUMIFS($H$27:$H$66,$A$27:$A$66,5)</f>
        <v/>
      </c>
      <c r="I16" s="23">
        <f>SUMIFS($H$27:$H$66,$A$27:$A$66,6)</f>
        <v/>
      </c>
      <c r="J16" s="23">
        <f>SUMIFS($H$27:$H$66,$A$27:$A$66,7)</f>
        <v/>
      </c>
      <c r="K16" s="23">
        <f>SUMIFS($H$27:$H$66,$A$27:$A$66,8)</f>
        <v/>
      </c>
      <c r="L16" s="23">
        <f>SUMIFS($H$27:$H$66,$A$27:$A$66,9)</f>
        <v/>
      </c>
      <c r="M16" s="23">
        <f>SUMIFS($H$27:$H$66,$A$27:$A$66,10)</f>
        <v/>
      </c>
      <c r="N16" s="23">
        <f>SUMIFS($H$27:$H$66,$A$27:$A$66,11)</f>
        <v/>
      </c>
      <c r="O16" s="23">
        <f>SUMIFS($H$27:$H$66,$A$27:$A$66,12)</f>
        <v/>
      </c>
      <c r="P16" s="23">
        <f>SUMIFS($H$27:$H$66,$A$27:$A$66,13)</f>
        <v/>
      </c>
      <c r="Q16" s="23">
        <f>SUMIFS($H$27:$H$66,$A$27:$A$66,14)</f>
        <v/>
      </c>
      <c r="R16" s="23">
        <f>SUMIFS($H$27:$H$66,$A$27:$A$66,15)</f>
        <v/>
      </c>
      <c r="S16" s="23">
        <f>SUMIFS($H$27:$H$66,$A$27:$A$66,16)</f>
        <v/>
      </c>
      <c r="T16" s="23">
        <f>SUMIFS($H$27:$H$66,$A$27:$A$66,17)</f>
        <v/>
      </c>
      <c r="U16" s="23">
        <f>SUMIFS($H$27:$H$66,$A$27:$A$66,18)</f>
        <v/>
      </c>
      <c r="V16" s="23">
        <f>SUMIFS($H$27:$H$66,$A$27:$A$66,19)</f>
        <v/>
      </c>
      <c r="W16" s="23">
        <f>SUMIFS($H$27:$H$66,$A$27:$A$66,20)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SUMIFS($M$27:$M$66,$A$27:$A$66,0)</f>
        <v/>
      </c>
      <c r="D17" s="25">
        <f>SUMIFS($M$27:$M$66,$A$27:$A$66,1)</f>
        <v/>
      </c>
      <c r="E17" s="25">
        <f>SUMIFS($M$27:$M$66,$A$27:$A$66,2)</f>
        <v/>
      </c>
      <c r="F17" s="25">
        <f>SUMIFS($M$27:$M$66,$A$27:$A$66,3)</f>
        <v/>
      </c>
      <c r="G17" s="25">
        <f>SUMIFS($M$27:$M$66,$A$27:$A$66,4)</f>
        <v/>
      </c>
      <c r="H17" s="25">
        <f>SUMIFS($M$27:$M$66,$A$27:$A$66,5)</f>
        <v/>
      </c>
      <c r="I17" s="25">
        <f>SUMIFS($M$27:$M$66,$A$27:$A$66,6)</f>
        <v/>
      </c>
      <c r="J17" s="25">
        <f>SUMIFS($M$27:$M$66,$A$27:$A$66,7)</f>
        <v/>
      </c>
      <c r="K17" s="25">
        <f>SUMIFS($M$27:$M$66,$A$27:$A$66,8)</f>
        <v/>
      </c>
      <c r="L17" s="25">
        <f>SUMIFS($M$27:$M$66,$A$27:$A$66,9)</f>
        <v/>
      </c>
      <c r="M17" s="25">
        <f>SUMIFS($M$27:$M$66,$A$27:$A$66,10)</f>
        <v/>
      </c>
      <c r="N17" s="25">
        <f>SUMIFS($M$27:$M$66,$A$27:$A$66,11)</f>
        <v/>
      </c>
      <c r="O17" s="25">
        <f>SUMIFS($M$27:$M$66,$A$27:$A$66,12)</f>
        <v/>
      </c>
      <c r="P17" s="25">
        <f>SUMIFS($M$27:$M$66,$A$27:$A$66,13)</f>
        <v/>
      </c>
      <c r="Q17" s="25">
        <f>SUMIFS($M$27:$M$66,$A$27:$A$66,14)</f>
        <v/>
      </c>
      <c r="R17" s="25">
        <f>SUMIFS($M$27:$M$66,$A$27:$A$66,15)</f>
        <v/>
      </c>
      <c r="S17" s="25">
        <f>SUMIFS($M$27:$M$66,$A$27:$A$66,16)</f>
        <v/>
      </c>
      <c r="T17" s="25">
        <f>SUMIFS($M$27:$M$66,$A$27:$A$66,17)</f>
        <v/>
      </c>
      <c r="U17" s="25">
        <f>SUMIFS($M$27:$M$66,$A$27:$A$66,18)</f>
        <v/>
      </c>
      <c r="V17" s="25">
        <f>SUMIFS($M$27:$M$66,$A$27:$A$66,19)</f>
        <v/>
      </c>
      <c r="W17" s="25">
        <f>SUMIFS($M$27:$M$66,$A$27:$A$66,20)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Owner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78840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oews_median</t>
        </is>
      </c>
    </row>
    <row r="28">
      <c r="A28" t="n">
        <v>2</v>
      </c>
      <c r="B28" t="inlineStr">
        <is>
          <t>key_person</t>
        </is>
      </c>
      <c r="C28" t="inlineStr">
        <is>
          <t>Owner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78840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oews_median</t>
        </is>
      </c>
    </row>
    <row r="29">
      <c r="A29" t="n">
        <v>3</v>
      </c>
      <c r="B29" t="inlineStr">
        <is>
          <t>key_person</t>
        </is>
      </c>
      <c r="C29" t="inlineStr">
        <is>
          <t>Owner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78840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oews_median</t>
        </is>
      </c>
    </row>
    <row r="30">
      <c r="A30" t="n">
        <v>4</v>
      </c>
      <c r="B30" t="inlineStr">
        <is>
          <t>key_person</t>
        </is>
      </c>
      <c r="C30" t="inlineStr">
        <is>
          <t>Owner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78840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oews_median</t>
        </is>
      </c>
    </row>
    <row r="31">
      <c r="A31" t="n">
        <v>5</v>
      </c>
      <c r="B31" t="inlineStr">
        <is>
          <t>key_person</t>
        </is>
      </c>
      <c r="C31" t="inlineStr">
        <is>
          <t>Owner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81205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oews_median</t>
        </is>
      </c>
    </row>
    <row r="32">
      <c r="A32" t="n">
        <v>6</v>
      </c>
      <c r="B32" t="inlineStr">
        <is>
          <t>key_person</t>
        </is>
      </c>
      <c r="C32" t="inlineStr">
        <is>
          <t>Owner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81205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oews_median</t>
        </is>
      </c>
    </row>
    <row r="33">
      <c r="A33" t="n">
        <v>7</v>
      </c>
      <c r="B33" t="inlineStr">
        <is>
          <t>key_person</t>
        </is>
      </c>
      <c r="C33" t="inlineStr">
        <is>
          <t>Owner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81205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oews_median</t>
        </is>
      </c>
    </row>
    <row r="34">
      <c r="A34" t="n">
        <v>8</v>
      </c>
      <c r="B34" t="inlineStr">
        <is>
          <t>key_person</t>
        </is>
      </c>
      <c r="C34" t="inlineStr">
        <is>
          <t>Owner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81205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oews_median</t>
        </is>
      </c>
    </row>
    <row r="35">
      <c r="A35" t="n">
        <v>9</v>
      </c>
      <c r="B35" t="inlineStr">
        <is>
          <t>key_person</t>
        </is>
      </c>
      <c r="C35" t="inlineStr">
        <is>
          <t>Owner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83641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oews_median</t>
        </is>
      </c>
    </row>
    <row r="36">
      <c r="A36" t="n">
        <v>10</v>
      </c>
      <c r="B36" t="inlineStr">
        <is>
          <t>key_person</t>
        </is>
      </c>
      <c r="C36" t="inlineStr">
        <is>
          <t>Owner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83641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oews_median</t>
        </is>
      </c>
    </row>
    <row r="37">
      <c r="A37" t="n">
        <v>11</v>
      </c>
      <c r="B37" t="inlineStr">
        <is>
          <t>key_person</t>
        </is>
      </c>
      <c r="C37" t="inlineStr">
        <is>
          <t>Owner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83641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oews_median</t>
        </is>
      </c>
    </row>
    <row r="38">
      <c r="A38" t="n">
        <v>12</v>
      </c>
      <c r="B38" t="inlineStr">
        <is>
          <t>key_person</t>
        </is>
      </c>
      <c r="C38" t="inlineStr">
        <is>
          <t>Owner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83641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oews_median</t>
        </is>
      </c>
    </row>
    <row r="39">
      <c r="A39" t="n">
        <v>13</v>
      </c>
      <c r="B39" t="inlineStr">
        <is>
          <t>key_person</t>
        </is>
      </c>
      <c r="C39" t="inlineStr">
        <is>
          <t>Owner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86151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oews_median</t>
        </is>
      </c>
    </row>
    <row r="40">
      <c r="A40" t="n">
        <v>14</v>
      </c>
      <c r="B40" t="inlineStr">
        <is>
          <t>key_person</t>
        </is>
      </c>
      <c r="C40" t="inlineStr">
        <is>
          <t>Owner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86151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oews_median</t>
        </is>
      </c>
    </row>
    <row r="41">
      <c r="A41" t="n">
        <v>15</v>
      </c>
      <c r="B41" t="inlineStr">
        <is>
          <t>key_person</t>
        </is>
      </c>
      <c r="C41" t="inlineStr">
        <is>
          <t>Owner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86151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oews_median</t>
        </is>
      </c>
    </row>
    <row r="42">
      <c r="A42" t="n">
        <v>16</v>
      </c>
      <c r="B42" t="inlineStr">
        <is>
          <t>key_person</t>
        </is>
      </c>
      <c r="C42" t="inlineStr">
        <is>
          <t>Owner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86151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oews_median</t>
        </is>
      </c>
    </row>
    <row r="43">
      <c r="A43" t="n">
        <v>17</v>
      </c>
      <c r="B43" t="inlineStr">
        <is>
          <t>key_person</t>
        </is>
      </c>
      <c r="C43" t="inlineStr">
        <is>
          <t>Owner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88735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oews_median</t>
        </is>
      </c>
    </row>
    <row r="44">
      <c r="A44" t="n">
        <v>18</v>
      </c>
      <c r="B44" t="inlineStr">
        <is>
          <t>key_person</t>
        </is>
      </c>
      <c r="C44" t="inlineStr">
        <is>
          <t>Owner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88735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oews_median</t>
        </is>
      </c>
    </row>
    <row r="45">
      <c r="A45" t="n">
        <v>19</v>
      </c>
      <c r="B45" t="inlineStr">
        <is>
          <t>key_person</t>
        </is>
      </c>
      <c r="C45" t="inlineStr">
        <is>
          <t>Owner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88735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oews_median</t>
        </is>
      </c>
    </row>
    <row r="46">
      <c r="A46" t="n">
        <v>20</v>
      </c>
      <c r="B46" t="inlineStr">
        <is>
          <t>key_person</t>
        </is>
      </c>
      <c r="C46" t="inlineStr">
        <is>
          <t>Owner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88735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oews_median</t>
        </is>
      </c>
    </row>
    <row r="47">
      <c r="A47" t="n">
        <v>1</v>
      </c>
      <c r="B47" t="inlineStr">
        <is>
          <t>supporting_staff</t>
        </is>
      </c>
      <c r="C47" t="inlineStr">
        <is>
          <t>Automotive Service Technicians and Mechanics</t>
        </is>
      </c>
      <c r="D47" t="inlineStr">
        <is>
          <t>Automotive Service Technicians and Mechanics</t>
        </is>
      </c>
      <c r="E47" s="29" t="n">
        <v>4</v>
      </c>
      <c r="F47" s="29" t="n">
        <v>0</v>
      </c>
      <c r="G47" s="30">
        <f>E47+F47</f>
        <v/>
      </c>
      <c r="H47" s="30">
        <f>(E47+G47)/2</f>
        <v/>
      </c>
      <c r="I47" s="31" t="n">
        <v>57984</v>
      </c>
      <c r="J47" s="32" t="n">
        <v>0.2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oews_title_catalog:oews_median</t>
        </is>
      </c>
    </row>
    <row r="48">
      <c r="A48" t="n">
        <v>2</v>
      </c>
      <c r="B48" t="inlineStr">
        <is>
          <t>supporting_staff</t>
        </is>
      </c>
      <c r="C48" t="inlineStr">
        <is>
          <t>Automotive Service Technicians and Mechanics</t>
        </is>
      </c>
      <c r="D48" t="inlineStr">
        <is>
          <t>Automotive Service Technicians and Mechanics</t>
        </is>
      </c>
      <c r="E48" s="29" t="n">
        <v>4</v>
      </c>
      <c r="F48" s="29" t="n">
        <v>0</v>
      </c>
      <c r="G48" s="30">
        <f>E48+F48</f>
        <v/>
      </c>
      <c r="H48" s="30">
        <f>(E48+G48)/2</f>
        <v/>
      </c>
      <c r="I48" s="31" t="n">
        <v>57984</v>
      </c>
      <c r="J48" s="32" t="n">
        <v>0.2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oews_title_catalog:oews_median</t>
        </is>
      </c>
    </row>
    <row r="49">
      <c r="A49" t="n">
        <v>3</v>
      </c>
      <c r="B49" t="inlineStr">
        <is>
          <t>supporting_staff</t>
        </is>
      </c>
      <c r="C49" t="inlineStr">
        <is>
          <t>Automotive Service Technicians and Mechanics</t>
        </is>
      </c>
      <c r="D49" t="inlineStr">
        <is>
          <t>Automotive Service Technicians and Mechanics</t>
        </is>
      </c>
      <c r="E49" s="29" t="n">
        <v>4</v>
      </c>
      <c r="F49" s="29" t="n">
        <v>0</v>
      </c>
      <c r="G49" s="30">
        <f>E49+F49</f>
        <v/>
      </c>
      <c r="H49" s="30">
        <f>(E49+G49)/2</f>
        <v/>
      </c>
      <c r="I49" s="31" t="n">
        <v>57984</v>
      </c>
      <c r="J49" s="32" t="n">
        <v>0.2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oews_title_catalog:oews_median</t>
        </is>
      </c>
    </row>
    <row r="50">
      <c r="A50" t="n">
        <v>4</v>
      </c>
      <c r="B50" t="inlineStr">
        <is>
          <t>supporting_staff</t>
        </is>
      </c>
      <c r="C50" t="inlineStr">
        <is>
          <t>Automotive Service Technicians and Mechanics</t>
        </is>
      </c>
      <c r="D50" t="inlineStr">
        <is>
          <t>Automotive Service Technicians and Mechanics</t>
        </is>
      </c>
      <c r="E50" s="29" t="n">
        <v>4</v>
      </c>
      <c r="F50" s="29" t="n">
        <v>0</v>
      </c>
      <c r="G50" s="30">
        <f>E50+F50</f>
        <v/>
      </c>
      <c r="H50" s="30">
        <f>(E50+G50)/2</f>
        <v/>
      </c>
      <c r="I50" s="31" t="n">
        <v>57984</v>
      </c>
      <c r="J50" s="32" t="n">
        <v>0.2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oews_title_catalog:oews_median</t>
        </is>
      </c>
    </row>
    <row r="51">
      <c r="A51" t="n">
        <v>5</v>
      </c>
      <c r="B51" t="inlineStr">
        <is>
          <t>supporting_staff</t>
        </is>
      </c>
      <c r="C51" t="inlineStr">
        <is>
          <t>Automotive Service Technicians and Mechanics</t>
        </is>
      </c>
      <c r="D51" t="inlineStr">
        <is>
          <t>Automotive Service Technicians and Mechanics</t>
        </is>
      </c>
      <c r="E51" s="29" t="n">
        <v>4</v>
      </c>
      <c r="F51" s="29" t="n">
        <v>0</v>
      </c>
      <c r="G51" s="30">
        <f>E51+F51</f>
        <v/>
      </c>
      <c r="H51" s="30">
        <f>(E51+G51)/2</f>
        <v/>
      </c>
      <c r="I51" s="31" t="n">
        <v>59724</v>
      </c>
      <c r="J51" s="32" t="n">
        <v>0.2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oews_title_catalog:oews_median</t>
        </is>
      </c>
    </row>
    <row r="52">
      <c r="A52" t="n">
        <v>6</v>
      </c>
      <c r="B52" t="inlineStr">
        <is>
          <t>supporting_staff</t>
        </is>
      </c>
      <c r="C52" t="inlineStr">
        <is>
          <t>Automotive Service Technicians and Mechanics</t>
        </is>
      </c>
      <c r="D52" t="inlineStr">
        <is>
          <t>Automotive Service Technicians and Mechanics</t>
        </is>
      </c>
      <c r="E52" s="29" t="n">
        <v>4</v>
      </c>
      <c r="F52" s="29" t="n">
        <v>0</v>
      </c>
      <c r="G52" s="30">
        <f>E52+F52</f>
        <v/>
      </c>
      <c r="H52" s="30">
        <f>(E52+G52)/2</f>
        <v/>
      </c>
      <c r="I52" s="31" t="n">
        <v>59724</v>
      </c>
      <c r="J52" s="32" t="n">
        <v>0.2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oews_title_catalog:oews_median</t>
        </is>
      </c>
    </row>
    <row r="53">
      <c r="A53" t="n">
        <v>7</v>
      </c>
      <c r="B53" t="inlineStr">
        <is>
          <t>supporting_staff</t>
        </is>
      </c>
      <c r="C53" t="inlineStr">
        <is>
          <t>Automotive Service Technicians and Mechanics</t>
        </is>
      </c>
      <c r="D53" t="inlineStr">
        <is>
          <t>Automotive Service Technicians and Mechanics</t>
        </is>
      </c>
      <c r="E53" s="29" t="n">
        <v>4</v>
      </c>
      <c r="F53" s="29" t="n">
        <v>0</v>
      </c>
      <c r="G53" s="30">
        <f>E53+F53</f>
        <v/>
      </c>
      <c r="H53" s="30">
        <f>(E53+G53)/2</f>
        <v/>
      </c>
      <c r="I53" s="31" t="n">
        <v>59724</v>
      </c>
      <c r="J53" s="32" t="n">
        <v>0.2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oews_title_catalog:oews_median</t>
        </is>
      </c>
    </row>
    <row r="54">
      <c r="A54" t="n">
        <v>8</v>
      </c>
      <c r="B54" t="inlineStr">
        <is>
          <t>supporting_staff</t>
        </is>
      </c>
      <c r="C54" t="inlineStr">
        <is>
          <t>Automotive Service Technicians and Mechanics</t>
        </is>
      </c>
      <c r="D54" t="inlineStr">
        <is>
          <t>Automotive Service Technicians and Mechanics</t>
        </is>
      </c>
      <c r="E54" s="29" t="n">
        <v>4</v>
      </c>
      <c r="F54" s="29" t="n">
        <v>0</v>
      </c>
      <c r="G54" s="30">
        <f>E54+F54</f>
        <v/>
      </c>
      <c r="H54" s="30">
        <f>(E54+G54)/2</f>
        <v/>
      </c>
      <c r="I54" s="31" t="n">
        <v>59724</v>
      </c>
      <c r="J54" s="32" t="n">
        <v>0.2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oews_title_catalog:oews_median</t>
        </is>
      </c>
    </row>
    <row r="55">
      <c r="A55" t="n">
        <v>9</v>
      </c>
      <c r="B55" t="inlineStr">
        <is>
          <t>supporting_staff</t>
        </is>
      </c>
      <c r="C55" t="inlineStr">
        <is>
          <t>Automotive Service Technicians and Mechanics</t>
        </is>
      </c>
      <c r="D55" t="inlineStr">
        <is>
          <t>Automotive Service Technicians and Mechanics</t>
        </is>
      </c>
      <c r="E55" s="29" t="n">
        <v>4</v>
      </c>
      <c r="F55" s="29" t="n">
        <v>0</v>
      </c>
      <c r="G55" s="30">
        <f>E55+F55</f>
        <v/>
      </c>
      <c r="H55" s="30">
        <f>(E55+G55)/2</f>
        <v/>
      </c>
      <c r="I55" s="31" t="n">
        <v>61515</v>
      </c>
      <c r="J55" s="32" t="n">
        <v>0.2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oews_title_catalog:oews_median</t>
        </is>
      </c>
    </row>
    <row r="56">
      <c r="A56" t="n">
        <v>10</v>
      </c>
      <c r="B56" t="inlineStr">
        <is>
          <t>supporting_staff</t>
        </is>
      </c>
      <c r="C56" t="inlineStr">
        <is>
          <t>Automotive Service Technicians and Mechanics</t>
        </is>
      </c>
      <c r="D56" t="inlineStr">
        <is>
          <t>Automotive Service Technicians and Mechanics</t>
        </is>
      </c>
      <c r="E56" s="29" t="n">
        <v>4</v>
      </c>
      <c r="F56" s="29" t="n">
        <v>0</v>
      </c>
      <c r="G56" s="30">
        <f>E56+F56</f>
        <v/>
      </c>
      <c r="H56" s="30">
        <f>(E56+G56)/2</f>
        <v/>
      </c>
      <c r="I56" s="31" t="n">
        <v>61515</v>
      </c>
      <c r="J56" s="32" t="n">
        <v>0.2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oews_title_catalog:oews_median</t>
        </is>
      </c>
    </row>
    <row r="57">
      <c r="A57" t="n">
        <v>11</v>
      </c>
      <c r="B57" t="inlineStr">
        <is>
          <t>supporting_staff</t>
        </is>
      </c>
      <c r="C57" t="inlineStr">
        <is>
          <t>Automotive Service Technicians and Mechanics</t>
        </is>
      </c>
      <c r="D57" t="inlineStr">
        <is>
          <t>Automotive Service Technicians and Mechanics</t>
        </is>
      </c>
      <c r="E57" s="29" t="n">
        <v>4</v>
      </c>
      <c r="F57" s="29" t="n">
        <v>0</v>
      </c>
      <c r="G57" s="30">
        <f>E57+F57</f>
        <v/>
      </c>
      <c r="H57" s="30">
        <f>(E57+G57)/2</f>
        <v/>
      </c>
      <c r="I57" s="31" t="n">
        <v>61515</v>
      </c>
      <c r="J57" s="32" t="n">
        <v>0.2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oews_title_catalog:oews_median</t>
        </is>
      </c>
    </row>
    <row r="58">
      <c r="A58" t="n">
        <v>12</v>
      </c>
      <c r="B58" t="inlineStr">
        <is>
          <t>supporting_staff</t>
        </is>
      </c>
      <c r="C58" t="inlineStr">
        <is>
          <t>Automotive Service Technicians and Mechanics</t>
        </is>
      </c>
      <c r="D58" t="inlineStr">
        <is>
          <t>Automotive Service Technicians and Mechanics</t>
        </is>
      </c>
      <c r="E58" s="29" t="n">
        <v>4</v>
      </c>
      <c r="F58" s="29" t="n">
        <v>0</v>
      </c>
      <c r="G58" s="30">
        <f>E58+F58</f>
        <v/>
      </c>
      <c r="H58" s="30">
        <f>(E58+G58)/2</f>
        <v/>
      </c>
      <c r="I58" s="31" t="n">
        <v>61515</v>
      </c>
      <c r="J58" s="32" t="n">
        <v>0.2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oews_title_catalog:oews_median</t>
        </is>
      </c>
    </row>
    <row r="59">
      <c r="A59" t="n">
        <v>13</v>
      </c>
      <c r="B59" t="inlineStr">
        <is>
          <t>supporting_staff</t>
        </is>
      </c>
      <c r="C59" t="inlineStr">
        <is>
          <t>Automotive Service Technicians and Mechanics</t>
        </is>
      </c>
      <c r="D59" t="inlineStr">
        <is>
          <t>Automotive Service Technicians and Mechanics</t>
        </is>
      </c>
      <c r="E59" s="29" t="n">
        <v>4</v>
      </c>
      <c r="F59" s="29" t="n">
        <v>0</v>
      </c>
      <c r="G59" s="30">
        <f>E59+F59</f>
        <v/>
      </c>
      <c r="H59" s="30">
        <f>(E59+G59)/2</f>
        <v/>
      </c>
      <c r="I59" s="31" t="n">
        <v>63361</v>
      </c>
      <c r="J59" s="32" t="n">
        <v>0.2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oews_title_catalog:oews_median</t>
        </is>
      </c>
    </row>
    <row r="60">
      <c r="A60" t="n">
        <v>14</v>
      </c>
      <c r="B60" t="inlineStr">
        <is>
          <t>supporting_staff</t>
        </is>
      </c>
      <c r="C60" t="inlineStr">
        <is>
          <t>Automotive Service Technicians and Mechanics</t>
        </is>
      </c>
      <c r="D60" t="inlineStr">
        <is>
          <t>Automotive Service Technicians and Mechanics</t>
        </is>
      </c>
      <c r="E60" s="29" t="n">
        <v>4</v>
      </c>
      <c r="F60" s="29" t="n">
        <v>0</v>
      </c>
      <c r="G60" s="30">
        <f>E60+F60</f>
        <v/>
      </c>
      <c r="H60" s="30">
        <f>(E60+G60)/2</f>
        <v/>
      </c>
      <c r="I60" s="31" t="n">
        <v>63361</v>
      </c>
      <c r="J60" s="32" t="n">
        <v>0.2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oews_title_catalog:oews_median</t>
        </is>
      </c>
    </row>
    <row r="61">
      <c r="A61" t="n">
        <v>15</v>
      </c>
      <c r="B61" t="inlineStr">
        <is>
          <t>supporting_staff</t>
        </is>
      </c>
      <c r="C61" t="inlineStr">
        <is>
          <t>Automotive Service Technicians and Mechanics</t>
        </is>
      </c>
      <c r="D61" t="inlineStr">
        <is>
          <t>Automotive Service Technicians and Mechanics</t>
        </is>
      </c>
      <c r="E61" s="29" t="n">
        <v>4</v>
      </c>
      <c r="F61" s="29" t="n">
        <v>0</v>
      </c>
      <c r="G61" s="30">
        <f>E61+F61</f>
        <v/>
      </c>
      <c r="H61" s="30">
        <f>(E61+G61)/2</f>
        <v/>
      </c>
      <c r="I61" s="31" t="n">
        <v>63361</v>
      </c>
      <c r="J61" s="32" t="n">
        <v>0.2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oews_title_catalog:oews_median</t>
        </is>
      </c>
    </row>
    <row r="62">
      <c r="A62" t="n">
        <v>16</v>
      </c>
      <c r="B62" t="inlineStr">
        <is>
          <t>supporting_staff</t>
        </is>
      </c>
      <c r="C62" t="inlineStr">
        <is>
          <t>Automotive Service Technicians and Mechanics</t>
        </is>
      </c>
      <c r="D62" t="inlineStr">
        <is>
          <t>Automotive Service Technicians and Mechanics</t>
        </is>
      </c>
      <c r="E62" s="29" t="n">
        <v>4</v>
      </c>
      <c r="F62" s="29" t="n">
        <v>0</v>
      </c>
      <c r="G62" s="30">
        <f>E62+F62</f>
        <v/>
      </c>
      <c r="H62" s="30">
        <f>(E62+G62)/2</f>
        <v/>
      </c>
      <c r="I62" s="31" t="n">
        <v>63361</v>
      </c>
      <c r="J62" s="32" t="n">
        <v>0.2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oews_title_catalog:oews_median</t>
        </is>
      </c>
    </row>
    <row r="63">
      <c r="A63" t="n">
        <v>17</v>
      </c>
      <c r="B63" t="inlineStr">
        <is>
          <t>supporting_staff</t>
        </is>
      </c>
      <c r="C63" t="inlineStr">
        <is>
          <t>Automotive Service Technicians and Mechanics</t>
        </is>
      </c>
      <c r="D63" t="inlineStr">
        <is>
          <t>Automotive Service Technicians and Mechanics</t>
        </is>
      </c>
      <c r="E63" s="29" t="n">
        <v>4</v>
      </c>
      <c r="F63" s="29" t="n">
        <v>0</v>
      </c>
      <c r="G63" s="30">
        <f>E63+F63</f>
        <v/>
      </c>
      <c r="H63" s="30">
        <f>(E63+G63)/2</f>
        <v/>
      </c>
      <c r="I63" s="31" t="n">
        <v>65262</v>
      </c>
      <c r="J63" s="32" t="n">
        <v>0.2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oews_title_catalog:oews_median</t>
        </is>
      </c>
    </row>
    <row r="64">
      <c r="A64" t="n">
        <v>18</v>
      </c>
      <c r="B64" t="inlineStr">
        <is>
          <t>supporting_staff</t>
        </is>
      </c>
      <c r="C64" t="inlineStr">
        <is>
          <t>Automotive Service Technicians and Mechanics</t>
        </is>
      </c>
      <c r="D64" t="inlineStr">
        <is>
          <t>Automotive Service Technicians and Mechanics</t>
        </is>
      </c>
      <c r="E64" s="29" t="n">
        <v>4</v>
      </c>
      <c r="F64" s="29" t="n">
        <v>0</v>
      </c>
      <c r="G64" s="30">
        <f>E64+F64</f>
        <v/>
      </c>
      <c r="H64" s="30">
        <f>(E64+G64)/2</f>
        <v/>
      </c>
      <c r="I64" s="31" t="n">
        <v>65262</v>
      </c>
      <c r="J64" s="32" t="n">
        <v>0.2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oews_title_catalog:oews_median</t>
        </is>
      </c>
    </row>
    <row r="65">
      <c r="A65" t="n">
        <v>19</v>
      </c>
      <c r="B65" t="inlineStr">
        <is>
          <t>supporting_staff</t>
        </is>
      </c>
      <c r="C65" t="inlineStr">
        <is>
          <t>Automotive Service Technicians and Mechanics</t>
        </is>
      </c>
      <c r="D65" t="inlineStr">
        <is>
          <t>Automotive Service Technicians and Mechanics</t>
        </is>
      </c>
      <c r="E65" s="29" t="n">
        <v>4</v>
      </c>
      <c r="F65" s="29" t="n">
        <v>0</v>
      </c>
      <c r="G65" s="30">
        <f>E65+F65</f>
        <v/>
      </c>
      <c r="H65" s="30">
        <f>(E65+G65)/2</f>
        <v/>
      </c>
      <c r="I65" s="31" t="n">
        <v>65262</v>
      </c>
      <c r="J65" s="32" t="n">
        <v>0.2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oews_title_catalog:oews_median</t>
        </is>
      </c>
    </row>
    <row r="66">
      <c r="A66" t="n">
        <v>20</v>
      </c>
      <c r="B66" t="inlineStr">
        <is>
          <t>supporting_staff</t>
        </is>
      </c>
      <c r="C66" t="inlineStr">
        <is>
          <t>Automotive Service Technicians and Mechanics</t>
        </is>
      </c>
      <c r="D66" t="inlineStr">
        <is>
          <t>Automotive Service Technicians and Mechanics</t>
        </is>
      </c>
      <c r="E66" s="29" t="n">
        <v>4</v>
      </c>
      <c r="F66" s="29" t="n">
        <v>0</v>
      </c>
      <c r="G66" s="30">
        <f>E66+F66</f>
        <v/>
      </c>
      <c r="H66" s="30">
        <f>(E66+G66)/2</f>
        <v/>
      </c>
      <c r="I66" s="31" t="n">
        <v>65262</v>
      </c>
      <c r="J66" s="32" t="n">
        <v>0.2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oews_title_catalog:oews_median</t>
        </is>
      </c>
    </row>
  </sheetData>
  <autoFilter ref="A26:N6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450000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22500</v>
      </c>
      <c r="E9" s="11" t="n">
        <v>22500</v>
      </c>
      <c r="F9" s="11" t="n">
        <v>22500</v>
      </c>
      <c r="G9" s="11" t="n">
        <v>22500</v>
      </c>
      <c r="H9" s="11" t="n">
        <v>22500</v>
      </c>
      <c r="I9" s="11" t="n">
        <v>22500</v>
      </c>
      <c r="J9" s="11" t="n">
        <v>22500</v>
      </c>
      <c r="K9" s="11" t="n">
        <v>22500</v>
      </c>
      <c r="L9" s="11" t="n">
        <v>22500</v>
      </c>
      <c r="M9" s="11" t="n">
        <v>22500</v>
      </c>
      <c r="N9" s="11" t="n">
        <v>22500</v>
      </c>
      <c r="O9" s="11" t="n">
        <v>37599</v>
      </c>
      <c r="P9" s="11" t="n">
        <v>51866</v>
      </c>
      <c r="Q9" s="11" t="n">
        <v>55266</v>
      </c>
      <c r="R9" s="11" t="n">
        <v>57634</v>
      </c>
      <c r="S9" s="11" t="n">
        <v>22500</v>
      </c>
      <c r="T9" s="11" t="n">
        <v>22500</v>
      </c>
      <c r="U9" s="11" t="n">
        <v>22500</v>
      </c>
      <c r="V9" s="11" t="n">
        <v>22500</v>
      </c>
      <c r="W9" s="11" t="n">
        <v>22500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0.017778</v>
      </c>
      <c r="D12" s="13" t="n">
        <v>0.023125</v>
      </c>
      <c r="E12" s="13" t="n">
        <v>0.023125</v>
      </c>
      <c r="F12" s="13" t="n">
        <v>0.023125</v>
      </c>
      <c r="G12" s="13" t="n">
        <v>0.023125</v>
      </c>
      <c r="H12" s="13" t="n">
        <v>0.023125</v>
      </c>
      <c r="I12" s="13" t="n">
        <v>0.023125</v>
      </c>
      <c r="J12" s="13" t="n">
        <v>0.023125</v>
      </c>
      <c r="K12" s="13" t="n">
        <v>0.023125</v>
      </c>
      <c r="L12" s="13" t="n">
        <v>0.023125</v>
      </c>
      <c r="M12" s="13" t="n">
        <v>0.023125</v>
      </c>
      <c r="N12" s="13" t="n">
        <v>0.023125</v>
      </c>
      <c r="O12" s="13" t="n">
        <v>0.023125</v>
      </c>
      <c r="P12" s="13" t="n">
        <v>0.023125</v>
      </c>
      <c r="Q12" s="13" t="n">
        <v>0.023125</v>
      </c>
      <c r="R12" s="13" t="n">
        <v>0.023125</v>
      </c>
      <c r="S12" s="13" t="n">
        <v>0.023125</v>
      </c>
      <c r="T12" s="13" t="n">
        <v>0.023125</v>
      </c>
      <c r="U12" s="13" t="n">
        <v>0.023125</v>
      </c>
      <c r="V12" s="13" t="n">
        <v>0.023125</v>
      </c>
      <c r="W12" s="13" t="n">
        <v>0.023125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54000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17500</v>
      </c>
      <c r="E19" s="26" t="n">
        <v>17500</v>
      </c>
      <c r="F19" s="26" t="n">
        <v>17500</v>
      </c>
      <c r="G19" s="26" t="n">
        <v>17500</v>
      </c>
      <c r="H19" s="26" t="n">
        <v>17500</v>
      </c>
      <c r="I19" s="26" t="n">
        <v>17500</v>
      </c>
      <c r="J19" s="26" t="n">
        <v>17500</v>
      </c>
      <c r="K19" s="26" t="n">
        <v>17500</v>
      </c>
      <c r="L19" s="26" t="n">
        <v>17500</v>
      </c>
      <c r="M19" s="26" t="n">
        <v>17500</v>
      </c>
      <c r="N19" s="26" t="n">
        <v>17500</v>
      </c>
      <c r="O19" s="26" t="n">
        <v>17500</v>
      </c>
      <c r="P19" s="26" t="n">
        <v>17500</v>
      </c>
      <c r="Q19" s="26" t="n">
        <v>17500</v>
      </c>
      <c r="R19" s="26" t="n">
        <v>17500</v>
      </c>
      <c r="S19" s="26" t="n">
        <v>17500</v>
      </c>
      <c r="T19" s="26" t="n">
        <v>17500</v>
      </c>
      <c r="U19" s="26" t="n">
        <v>17500</v>
      </c>
      <c r="V19" s="26" t="n">
        <v>17500</v>
      </c>
      <c r="W19" s="26" t="n">
        <v>17500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54000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1200000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8396.4</v>
      </c>
      <c r="E8" s="35" t="n">
        <v>8452.210870999999</v>
      </c>
      <c r="F8" s="35" t="n">
        <v>8505.459799</v>
      </c>
      <c r="G8" s="35" t="n">
        <v>8556.101307000001</v>
      </c>
      <c r="H8" s="35" t="n">
        <v>8604.101035</v>
      </c>
      <c r="I8" s="35" t="n">
        <v>8649.427439999999</v>
      </c>
      <c r="J8" s="35" t="n">
        <v>8692.051818</v>
      </c>
      <c r="K8" s="35" t="n">
        <v>8731.930952000001</v>
      </c>
      <c r="L8" s="35" t="n">
        <v>8769.032926</v>
      </c>
      <c r="M8" s="35" t="n">
        <v>8803.328614</v>
      </c>
      <c r="N8" s="35" t="n">
        <v>8834.782907000001</v>
      </c>
      <c r="O8" s="35" t="n">
        <v>8863.363429999999</v>
      </c>
      <c r="P8" s="35" t="n">
        <v>8889.049456999999</v>
      </c>
      <c r="Q8" s="35" t="n">
        <v>8911.805424</v>
      </c>
      <c r="R8" s="35" t="n">
        <v>8931.598544</v>
      </c>
      <c r="S8" s="35" t="n">
        <v>8948.407811999999</v>
      </c>
      <c r="T8" s="35" t="n">
        <v>8962.206257</v>
      </c>
      <c r="U8" s="35" t="n">
        <v>8972.960904</v>
      </c>
      <c r="V8" s="35" t="n">
        <v>8980.650732</v>
      </c>
      <c r="W8" s="35" t="n">
        <v>8985.257806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0.00035</v>
      </c>
      <c r="E10" s="13" t="n">
        <v>0.000697</v>
      </c>
      <c r="F10" s="13" t="n">
        <v>0.001043</v>
      </c>
      <c r="G10" s="13" t="n">
        <v>0.001387</v>
      </c>
      <c r="H10" s="13" t="n">
        <v>0.001729</v>
      </c>
      <c r="I10" s="13" t="n">
        <v>0.002069</v>
      </c>
      <c r="J10" s="13" t="n">
        <v>0.002409</v>
      </c>
      <c r="K10" s="13" t="n">
        <v>0.002748</v>
      </c>
      <c r="L10" s="13" t="n">
        <v>0.003086</v>
      </c>
      <c r="M10" s="13" t="n">
        <v>0.003424</v>
      </c>
      <c r="N10" s="13" t="n">
        <v>0.003762</v>
      </c>
      <c r="O10" s="13" t="n">
        <v>0.004099</v>
      </c>
      <c r="P10" s="13" t="n">
        <v>0.004437</v>
      </c>
      <c r="Q10" s="13" t="n">
        <v>0.004776</v>
      </c>
      <c r="R10" s="13" t="n">
        <v>0.005115</v>
      </c>
      <c r="S10" s="13" t="n">
        <v>0.005455</v>
      </c>
      <c r="T10" s="13" t="n">
        <v>0.005797</v>
      </c>
      <c r="U10" s="13" t="n">
        <v>0.00614</v>
      </c>
      <c r="V10" s="13" t="n">
        <v>0.006484</v>
      </c>
      <c r="W10" s="13" t="n">
        <v>0.006831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15</v>
      </c>
      <c r="E7" s="9" t="n">
        <v>15</v>
      </c>
      <c r="F7" s="9" t="n">
        <v>15</v>
      </c>
      <c r="G7" s="9" t="n">
        <v>15</v>
      </c>
      <c r="H7" s="9" t="n">
        <v>15</v>
      </c>
      <c r="I7" s="9" t="n">
        <v>15</v>
      </c>
      <c r="J7" s="9" t="n">
        <v>15</v>
      </c>
      <c r="K7" s="9" t="n">
        <v>15</v>
      </c>
      <c r="L7" s="9" t="n">
        <v>15</v>
      </c>
      <c r="M7" s="9" t="n">
        <v>15</v>
      </c>
      <c r="N7" s="9" t="n">
        <v>15</v>
      </c>
      <c r="O7" s="9" t="n">
        <v>15</v>
      </c>
      <c r="P7" s="9" t="n">
        <v>15</v>
      </c>
      <c r="Q7" s="9" t="n">
        <v>15</v>
      </c>
      <c r="R7" s="9" t="n">
        <v>15</v>
      </c>
      <c r="S7" s="9" t="n">
        <v>15</v>
      </c>
      <c r="T7" s="9" t="n">
        <v>15</v>
      </c>
      <c r="U7" s="9" t="n">
        <v>15</v>
      </c>
      <c r="V7" s="9" t="n">
        <v>15</v>
      </c>
      <c r="W7" s="9" t="n">
        <v>15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20</v>
      </c>
      <c r="E8" s="9" t="n">
        <v>20</v>
      </c>
      <c r="F8" s="9" t="n">
        <v>20</v>
      </c>
      <c r="G8" s="9" t="n">
        <v>20</v>
      </c>
      <c r="H8" s="9" t="n">
        <v>20</v>
      </c>
      <c r="I8" s="9" t="n">
        <v>20</v>
      </c>
      <c r="J8" s="9" t="n">
        <v>20</v>
      </c>
      <c r="K8" s="9" t="n">
        <v>20</v>
      </c>
      <c r="L8" s="9" t="n">
        <v>20</v>
      </c>
      <c r="M8" s="9" t="n">
        <v>20</v>
      </c>
      <c r="N8" s="9" t="n">
        <v>20</v>
      </c>
      <c r="O8" s="9" t="n">
        <v>20</v>
      </c>
      <c r="P8" s="9" t="n">
        <v>20</v>
      </c>
      <c r="Q8" s="9" t="n">
        <v>20</v>
      </c>
      <c r="R8" s="9" t="n">
        <v>20</v>
      </c>
      <c r="S8" s="9" t="n">
        <v>20</v>
      </c>
      <c r="T8" s="9" t="n">
        <v>20</v>
      </c>
      <c r="U8" s="9" t="n">
        <v>20</v>
      </c>
      <c r="V8" s="9" t="n">
        <v>20</v>
      </c>
      <c r="W8" s="9" t="n">
        <v>20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30</v>
      </c>
      <c r="E9" s="9" t="n">
        <v>30</v>
      </c>
      <c r="F9" s="9" t="n">
        <v>30</v>
      </c>
      <c r="G9" s="9" t="n">
        <v>30</v>
      </c>
      <c r="H9" s="9" t="n">
        <v>30</v>
      </c>
      <c r="I9" s="9" t="n">
        <v>30</v>
      </c>
      <c r="J9" s="9" t="n">
        <v>30</v>
      </c>
      <c r="K9" s="9" t="n">
        <v>30</v>
      </c>
      <c r="L9" s="9" t="n">
        <v>30</v>
      </c>
      <c r="M9" s="9" t="n">
        <v>30</v>
      </c>
      <c r="N9" s="9" t="n">
        <v>30</v>
      </c>
      <c r="O9" s="9" t="n">
        <v>30</v>
      </c>
      <c r="P9" s="9" t="n">
        <v>30</v>
      </c>
      <c r="Q9" s="9" t="n">
        <v>30</v>
      </c>
      <c r="R9" s="9" t="n">
        <v>30</v>
      </c>
      <c r="S9" s="9" t="n">
        <v>30</v>
      </c>
      <c r="T9" s="9" t="n">
        <v>30</v>
      </c>
      <c r="U9" s="9" t="n">
        <v>30</v>
      </c>
      <c r="V9" s="9" t="n">
        <v>30</v>
      </c>
      <c r="W9" s="9" t="n">
        <v>30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0.02</v>
      </c>
      <c r="E10" s="13" t="n">
        <v>0.02</v>
      </c>
      <c r="F10" s="13" t="n">
        <v>0.02</v>
      </c>
      <c r="G10" s="13" t="n">
        <v>0.02</v>
      </c>
      <c r="H10" s="13" t="n">
        <v>0.02</v>
      </c>
      <c r="I10" s="13" t="n">
        <v>0.02</v>
      </c>
      <c r="J10" s="13" t="n">
        <v>0.02</v>
      </c>
      <c r="K10" s="13" t="n">
        <v>0.02</v>
      </c>
      <c r="L10" s="13" t="n">
        <v>0.02</v>
      </c>
      <c r="M10" s="13" t="n">
        <v>0.02</v>
      </c>
      <c r="N10" s="13" t="n">
        <v>0.02</v>
      </c>
      <c r="O10" s="13" t="n">
        <v>0.02</v>
      </c>
      <c r="P10" s="13" t="n">
        <v>0.02</v>
      </c>
      <c r="Q10" s="13" t="n">
        <v>0.02</v>
      </c>
      <c r="R10" s="13" t="n">
        <v>0.02</v>
      </c>
      <c r="S10" s="13" t="n">
        <v>0.02</v>
      </c>
      <c r="T10" s="13" t="n">
        <v>0.02</v>
      </c>
      <c r="U10" s="13" t="n">
        <v>0.02</v>
      </c>
      <c r="V10" s="13" t="n">
        <v>0.02</v>
      </c>
      <c r="W10" s="13" t="n">
        <v>0.02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180000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35000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85000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70000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650000</v>
      </c>
      <c r="D7" s="11" t="n">
        <v>1032528</v>
      </c>
      <c r="E7" s="11" t="n">
        <v>1147736</v>
      </c>
      <c r="F7" s="11" t="n">
        <v>1245538</v>
      </c>
      <c r="G7" s="11" t="n">
        <v>1306727</v>
      </c>
      <c r="H7" s="11" t="n">
        <v>1350727</v>
      </c>
      <c r="I7" s="11" t="n">
        <v>1375881</v>
      </c>
      <c r="J7" s="11" t="n">
        <v>1387393</v>
      </c>
      <c r="K7" s="11" t="n">
        <v>1387393</v>
      </c>
      <c r="L7" s="11" t="n">
        <v>1387393</v>
      </c>
      <c r="M7" s="11" t="n">
        <v>1387393</v>
      </c>
      <c r="N7" s="11" t="n">
        <v>1387393</v>
      </c>
      <c r="O7" s="11" t="n">
        <v>1387393</v>
      </c>
      <c r="P7" s="11" t="n">
        <v>1387393</v>
      </c>
      <c r="Q7" s="11" t="n">
        <v>1387393</v>
      </c>
      <c r="R7" s="11" t="n">
        <v>1387393</v>
      </c>
      <c r="S7" s="11" t="n">
        <v>1387393</v>
      </c>
      <c r="T7" s="11" t="n">
        <v>1387393</v>
      </c>
      <c r="U7" s="11" t="n">
        <v>1387393</v>
      </c>
      <c r="V7" s="11" t="n">
        <v>1387393</v>
      </c>
      <c r="W7" s="11" t="n">
        <v>1387393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15098</v>
      </c>
      <c r="P9" s="11" t="n">
        <v>29365</v>
      </c>
      <c r="Q9" s="11" t="n">
        <v>32765</v>
      </c>
      <c r="R9" s="11" t="n">
        <v>35135</v>
      </c>
      <c r="S9" s="11" t="n">
        <v>102339</v>
      </c>
      <c r="T9" s="11" t="n">
        <v>105232</v>
      </c>
      <c r="U9" s="11" t="n">
        <v>111262</v>
      </c>
      <c r="V9" s="11" t="n">
        <v>115081</v>
      </c>
      <c r="W9" s="11" t="n">
        <v>124677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72000</v>
      </c>
      <c r="D12" s="11" t="n">
        <v>72000</v>
      </c>
      <c r="E12" s="11" t="n">
        <v>72000</v>
      </c>
      <c r="F12" s="11" t="n">
        <v>72000</v>
      </c>
      <c r="G12" s="11" t="n">
        <v>72000</v>
      </c>
      <c r="H12" s="11" t="n">
        <v>72000</v>
      </c>
      <c r="I12" s="11" t="n">
        <v>72000</v>
      </c>
      <c r="J12" s="11" t="n">
        <v>72000</v>
      </c>
      <c r="K12" s="11" t="n">
        <v>72000</v>
      </c>
      <c r="L12" s="11" t="n">
        <v>72000</v>
      </c>
      <c r="M12" s="11" t="n">
        <v>72000</v>
      </c>
      <c r="N12" s="11" t="n">
        <v>72000</v>
      </c>
      <c r="O12" s="11" t="n">
        <v>72000</v>
      </c>
      <c r="P12" s="11" t="n">
        <v>72000</v>
      </c>
      <c r="Q12" s="11" t="n">
        <v>72000</v>
      </c>
      <c r="R12" s="11" t="n">
        <v>72000</v>
      </c>
      <c r="S12" s="11" t="n">
        <v>72000</v>
      </c>
      <c r="T12" s="11" t="n">
        <v>72000</v>
      </c>
      <c r="U12" s="11" t="n">
        <v>72000</v>
      </c>
      <c r="V12" s="11" t="n">
        <v>72000</v>
      </c>
      <c r="W12" s="11" t="n">
        <v>72000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Repair orders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Repair orders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Repair orders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Repair orders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0.34</v>
      </c>
      <c r="D12" s="14" t="n">
        <v>0.46</v>
      </c>
      <c r="E12" s="14" t="n">
        <v>0.456</v>
      </c>
      <c r="F12" s="14" t="n">
        <v>0.4520000000000001</v>
      </c>
      <c r="G12" s="14" t="n">
        <v>0.448</v>
      </c>
      <c r="H12" s="14" t="n">
        <v>0.4440000000000001</v>
      </c>
      <c r="I12" s="14" t="n">
        <v>0.44</v>
      </c>
      <c r="J12" s="14" t="n">
        <v>0.4360000000000001</v>
      </c>
      <c r="K12" s="14" t="n">
        <v>0.4320000000000001</v>
      </c>
      <c r="L12" s="14" t="n">
        <v>0.428</v>
      </c>
      <c r="M12" s="14" t="n">
        <v>0.424</v>
      </c>
      <c r="N12" s="14" t="n">
        <v>0.42</v>
      </c>
      <c r="O12" s="14" t="n">
        <v>0.4177777777777777</v>
      </c>
      <c r="P12" s="14" t="n">
        <v>0.4155555555555556</v>
      </c>
      <c r="Q12" s="14" t="n">
        <v>0.4133333333333333</v>
      </c>
      <c r="R12" s="14" t="n">
        <v>0.4111111111111111</v>
      </c>
      <c r="S12" s="14" t="n">
        <v>0.4088888888888889</v>
      </c>
      <c r="T12" s="14" t="n">
        <v>0.4066666666666667</v>
      </c>
      <c r="U12" s="14" t="n">
        <v>0.4044444444444444</v>
      </c>
      <c r="V12" s="14" t="n">
        <v>0.4022222222222223</v>
      </c>
      <c r="W12" s="14" t="n">
        <v>0.4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0.08</v>
      </c>
      <c r="D13" s="14" t="n">
        <v>0.21</v>
      </c>
      <c r="E13" s="14" t="n">
        <v>0.199</v>
      </c>
      <c r="F13" s="14" t="n">
        <v>0.188</v>
      </c>
      <c r="G13" s="14" t="n">
        <v>0.177</v>
      </c>
      <c r="H13" s="14" t="n">
        <v>0.166</v>
      </c>
      <c r="I13" s="14" t="n">
        <v>0.155</v>
      </c>
      <c r="J13" s="14" t="n">
        <v>0.144</v>
      </c>
      <c r="K13" s="14" t="n">
        <v>0.133</v>
      </c>
      <c r="L13" s="14" t="n">
        <v>0.122</v>
      </c>
      <c r="M13" s="14" t="n">
        <v>0.111</v>
      </c>
      <c r="N13" s="14" t="n">
        <v>0.1</v>
      </c>
      <c r="O13" s="14" t="n">
        <v>0.09777777777777778</v>
      </c>
      <c r="P13" s="14" t="n">
        <v>0.09555555555555556</v>
      </c>
      <c r="Q13" s="14" t="n">
        <v>0.09333333333333335</v>
      </c>
      <c r="R13" s="14" t="n">
        <v>0.09111111111111111</v>
      </c>
      <c r="S13" s="14" t="n">
        <v>0.08888888888888889</v>
      </c>
      <c r="T13" s="14" t="n">
        <v>0.08666666666666667</v>
      </c>
      <c r="U13" s="14" t="n">
        <v>0.08444444444444445</v>
      </c>
      <c r="V13" s="14" t="n">
        <v>0.08222222222222222</v>
      </c>
      <c r="W13" s="14" t="n">
        <v>0.08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46372.5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0.00507</v>
      </c>
      <c r="D17" s="14" t="n">
        <v>0.21</v>
      </c>
      <c r="E17" s="14" t="n">
        <v>0.204</v>
      </c>
      <c r="F17" s="14" t="n">
        <v>0.198</v>
      </c>
      <c r="G17" s="14" t="n">
        <v>0.192</v>
      </c>
      <c r="H17" s="14" t="n">
        <v>0.186</v>
      </c>
      <c r="I17" s="14" t="n">
        <v>0.18</v>
      </c>
      <c r="J17" s="14" t="n">
        <v>0.174</v>
      </c>
      <c r="K17" s="14" t="n">
        <v>0.168</v>
      </c>
      <c r="L17" s="14" t="n">
        <v>0.162</v>
      </c>
      <c r="M17" s="14" t="n">
        <v>0.156</v>
      </c>
      <c r="N17" s="14" t="n">
        <v>0.15</v>
      </c>
      <c r="O17" s="14" t="n">
        <v>0.1466666666666667</v>
      </c>
      <c r="P17" s="14" t="n">
        <v>0.1433333333333333</v>
      </c>
      <c r="Q17" s="14" t="n">
        <v>0.14</v>
      </c>
      <c r="R17" s="14" t="n">
        <v>0.1366666666666667</v>
      </c>
      <c r="S17" s="14" t="n">
        <v>0.1333333333333333</v>
      </c>
      <c r="T17" s="14" t="n">
        <v>0.13</v>
      </c>
      <c r="U17" s="14" t="n">
        <v>0.1266666666666667</v>
      </c>
      <c r="V17" s="14" t="n">
        <v>0.1233333333333333</v>
      </c>
      <c r="W17" s="14" t="n">
        <v>0.12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0.269425</v>
      </c>
      <c r="D22" s="14" t="n">
        <v>0.269425</v>
      </c>
      <c r="E22" s="14" t="n">
        <v>0.269425</v>
      </c>
      <c r="F22" s="14" t="n">
        <v>0.269425</v>
      </c>
      <c r="G22" s="14" t="n">
        <v>0.269425</v>
      </c>
      <c r="H22" s="14" t="n">
        <v>0.269425</v>
      </c>
      <c r="I22" s="14" t="n">
        <v>0.269425</v>
      </c>
      <c r="J22" s="14" t="n">
        <v>0.269425</v>
      </c>
      <c r="K22" s="14" t="n">
        <v>0.269425</v>
      </c>
      <c r="L22" s="14" t="n">
        <v>0.269425</v>
      </c>
      <c r="M22" s="14" t="n">
        <v>0.269425</v>
      </c>
      <c r="N22" s="14" t="n">
        <v>0.269425</v>
      </c>
      <c r="O22" s="14" t="n">
        <v>0.269425</v>
      </c>
      <c r="P22" s="14" t="n">
        <v>0.269425</v>
      </c>
      <c r="Q22" s="14" t="n">
        <v>0.269425</v>
      </c>
      <c r="R22" s="14" t="n">
        <v>0.269425</v>
      </c>
      <c r="S22" s="14" t="n">
        <v>0.269425</v>
      </c>
      <c r="T22" s="14" t="n">
        <v>0.269425</v>
      </c>
      <c r="U22" s="14" t="n">
        <v>0.269425</v>
      </c>
      <c r="V22" s="14" t="n">
        <v>0.269425</v>
      </c>
      <c r="W22" s="14" t="n">
        <v>0.269425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766187.5</v>
      </c>
      <c r="D7" s="31" t="n">
        <v>768750</v>
      </c>
      <c r="E7" s="31" t="n">
        <v>776790</v>
      </c>
      <c r="F7" s="31" t="n">
        <v>784860</v>
      </c>
      <c r="G7" s="31" t="n">
        <v>792960</v>
      </c>
      <c r="H7" s="31" t="n">
        <v>801090</v>
      </c>
      <c r="I7" s="31" t="n">
        <v>809250</v>
      </c>
      <c r="J7" s="31" t="n">
        <v>817440</v>
      </c>
      <c r="K7" s="31" t="n">
        <v>825660</v>
      </c>
      <c r="L7" s="31" t="n">
        <v>833910</v>
      </c>
      <c r="M7" s="31" t="n">
        <v>842190</v>
      </c>
      <c r="N7" s="31" t="n">
        <v>850500</v>
      </c>
      <c r="O7" s="31" t="n">
        <v>854000.00028</v>
      </c>
      <c r="P7" s="31" t="n">
        <v>857500.00056</v>
      </c>
      <c r="Q7" s="31" t="n">
        <v>860999.9995799999</v>
      </c>
      <c r="R7" s="31" t="n">
        <v>864499.99986</v>
      </c>
      <c r="S7" s="31" t="n">
        <v>868000.00014</v>
      </c>
      <c r="T7" s="31" t="n">
        <v>871500.0004200001</v>
      </c>
      <c r="U7" s="31" t="n">
        <v>874999.99944</v>
      </c>
      <c r="V7" s="31" t="n">
        <v>878499.99972</v>
      </c>
      <c r="W7" s="31" t="n">
        <v>882000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260503.75</v>
      </c>
      <c r="D8" s="31" t="n">
        <v>353625</v>
      </c>
      <c r="E8" s="31" t="n">
        <v>354216.24</v>
      </c>
      <c r="F8" s="31" t="n">
        <v>354756.72</v>
      </c>
      <c r="G8" s="31" t="n">
        <v>355246.08</v>
      </c>
      <c r="H8" s="31" t="n">
        <v>355683.96</v>
      </c>
      <c r="I8" s="31" t="n">
        <v>356070</v>
      </c>
      <c r="J8" s="31" t="n">
        <v>356403.84</v>
      </c>
      <c r="K8" s="31" t="n">
        <v>356685.12</v>
      </c>
      <c r="L8" s="31" t="n">
        <v>356913.48</v>
      </c>
      <c r="M8" s="31" t="n">
        <v>357088.56</v>
      </c>
      <c r="N8" s="31" t="n">
        <v>357210</v>
      </c>
      <c r="O8" s="31" t="n">
        <v>356782.222339</v>
      </c>
      <c r="P8" s="31" t="n">
        <v>356338.889122</v>
      </c>
      <c r="Q8" s="31" t="n">
        <v>355879.999826</v>
      </c>
      <c r="R8" s="31" t="n">
        <v>355405.555498</v>
      </c>
      <c r="S8" s="31" t="n">
        <v>354915.555613</v>
      </c>
      <c r="T8" s="31" t="n">
        <v>354410.000171</v>
      </c>
      <c r="U8" s="31" t="n">
        <v>353888.888662</v>
      </c>
      <c r="V8" s="31" t="n">
        <v>353352.22211</v>
      </c>
      <c r="W8" s="31" t="n">
        <v>352800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505683.75</v>
      </c>
      <c r="D9" s="31" t="n">
        <v>415125</v>
      </c>
      <c r="E9" s="31" t="n">
        <v>422573.76</v>
      </c>
      <c r="F9" s="31" t="n">
        <v>430103.28</v>
      </c>
      <c r="G9" s="31" t="n">
        <v>437713.92</v>
      </c>
      <c r="H9" s="31" t="n">
        <v>445406.04</v>
      </c>
      <c r="I9" s="31" t="n">
        <v>453180</v>
      </c>
      <c r="J9" s="31" t="n">
        <v>461036.16</v>
      </c>
      <c r="K9" s="31" t="n">
        <v>468974.88</v>
      </c>
      <c r="L9" s="31" t="n">
        <v>476996.52</v>
      </c>
      <c r="M9" s="31" t="n">
        <v>485101.44</v>
      </c>
      <c r="N9" s="31" t="n">
        <v>493290</v>
      </c>
      <c r="O9" s="31" t="n">
        <v>497217.777941</v>
      </c>
      <c r="P9" s="31" t="n">
        <v>501161.111438</v>
      </c>
      <c r="Q9" s="31" t="n">
        <v>505119.999754</v>
      </c>
      <c r="R9" s="31" t="n">
        <v>509094.444362</v>
      </c>
      <c r="S9" s="31" t="n">
        <v>513084.444527</v>
      </c>
      <c r="T9" s="31" t="n">
        <v>517090.000249</v>
      </c>
      <c r="U9" s="31" t="n">
        <v>521111.110778</v>
      </c>
      <c r="V9" s="31" t="n">
        <v>525147.77761</v>
      </c>
      <c r="W9" s="31" t="n">
        <v>529200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61295</v>
      </c>
      <c r="D10" s="31" t="n">
        <v>161437.5</v>
      </c>
      <c r="E10" s="31" t="n">
        <v>154581.21</v>
      </c>
      <c r="F10" s="31" t="n">
        <v>147553.68</v>
      </c>
      <c r="G10" s="31" t="n">
        <v>140353.92</v>
      </c>
      <c r="H10" s="31" t="n">
        <v>132980.94</v>
      </c>
      <c r="I10" s="31" t="n">
        <v>125433.75</v>
      </c>
      <c r="J10" s="31" t="n">
        <v>117711.36</v>
      </c>
      <c r="K10" s="31" t="n">
        <v>109812.78</v>
      </c>
      <c r="L10" s="31" t="n">
        <v>101737.02</v>
      </c>
      <c r="M10" s="31" t="n">
        <v>93483.09</v>
      </c>
      <c r="N10" s="31" t="n">
        <v>85050</v>
      </c>
      <c r="O10" s="31" t="n">
        <v>83502.22225000001</v>
      </c>
      <c r="P10" s="31" t="n">
        <v>81938.88894200001</v>
      </c>
      <c r="Q10" s="31" t="n">
        <v>80359.99996099999</v>
      </c>
      <c r="R10" s="31" t="n">
        <v>78765.55554299999</v>
      </c>
      <c r="S10" s="31" t="n">
        <v>77155.555568</v>
      </c>
      <c r="T10" s="31" t="n">
        <v>75530.000036</v>
      </c>
      <c r="U10" s="31" t="n">
        <v>73888.888842</v>
      </c>
      <c r="V10" s="31" t="n">
        <v>72232.222199</v>
      </c>
      <c r="W10" s="31" t="n">
        <v>70560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0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Q11" s="31" t="n">
        <v>0</v>
      </c>
      <c r="R11" s="31" t="n">
        <v>0</v>
      </c>
      <c r="S11" s="31" t="n">
        <v>0</v>
      </c>
      <c r="T11" s="31" t="n">
        <v>0</v>
      </c>
      <c r="U11" s="31" t="n">
        <v>0</v>
      </c>
      <c r="V11" s="31" t="n">
        <v>0</v>
      </c>
      <c r="W11" s="31" t="n">
        <v>0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72000</v>
      </c>
      <c r="D12" s="31" t="n">
        <v>72000</v>
      </c>
      <c r="E12" s="31" t="n">
        <v>72000</v>
      </c>
      <c r="F12" s="31" t="n">
        <v>72000</v>
      </c>
      <c r="G12" s="31" t="n">
        <v>72000</v>
      </c>
      <c r="H12" s="31" t="n">
        <v>72000</v>
      </c>
      <c r="I12" s="31" t="n">
        <v>72000</v>
      </c>
      <c r="J12" s="31" t="n">
        <v>72000</v>
      </c>
      <c r="K12" s="31" t="n">
        <v>72000</v>
      </c>
      <c r="L12" s="31" t="n">
        <v>72000</v>
      </c>
      <c r="M12" s="31" t="n">
        <v>72000</v>
      </c>
      <c r="N12" s="31" t="n">
        <v>72000</v>
      </c>
      <c r="O12" s="31" t="n">
        <v>72000</v>
      </c>
      <c r="P12" s="31" t="n">
        <v>72000</v>
      </c>
      <c r="Q12" s="31" t="n">
        <v>72000</v>
      </c>
      <c r="R12" s="31" t="n">
        <v>72000</v>
      </c>
      <c r="S12" s="31" t="n">
        <v>72000</v>
      </c>
      <c r="T12" s="31" t="n">
        <v>72000</v>
      </c>
      <c r="U12" s="31" t="n">
        <v>72000</v>
      </c>
      <c r="V12" s="31" t="n">
        <v>72000</v>
      </c>
      <c r="W12" s="31" t="n">
        <v>72000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46372.5</v>
      </c>
      <c r="D13" s="31" t="n">
        <v>93627</v>
      </c>
      <c r="E13" s="31" t="n">
        <v>93627</v>
      </c>
      <c r="F13" s="31" t="n">
        <v>93627</v>
      </c>
      <c r="G13" s="31" t="n">
        <v>93627</v>
      </c>
      <c r="H13" s="31" t="n">
        <v>96436</v>
      </c>
      <c r="I13" s="31" t="n">
        <v>96436</v>
      </c>
      <c r="J13" s="31" t="n">
        <v>96436</v>
      </c>
      <c r="K13" s="31" t="n">
        <v>96436</v>
      </c>
      <c r="L13" s="31" t="n">
        <v>99328</v>
      </c>
      <c r="M13" s="31" t="n">
        <v>99328</v>
      </c>
      <c r="N13" s="31" t="n">
        <v>99328</v>
      </c>
      <c r="O13" s="31" t="n">
        <v>99328</v>
      </c>
      <c r="P13" s="31" t="n">
        <v>102309</v>
      </c>
      <c r="Q13" s="31" t="n">
        <v>102309</v>
      </c>
      <c r="R13" s="31" t="n">
        <v>102309</v>
      </c>
      <c r="S13" s="31" t="n">
        <v>102309</v>
      </c>
      <c r="T13" s="31" t="n">
        <v>105378</v>
      </c>
      <c r="U13" s="31" t="n">
        <v>105378</v>
      </c>
      <c r="V13" s="31" t="n">
        <v>105378</v>
      </c>
      <c r="W13" s="31" t="n">
        <v>105378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3884.570625</v>
      </c>
      <c r="D14" s="31" t="n">
        <v>161437.5</v>
      </c>
      <c r="E14" s="31" t="n">
        <v>158465.16</v>
      </c>
      <c r="F14" s="31" t="n">
        <v>155402.28</v>
      </c>
      <c r="G14" s="31" t="n">
        <v>152248.32</v>
      </c>
      <c r="H14" s="31" t="n">
        <v>149002.74</v>
      </c>
      <c r="I14" s="31" t="n">
        <v>145665</v>
      </c>
      <c r="J14" s="31" t="n">
        <v>142234.56</v>
      </c>
      <c r="K14" s="31" t="n">
        <v>138710.88</v>
      </c>
      <c r="L14" s="31" t="n">
        <v>135093.42</v>
      </c>
      <c r="M14" s="31" t="n">
        <v>131381.64</v>
      </c>
      <c r="N14" s="31" t="n">
        <v>127575</v>
      </c>
      <c r="O14" s="31" t="n">
        <v>125253.333374</v>
      </c>
      <c r="P14" s="31" t="n">
        <v>122908.333414</v>
      </c>
      <c r="Q14" s="31" t="n">
        <v>120539.999941</v>
      </c>
      <c r="R14" s="31" t="n">
        <v>118148.333314</v>
      </c>
      <c r="S14" s="31" t="n">
        <v>115733.333352</v>
      </c>
      <c r="T14" s="31" t="n">
        <v>113295.000055</v>
      </c>
      <c r="U14" s="31" t="n">
        <v>110833.333262</v>
      </c>
      <c r="V14" s="31" t="n">
        <v>108348.333299</v>
      </c>
      <c r="W14" s="31" t="n">
        <v>105840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322131.679375</v>
      </c>
      <c r="D15" s="31" t="n">
        <v>-73377</v>
      </c>
      <c r="E15" s="31" t="n">
        <v>-56099.61</v>
      </c>
      <c r="F15" s="31" t="n">
        <v>-38479.68</v>
      </c>
      <c r="G15" s="31" t="n">
        <v>-20515.32</v>
      </c>
      <c r="H15" s="31" t="n">
        <v>-5013.64</v>
      </c>
      <c r="I15" s="31" t="n">
        <v>13645.25</v>
      </c>
      <c r="J15" s="31" t="n">
        <v>32654.24</v>
      </c>
      <c r="K15" s="31" t="n">
        <v>52015.22</v>
      </c>
      <c r="L15" s="31" t="n">
        <v>68838.08</v>
      </c>
      <c r="M15" s="31" t="n">
        <v>88908.71000000001</v>
      </c>
      <c r="N15" s="31" t="n">
        <v>109337</v>
      </c>
      <c r="O15" s="31" t="n">
        <v>117134.222317</v>
      </c>
      <c r="P15" s="31" t="n">
        <v>122004.889082</v>
      </c>
      <c r="Q15" s="31" t="n">
        <v>129910.999852</v>
      </c>
      <c r="R15" s="31" t="n">
        <v>137871.555505</v>
      </c>
      <c r="S15" s="31" t="n">
        <v>145886.555607</v>
      </c>
      <c r="T15" s="31" t="n">
        <v>150887.000158</v>
      </c>
      <c r="U15" s="31" t="n">
        <v>159010.888674</v>
      </c>
      <c r="V15" s="31" t="n">
        <v>167189.222112</v>
      </c>
      <c r="W15" s="31" t="n">
        <v>175422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8000.1</v>
      </c>
      <c r="D16" s="31" t="n">
        <v>11394.84375</v>
      </c>
      <c r="E16" s="31" t="n">
        <v>10469.84375</v>
      </c>
      <c r="F16" s="31" t="n">
        <v>9544.84375</v>
      </c>
      <c r="G16" s="31" t="n">
        <v>8619.84375</v>
      </c>
      <c r="H16" s="31" t="n">
        <v>8064.84375</v>
      </c>
      <c r="I16" s="31" t="n">
        <v>7544.53125</v>
      </c>
      <c r="J16" s="31" t="n">
        <v>7024.21875</v>
      </c>
      <c r="K16" s="31" t="n">
        <v>6503.90625</v>
      </c>
      <c r="L16" s="31" t="n">
        <v>5983.59375</v>
      </c>
      <c r="M16" s="31" t="n">
        <v>5463.28125</v>
      </c>
      <c r="N16" s="31" t="n">
        <v>4942.96875</v>
      </c>
      <c r="O16" s="31" t="n">
        <v>4248.074062</v>
      </c>
      <c r="P16" s="31" t="n">
        <v>3213.635</v>
      </c>
      <c r="Q16" s="31" t="n">
        <v>1974.92125</v>
      </c>
      <c r="R16" s="31" t="n">
        <v>669.515</v>
      </c>
      <c r="S16" s="31" t="n">
        <v>1.560938</v>
      </c>
      <c r="T16" s="31" t="n">
        <v>0</v>
      </c>
      <c r="U16" s="31" t="n">
        <v>0</v>
      </c>
      <c r="V16" s="31" t="n">
        <v>0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3120</v>
      </c>
      <c r="E17" s="31" t="n">
        <v>3541.959551</v>
      </c>
      <c r="F17" s="31" t="n">
        <v>3967.856877</v>
      </c>
      <c r="G17" s="31" t="n">
        <v>4396.057241</v>
      </c>
      <c r="H17" s="31" t="n">
        <v>4826.124152</v>
      </c>
      <c r="I17" s="31" t="n">
        <v>5257.619747</v>
      </c>
      <c r="J17" s="31" t="n">
        <v>5692.590086</v>
      </c>
      <c r="K17" s="31" t="n">
        <v>6129.376341</v>
      </c>
      <c r="L17" s="31" t="n">
        <v>6567.548322</v>
      </c>
      <c r="M17" s="31" t="n">
        <v>7007.931567</v>
      </c>
      <c r="N17" s="31" t="n">
        <v>7450.100514</v>
      </c>
      <c r="O17" s="31" t="n">
        <v>7892.357682</v>
      </c>
      <c r="P17" s="31" t="n">
        <v>8336.803264</v>
      </c>
      <c r="Q17" s="31" t="n">
        <v>8783.004531</v>
      </c>
      <c r="R17" s="31" t="n">
        <v>9229.244898000001</v>
      </c>
      <c r="S17" s="31" t="n">
        <v>9676.356239999999</v>
      </c>
      <c r="T17" s="31" t="n">
        <v>10125.169311</v>
      </c>
      <c r="U17" s="31" t="n">
        <v>10573.943112</v>
      </c>
      <c r="V17" s="31" t="n">
        <v>11022.215142</v>
      </c>
      <c r="W17" s="31" t="n">
        <v>11472.087476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84634.900773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227.151949</v>
      </c>
      <c r="J18" s="31" t="n">
        <v>5371.642391</v>
      </c>
      <c r="K18" s="31" t="n">
        <v>10610.478487</v>
      </c>
      <c r="L18" s="31" t="n">
        <v>15165.108251</v>
      </c>
      <c r="M18" s="31" t="n">
        <v>20594.172679</v>
      </c>
      <c r="N18" s="31" t="n">
        <v>26119.118539</v>
      </c>
      <c r="O18" s="31" t="n">
        <v>28287.952025</v>
      </c>
      <c r="P18" s="31" t="n">
        <v>29759.190412</v>
      </c>
      <c r="Q18" s="31" t="n">
        <v>32102.816981</v>
      </c>
      <c r="R18" s="31" t="n">
        <v>34479.070456</v>
      </c>
      <c r="S18" s="31" t="n">
        <v>36698.012409</v>
      </c>
      <c r="T18" s="31" t="n">
        <v>37924.756276</v>
      </c>
      <c r="U18" s="31" t="n">
        <v>39992.624058</v>
      </c>
      <c r="V18" s="31" t="n">
        <v>42075.295853</v>
      </c>
      <c r="W18" s="31" t="n">
        <v>44172.205182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229496.678602</v>
      </c>
      <c r="D19" s="31" t="n">
        <v>-87891.84375</v>
      </c>
      <c r="E19" s="31" t="n">
        <v>-70111.41330099999</v>
      </c>
      <c r="F19" s="31" t="n">
        <v>-51992.380627</v>
      </c>
      <c r="G19" s="31" t="n">
        <v>-33531.220991</v>
      </c>
      <c r="H19" s="31" t="n">
        <v>-17904.607902</v>
      </c>
      <c r="I19" s="31" t="n">
        <v>615.947054</v>
      </c>
      <c r="J19" s="31" t="n">
        <v>14565.788773</v>
      </c>
      <c r="K19" s="31" t="n">
        <v>28771.458923</v>
      </c>
      <c r="L19" s="31" t="n">
        <v>41121.829677</v>
      </c>
      <c r="M19" s="31" t="n">
        <v>55843.324504</v>
      </c>
      <c r="N19" s="31" t="n">
        <v>70824.81219700001</v>
      </c>
      <c r="O19" s="31" t="n">
        <v>76705.838548</v>
      </c>
      <c r="P19" s="31" t="n">
        <v>80695.260406</v>
      </c>
      <c r="Q19" s="31" t="n">
        <v>87050.25708900001</v>
      </c>
      <c r="R19" s="31" t="n">
        <v>93493.72515100001</v>
      </c>
      <c r="S19" s="31" t="n">
        <v>99510.62602</v>
      </c>
      <c r="T19" s="31" t="n">
        <v>102837.074571</v>
      </c>
      <c r="U19" s="31" t="n">
        <v>108444.321504</v>
      </c>
      <c r="V19" s="31" t="n">
        <v>114091.711118</v>
      </c>
      <c r="W19" s="31" t="n">
        <v>119777.707342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180000</v>
      </c>
      <c r="D23" s="31" t="n">
        <v>421064.212772</v>
      </c>
      <c r="E23" s="31" t="n">
        <v>416445.360107</v>
      </c>
      <c r="F23" s="31" t="n">
        <v>411670.401413</v>
      </c>
      <c r="G23" s="31" t="n">
        <v>406737.473792</v>
      </c>
      <c r="H23" s="31" t="n">
        <v>403052.340847</v>
      </c>
      <c r="I23" s="31" t="n">
        <v>397803.489991</v>
      </c>
      <c r="J23" s="31" t="n">
        <v>392392.362002</v>
      </c>
      <c r="K23" s="31" t="n">
        <v>390714.521259</v>
      </c>
      <c r="L23" s="31" t="n">
        <v>403542.443589</v>
      </c>
      <c r="M23" s="31" t="n">
        <v>429634.848221</v>
      </c>
      <c r="N23" s="31" t="n">
        <v>469011.364619</v>
      </c>
      <c r="O23" s="31" t="n">
        <v>491244.22911</v>
      </c>
      <c r="P23" s="31" t="n">
        <v>490330.018286</v>
      </c>
      <c r="Q23" s="31" t="n">
        <v>487392.443274</v>
      </c>
      <c r="R23" s="31" t="n">
        <v>484418.323312</v>
      </c>
      <c r="S23" s="31" t="n">
        <v>481408.187624</v>
      </c>
      <c r="T23" s="31" t="n">
        <v>480408.29625</v>
      </c>
      <c r="U23" s="31" t="n">
        <v>477326.370691</v>
      </c>
      <c r="V23" s="31" t="n">
        <v>474208.033173</v>
      </c>
      <c r="W23" s="31" t="n">
        <v>471052.467292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35000</v>
      </c>
      <c r="D24" s="31" t="n">
        <v>125339.673913</v>
      </c>
      <c r="E24" s="31" t="n">
        <v>126650.543478</v>
      </c>
      <c r="F24" s="31" t="n">
        <v>130810</v>
      </c>
      <c r="G24" s="31" t="n">
        <v>130707.692308</v>
      </c>
      <c r="H24" s="31" t="n">
        <v>130612.5</v>
      </c>
      <c r="I24" s="31" t="n">
        <v>131942.934783</v>
      </c>
      <c r="J24" s="31" t="n">
        <v>134742.857143</v>
      </c>
      <c r="K24" s="31" t="n">
        <v>136097.802198</v>
      </c>
      <c r="L24" s="31" t="n">
        <v>135963.586957</v>
      </c>
      <c r="M24" s="31" t="n">
        <v>137313.586957</v>
      </c>
      <c r="N24" s="31" t="n">
        <v>141750</v>
      </c>
      <c r="O24" s="31" t="n">
        <v>140769.230815</v>
      </c>
      <c r="P24" s="31" t="n">
        <v>139809.7827</v>
      </c>
      <c r="Q24" s="31" t="n">
        <v>140380.434714</v>
      </c>
      <c r="R24" s="31" t="n">
        <v>144083.33331</v>
      </c>
      <c r="S24" s="31" t="n">
        <v>143076.9231</v>
      </c>
      <c r="T24" s="31" t="n">
        <v>142092.391373</v>
      </c>
      <c r="U24" s="31" t="n">
        <v>142663.043387</v>
      </c>
      <c r="V24" s="31" t="n">
        <v>146416.66662</v>
      </c>
      <c r="W24" s="31" t="n">
        <v>145384.615385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85000</v>
      </c>
      <c r="D25" s="31" t="n">
        <v>76875</v>
      </c>
      <c r="E25" s="31" t="n">
        <v>77003.53043499999</v>
      </c>
      <c r="F25" s="31" t="n">
        <v>78834.826667</v>
      </c>
      <c r="G25" s="31" t="n">
        <v>78076.06153799999</v>
      </c>
      <c r="H25" s="31" t="n">
        <v>77322.60000000001</v>
      </c>
      <c r="I25" s="31" t="n">
        <v>77406.521739</v>
      </c>
      <c r="J25" s="31" t="n">
        <v>78330.51428600001</v>
      </c>
      <c r="K25" s="31" t="n">
        <v>78392.334066</v>
      </c>
      <c r="L25" s="31" t="n">
        <v>77589.886957</v>
      </c>
      <c r="M25" s="31" t="n">
        <v>77627.947826</v>
      </c>
      <c r="N25" s="31" t="n">
        <v>79380</v>
      </c>
      <c r="O25" s="31" t="n">
        <v>78413.675239</v>
      </c>
      <c r="P25" s="31" t="n">
        <v>77464.975896</v>
      </c>
      <c r="Q25" s="31" t="n">
        <v>77365.21735399999</v>
      </c>
      <c r="R25" s="31" t="n">
        <v>78979.01233300001</v>
      </c>
      <c r="S25" s="31" t="n">
        <v>78003.418816</v>
      </c>
      <c r="T25" s="31" t="n">
        <v>77045.65221099999</v>
      </c>
      <c r="U25" s="31" t="n">
        <v>76932.367101</v>
      </c>
      <c r="V25" s="31" t="n">
        <v>78522.71602399999</v>
      </c>
      <c r="W25" s="31" t="n">
        <v>77538.461538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300000</v>
      </c>
      <c r="D26" s="31" t="n">
        <v>638653.886685</v>
      </c>
      <c r="E26" s="31" t="n">
        <v>635635.23402</v>
      </c>
      <c r="F26" s="31" t="n">
        <v>637012.42808</v>
      </c>
      <c r="G26" s="31" t="n">
        <v>631380.427638</v>
      </c>
      <c r="H26" s="31" t="n">
        <v>627009.240847</v>
      </c>
      <c r="I26" s="31" t="n">
        <v>623337.9465120001</v>
      </c>
      <c r="J26" s="31" t="n">
        <v>621814.533431</v>
      </c>
      <c r="K26" s="31" t="n">
        <v>621717.857523</v>
      </c>
      <c r="L26" s="31" t="n">
        <v>633774.117502</v>
      </c>
      <c r="M26" s="31" t="n">
        <v>661420.183003</v>
      </c>
      <c r="N26" s="31" t="n">
        <v>707151.364619</v>
      </c>
      <c r="O26" s="31" t="n">
        <v>727507.13517</v>
      </c>
      <c r="P26" s="31" t="n">
        <v>724754.776893</v>
      </c>
      <c r="Q26" s="31" t="n">
        <v>722358.0953329999</v>
      </c>
      <c r="R26" s="31" t="n">
        <v>724770.668952</v>
      </c>
      <c r="S26" s="31" t="n">
        <v>719848.529543</v>
      </c>
      <c r="T26" s="31" t="n">
        <v>716976.3398430001</v>
      </c>
      <c r="U26" s="31" t="n">
        <v>714421.781167</v>
      </c>
      <c r="V26" s="31" t="n">
        <v>716717.4158120001</v>
      </c>
      <c r="W26" s="31" t="n">
        <v>711615.544215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1200000</v>
      </c>
      <c r="D27" s="31" t="n">
        <v>1207976.4</v>
      </c>
      <c r="E27" s="31" t="n">
        <v>1215586.65132</v>
      </c>
      <c r="F27" s="31" t="n">
        <v>1222824.254242</v>
      </c>
      <c r="G27" s="31" t="n">
        <v>1229684.298308</v>
      </c>
      <c r="H27" s="31" t="n">
        <v>1236162.275191</v>
      </c>
      <c r="I27" s="31" t="n">
        <v>1242254.082884</v>
      </c>
      <c r="J27" s="31" t="n">
        <v>1247953.544616</v>
      </c>
      <c r="K27" s="31" t="n">
        <v>1253256.099228</v>
      </c>
      <c r="L27" s="31" t="n">
        <v>1258157.583832</v>
      </c>
      <c r="M27" s="31" t="n">
        <v>1262652.980879</v>
      </c>
      <c r="N27" s="31" t="n">
        <v>1266737.663271</v>
      </c>
      <c r="O27" s="31" t="n">
        <v>1270408.66902</v>
      </c>
      <c r="P27" s="31" t="n">
        <v>1273660.915212</v>
      </c>
      <c r="Q27" s="31" t="n">
        <v>1276489.716105</v>
      </c>
      <c r="R27" s="31" t="n">
        <v>1278892.069751</v>
      </c>
      <c r="S27" s="31" t="n">
        <v>1280864.121323</v>
      </c>
      <c r="T27" s="31" t="n">
        <v>1282401.158269</v>
      </c>
      <c r="U27" s="31" t="n">
        <v>1283500.176061</v>
      </c>
      <c r="V27" s="31" t="n">
        <v>1284158.611651</v>
      </c>
      <c r="W27" s="31" t="n">
        <v>1284371.781981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-420</v>
      </c>
      <c r="E28" s="31" t="n">
        <v>-1261.959551</v>
      </c>
      <c r="F28" s="31" t="n">
        <v>-2529.816428</v>
      </c>
      <c r="G28" s="31" t="n">
        <v>-4225.873669</v>
      </c>
      <c r="H28" s="31" t="n">
        <v>-6351.997821</v>
      </c>
      <c r="I28" s="31" t="n">
        <v>-8909.617568</v>
      </c>
      <c r="J28" s="31" t="n">
        <v>-11902.207654</v>
      </c>
      <c r="K28" s="31" t="n">
        <v>-15331.583994</v>
      </c>
      <c r="L28" s="31" t="n">
        <v>-19199.132316</v>
      </c>
      <c r="M28" s="31" t="n">
        <v>-23507.063883</v>
      </c>
      <c r="N28" s="31" t="n">
        <v>-28257.164398</v>
      </c>
      <c r="O28" s="31" t="n">
        <v>-33449.522079</v>
      </c>
      <c r="P28" s="31" t="n">
        <v>-39086.325344</v>
      </c>
      <c r="Q28" s="31" t="n">
        <v>-45169.329875</v>
      </c>
      <c r="R28" s="31" t="n">
        <v>-51698.574773</v>
      </c>
      <c r="S28" s="31" t="n">
        <v>-58674.931013</v>
      </c>
      <c r="T28" s="31" t="n">
        <v>-66100.100324</v>
      </c>
      <c r="U28" s="31" t="n">
        <v>-73974.04343600001</v>
      </c>
      <c r="V28" s="31" t="n">
        <v>-82296.25857799999</v>
      </c>
      <c r="W28" s="31" t="n">
        <v>-91068.34605399999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1554000</v>
      </c>
      <c r="D29" s="31" t="n">
        <v>1897930.286685</v>
      </c>
      <c r="E29" s="31" t="n">
        <v>1899821.885341</v>
      </c>
      <c r="F29" s="31" t="n">
        <v>1905736.682322</v>
      </c>
      <c r="G29" s="31" t="n">
        <v>1904264.725947</v>
      </c>
      <c r="H29" s="31" t="n">
        <v>1903671.516038</v>
      </c>
      <c r="I29" s="31" t="n">
        <v>1903392.029396</v>
      </c>
      <c r="J29" s="31" t="n">
        <v>1904868.078047</v>
      </c>
      <c r="K29" s="31" t="n">
        <v>1907373.95675</v>
      </c>
      <c r="L29" s="31" t="n">
        <v>1921631.701334</v>
      </c>
      <c r="M29" s="31" t="n">
        <v>1951073.163882</v>
      </c>
      <c r="N29" s="31" t="n">
        <v>1998189.027891</v>
      </c>
      <c r="O29" s="31" t="n">
        <v>2019515.80419</v>
      </c>
      <c r="P29" s="31" t="n">
        <v>2017315.692106</v>
      </c>
      <c r="Q29" s="31" t="n">
        <v>2015047.811438</v>
      </c>
      <c r="R29" s="31" t="n">
        <v>2017162.738703</v>
      </c>
      <c r="S29" s="31" t="n">
        <v>2011512.650866</v>
      </c>
      <c r="T29" s="31" t="n">
        <v>2007477.498111</v>
      </c>
      <c r="U29" s="31" t="n">
        <v>2003321.957228</v>
      </c>
      <c r="V29" s="31" t="n">
        <v>2003576.027463</v>
      </c>
      <c r="W29" s="31" t="n">
        <v>1995987.326196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70000</v>
      </c>
      <c r="D30" s="31" t="n">
        <v>159294.130435</v>
      </c>
      <c r="E30" s="31" t="n">
        <v>156089.142391</v>
      </c>
      <c r="F30" s="31" t="n">
        <v>156194.32</v>
      </c>
      <c r="G30" s="31" t="n">
        <v>151064.584615</v>
      </c>
      <c r="H30" s="31" t="n">
        <v>146875.982609</v>
      </c>
      <c r="I30" s="31" t="n">
        <v>143326.548913</v>
      </c>
      <c r="J30" s="31" t="n">
        <v>141224.808791</v>
      </c>
      <c r="K30" s="31" t="n">
        <v>137459.228571</v>
      </c>
      <c r="L30" s="31" t="n">
        <v>133095.143478</v>
      </c>
      <c r="M30" s="31" t="n">
        <v>129193.281522</v>
      </c>
      <c r="N30" s="31" t="n">
        <v>127984.333333</v>
      </c>
      <c r="O30" s="31" t="n">
        <v>125302.271085</v>
      </c>
      <c r="P30" s="31" t="n">
        <v>123637.898594</v>
      </c>
      <c r="Q30" s="31" t="n">
        <v>122350.760838</v>
      </c>
      <c r="R30" s="31" t="n">
        <v>123740.962952</v>
      </c>
      <c r="S30" s="31" t="n">
        <v>121054.249095</v>
      </c>
      <c r="T30" s="31" t="n">
        <v>119414.021769</v>
      </c>
      <c r="U30" s="31" t="n">
        <v>118076.159382</v>
      </c>
      <c r="V30" s="31" t="n">
        <v>119319.518499</v>
      </c>
      <c r="W30" s="31" t="n">
        <v>116630.10989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15375</v>
      </c>
      <c r="E31" s="31" t="n">
        <v>15535.8</v>
      </c>
      <c r="F31" s="31" t="n">
        <v>15697.2</v>
      </c>
      <c r="G31" s="31" t="n">
        <v>15859.2</v>
      </c>
      <c r="H31" s="31" t="n">
        <v>16021.8</v>
      </c>
      <c r="I31" s="31" t="n">
        <v>16185</v>
      </c>
      <c r="J31" s="31" t="n">
        <v>16348.8</v>
      </c>
      <c r="K31" s="31" t="n">
        <v>16513.2</v>
      </c>
      <c r="L31" s="31" t="n">
        <v>16678.2</v>
      </c>
      <c r="M31" s="31" t="n">
        <v>16843.8</v>
      </c>
      <c r="N31" s="31" t="n">
        <v>17010</v>
      </c>
      <c r="O31" s="31" t="n">
        <v>17080.000006</v>
      </c>
      <c r="P31" s="31" t="n">
        <v>17150.000011</v>
      </c>
      <c r="Q31" s="31" t="n">
        <v>17219.999992</v>
      </c>
      <c r="R31" s="31" t="n">
        <v>17289.999997</v>
      </c>
      <c r="S31" s="31" t="n">
        <v>17360.000003</v>
      </c>
      <c r="T31" s="31" t="n">
        <v>17430.000008</v>
      </c>
      <c r="U31" s="31" t="n">
        <v>17499.999989</v>
      </c>
      <c r="V31" s="31" t="n">
        <v>17569.999994</v>
      </c>
      <c r="W31" s="31" t="n">
        <v>17640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90000</v>
      </c>
      <c r="E32" s="31" t="n">
        <v>90000</v>
      </c>
      <c r="F32" s="31" t="n">
        <v>90000</v>
      </c>
      <c r="G32" s="31" t="n">
        <v>90000</v>
      </c>
      <c r="H32" s="31" t="n">
        <v>90000</v>
      </c>
      <c r="I32" s="31" t="n">
        <v>90000</v>
      </c>
      <c r="J32" s="31" t="n">
        <v>90000</v>
      </c>
      <c r="K32" s="31" t="n">
        <v>105099</v>
      </c>
      <c r="L32" s="31" t="n">
        <v>134465</v>
      </c>
      <c r="M32" s="31" t="n">
        <v>167231</v>
      </c>
      <c r="N32" s="31" t="n">
        <v>202365</v>
      </c>
      <c r="O32" s="31" t="n">
        <v>164901</v>
      </c>
      <c r="P32" s="31" t="n">
        <v>113035</v>
      </c>
      <c r="Q32" s="31" t="n">
        <v>57769</v>
      </c>
      <c r="R32" s="31" t="n">
        <v>135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70000</v>
      </c>
      <c r="D34" s="31" t="n">
        <v>249294.130435</v>
      </c>
      <c r="E34" s="31" t="n">
        <v>246089.142391</v>
      </c>
      <c r="F34" s="31" t="n">
        <v>246194.32</v>
      </c>
      <c r="G34" s="31" t="n">
        <v>241064.584615</v>
      </c>
      <c r="H34" s="31" t="n">
        <v>236875.982609</v>
      </c>
      <c r="I34" s="31" t="n">
        <v>233326.548913</v>
      </c>
      <c r="J34" s="31" t="n">
        <v>231224.808791</v>
      </c>
      <c r="K34" s="31" t="n">
        <v>242558.228571</v>
      </c>
      <c r="L34" s="31" t="n">
        <v>267560.143478</v>
      </c>
      <c r="M34" s="31" t="n">
        <v>296424.281522</v>
      </c>
      <c r="N34" s="31" t="n">
        <v>330349.333333</v>
      </c>
      <c r="O34" s="31" t="n">
        <v>290203.271085</v>
      </c>
      <c r="P34" s="31" t="n">
        <v>236672.898594</v>
      </c>
      <c r="Q34" s="31" t="n">
        <v>180119.760838</v>
      </c>
      <c r="R34" s="31" t="n">
        <v>123875.962952</v>
      </c>
      <c r="S34" s="31" t="n">
        <v>121054.249095</v>
      </c>
      <c r="T34" s="31" t="n">
        <v>119414.021769</v>
      </c>
      <c r="U34" s="31" t="n">
        <v>118076.159382</v>
      </c>
      <c r="V34" s="31" t="n">
        <v>119319.518499</v>
      </c>
      <c r="W34" s="31" t="n">
        <v>116630.10989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450000</v>
      </c>
      <c r="D35" s="31" t="n">
        <v>337500</v>
      </c>
      <c r="E35" s="31" t="n">
        <v>315000</v>
      </c>
      <c r="F35" s="31" t="n">
        <v>292500</v>
      </c>
      <c r="G35" s="31" t="n">
        <v>270000</v>
      </c>
      <c r="H35" s="31" t="n">
        <v>247500</v>
      </c>
      <c r="I35" s="31" t="n">
        <v>225000</v>
      </c>
      <c r="J35" s="31" t="n">
        <v>202500</v>
      </c>
      <c r="K35" s="31" t="n">
        <v>164901</v>
      </c>
      <c r="L35" s="31" t="n">
        <v>113035</v>
      </c>
      <c r="M35" s="31" t="n">
        <v>57769</v>
      </c>
      <c r="N35" s="31" t="n">
        <v>135</v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574000</v>
      </c>
      <c r="D36" s="31" t="n">
        <v>623294.1304350001</v>
      </c>
      <c r="E36" s="31" t="n">
        <v>580089.1423909999</v>
      </c>
      <c r="F36" s="31" t="n">
        <v>540194.3199999999</v>
      </c>
      <c r="G36" s="31" t="n">
        <v>511064.584615</v>
      </c>
      <c r="H36" s="31" t="n">
        <v>484375.982609</v>
      </c>
      <c r="I36" s="31" t="n">
        <v>458326.548913</v>
      </c>
      <c r="J36" s="31" t="n">
        <v>433724.808791</v>
      </c>
      <c r="K36" s="31" t="n">
        <v>407459.228571</v>
      </c>
      <c r="L36" s="31" t="n">
        <v>380595.143478</v>
      </c>
      <c r="M36" s="31" t="n">
        <v>354193.281522</v>
      </c>
      <c r="N36" s="31" t="n">
        <v>330484.333333</v>
      </c>
      <c r="O36" s="31" t="n">
        <v>290203.271085</v>
      </c>
      <c r="P36" s="31" t="n">
        <v>236672.898594</v>
      </c>
      <c r="Q36" s="31" t="n">
        <v>180119.760838</v>
      </c>
      <c r="R36" s="31" t="n">
        <v>123875.962952</v>
      </c>
      <c r="S36" s="31" t="n">
        <v>121054.249095</v>
      </c>
      <c r="T36" s="31" t="n">
        <v>119414.021769</v>
      </c>
      <c r="U36" s="31" t="n">
        <v>118076.159382</v>
      </c>
      <c r="V36" s="31" t="n">
        <v>119319.518499</v>
      </c>
      <c r="W36" s="31" t="n">
        <v>116630.10989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650000</v>
      </c>
      <c r="D37" s="31" t="n">
        <v>1032528</v>
      </c>
      <c r="E37" s="31" t="n">
        <v>1147736</v>
      </c>
      <c r="F37" s="31" t="n">
        <v>1245538</v>
      </c>
      <c r="G37" s="31" t="n">
        <v>1306727</v>
      </c>
      <c r="H37" s="31" t="n">
        <v>1350727</v>
      </c>
      <c r="I37" s="31" t="n">
        <v>1375881</v>
      </c>
      <c r="J37" s="31" t="n">
        <v>1387393</v>
      </c>
      <c r="K37" s="31" t="n">
        <v>1387393</v>
      </c>
      <c r="L37" s="31" t="n">
        <v>1387393</v>
      </c>
      <c r="M37" s="31" t="n">
        <v>1387393</v>
      </c>
      <c r="N37" s="31" t="n">
        <v>1387393</v>
      </c>
      <c r="O37" s="31" t="n">
        <v>1387393</v>
      </c>
      <c r="P37" s="31" t="n">
        <v>1387393</v>
      </c>
      <c r="Q37" s="31" t="n">
        <v>1387393</v>
      </c>
      <c r="R37" s="31" t="n">
        <v>1387393</v>
      </c>
      <c r="S37" s="31" t="n">
        <v>1387393</v>
      </c>
      <c r="T37" s="31" t="n">
        <v>1387393</v>
      </c>
      <c r="U37" s="31" t="n">
        <v>1387393</v>
      </c>
      <c r="V37" s="31" t="n">
        <v>1387393</v>
      </c>
      <c r="W37" s="31" t="n">
        <v>1387393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330000</v>
      </c>
      <c r="D38" s="31" t="n">
        <v>242108.15625</v>
      </c>
      <c r="E38" s="31" t="n">
        <v>171996.742949</v>
      </c>
      <c r="F38" s="31" t="n">
        <v>120004.362322</v>
      </c>
      <c r="G38" s="31" t="n">
        <v>86473.14133100001</v>
      </c>
      <c r="H38" s="31" t="n">
        <v>68568.533429</v>
      </c>
      <c r="I38" s="31" t="n">
        <v>69184.48048300001</v>
      </c>
      <c r="J38" s="31" t="n">
        <v>83750.269256</v>
      </c>
      <c r="K38" s="31" t="n">
        <v>112521.728179</v>
      </c>
      <c r="L38" s="31" t="n">
        <v>153643.557856</v>
      </c>
      <c r="M38" s="31" t="n">
        <v>209486.88236</v>
      </c>
      <c r="N38" s="31" t="n">
        <v>280311.694557</v>
      </c>
      <c r="O38" s="31" t="n">
        <v>341919.533105</v>
      </c>
      <c r="P38" s="31" t="n">
        <v>393249.793511</v>
      </c>
      <c r="Q38" s="31" t="n">
        <v>447535.0506</v>
      </c>
      <c r="R38" s="31" t="n">
        <v>505893.775751</v>
      </c>
      <c r="S38" s="31" t="n">
        <v>503065.401772</v>
      </c>
      <c r="T38" s="31" t="n">
        <v>500670.476343</v>
      </c>
      <c r="U38" s="31" t="n">
        <v>497852.797846</v>
      </c>
      <c r="V38" s="31" t="n">
        <v>496863.508964</v>
      </c>
      <c r="W38" s="31" t="n">
        <v>491964.216306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980000</v>
      </c>
      <c r="D40" s="31" t="n">
        <v>1274636.15625</v>
      </c>
      <c r="E40" s="31" t="n">
        <v>1319732.742949</v>
      </c>
      <c r="F40" s="31" t="n">
        <v>1365542.362322</v>
      </c>
      <c r="G40" s="31" t="n">
        <v>1393200.141331</v>
      </c>
      <c r="H40" s="31" t="n">
        <v>1419295.533429</v>
      </c>
      <c r="I40" s="31" t="n">
        <v>1445065.480483</v>
      </c>
      <c r="J40" s="31" t="n">
        <v>1471143.269256</v>
      </c>
      <c r="K40" s="31" t="n">
        <v>1499914.728179</v>
      </c>
      <c r="L40" s="31" t="n">
        <v>1541036.557856</v>
      </c>
      <c r="M40" s="31" t="n">
        <v>1596879.88236</v>
      </c>
      <c r="N40" s="31" t="n">
        <v>1667704.694557</v>
      </c>
      <c r="O40" s="31" t="n">
        <v>1729312.533105</v>
      </c>
      <c r="P40" s="31" t="n">
        <v>1780642.793511</v>
      </c>
      <c r="Q40" s="31" t="n">
        <v>1834928.0506</v>
      </c>
      <c r="R40" s="31" t="n">
        <v>1893286.775751</v>
      </c>
      <c r="S40" s="31" t="n">
        <v>1890458.401772</v>
      </c>
      <c r="T40" s="31" t="n">
        <v>1888063.476343</v>
      </c>
      <c r="U40" s="31" t="n">
        <v>1885245.797846</v>
      </c>
      <c r="V40" s="31" t="n">
        <v>1884256.508964</v>
      </c>
      <c r="W40" s="31" t="n">
        <v>1879357.216306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1554000</v>
      </c>
      <c r="D41" s="31" t="n">
        <v>1897930.286685</v>
      </c>
      <c r="E41" s="31" t="n">
        <v>1899821.885341</v>
      </c>
      <c r="F41" s="31" t="n">
        <v>1905736.682322</v>
      </c>
      <c r="G41" s="31" t="n">
        <v>1904264.725947</v>
      </c>
      <c r="H41" s="31" t="n">
        <v>1903671.516038</v>
      </c>
      <c r="I41" s="31" t="n">
        <v>1903392.029396</v>
      </c>
      <c r="J41" s="31" t="n">
        <v>1904868.078047</v>
      </c>
      <c r="K41" s="31" t="n">
        <v>1907373.95675</v>
      </c>
      <c r="L41" s="31" t="n">
        <v>1921631.701334</v>
      </c>
      <c r="M41" s="31" t="n">
        <v>1951073.163882</v>
      </c>
      <c r="N41" s="31" t="n">
        <v>1998189.027891</v>
      </c>
      <c r="O41" s="31" t="n">
        <v>2019515.80419</v>
      </c>
      <c r="P41" s="31" t="n">
        <v>2017315.692106</v>
      </c>
      <c r="Q41" s="31" t="n">
        <v>2015047.811438</v>
      </c>
      <c r="R41" s="31" t="n">
        <v>2017162.738703</v>
      </c>
      <c r="S41" s="31" t="n">
        <v>2011512.650866</v>
      </c>
      <c r="T41" s="31" t="n">
        <v>2007477.498111</v>
      </c>
      <c r="U41" s="31" t="n">
        <v>2003321.957228</v>
      </c>
      <c r="V41" s="31" t="n">
        <v>2003576.027463</v>
      </c>
      <c r="W41" s="31" t="n">
        <v>1995987.326196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180000</v>
      </c>
      <c r="D45" s="31" t="n">
        <v>180000</v>
      </c>
      <c r="E45" s="31" t="n">
        <v>421064.212772</v>
      </c>
      <c r="F45" s="31" t="n">
        <v>416445.360107</v>
      </c>
      <c r="G45" s="31" t="n">
        <v>411670.401413</v>
      </c>
      <c r="H45" s="31" t="n">
        <v>406737.473792</v>
      </c>
      <c r="I45" s="31" t="n">
        <v>403052.340847</v>
      </c>
      <c r="J45" s="31" t="n">
        <v>397803.489991</v>
      </c>
      <c r="K45" s="31" t="n">
        <v>392392.362002</v>
      </c>
      <c r="L45" s="31" t="n">
        <v>390714.521259</v>
      </c>
      <c r="M45" s="31" t="n">
        <v>403542.443589</v>
      </c>
      <c r="N45" s="31" t="n">
        <v>429634.848221</v>
      </c>
      <c r="O45" s="31" t="n">
        <v>469011.364619</v>
      </c>
      <c r="P45" s="31" t="n">
        <v>491244.22911</v>
      </c>
      <c r="Q45" s="31" t="n">
        <v>490330.018286</v>
      </c>
      <c r="R45" s="31" t="n">
        <v>487392.443274</v>
      </c>
      <c r="S45" s="31" t="n">
        <v>484418.323312</v>
      </c>
      <c r="T45" s="31" t="n">
        <v>481408.187624</v>
      </c>
      <c r="U45" s="31" t="n">
        <v>480408.29625</v>
      </c>
      <c r="V45" s="31" t="n">
        <v>477326.370691</v>
      </c>
      <c r="W45" s="31" t="n">
        <v>474208.033173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229496.678602</v>
      </c>
      <c r="D46" s="31" t="n">
        <v>-87891.84375</v>
      </c>
      <c r="E46" s="31" t="n">
        <v>-70111.41330099999</v>
      </c>
      <c r="F46" s="31" t="n">
        <v>-51992.380627</v>
      </c>
      <c r="G46" s="31" t="n">
        <v>-33531.220991</v>
      </c>
      <c r="H46" s="31" t="n">
        <v>-17904.607902</v>
      </c>
      <c r="I46" s="31" t="n">
        <v>615.947054</v>
      </c>
      <c r="J46" s="31" t="n">
        <v>14565.788773</v>
      </c>
      <c r="K46" s="31" t="n">
        <v>28771.458923</v>
      </c>
      <c r="L46" s="31" t="n">
        <v>41121.829677</v>
      </c>
      <c r="M46" s="31" t="n">
        <v>55843.324504</v>
      </c>
      <c r="N46" s="31" t="n">
        <v>70824.81219700001</v>
      </c>
      <c r="O46" s="31" t="n">
        <v>76705.838548</v>
      </c>
      <c r="P46" s="31" t="n">
        <v>80695.260406</v>
      </c>
      <c r="Q46" s="31" t="n">
        <v>87050.25708900001</v>
      </c>
      <c r="R46" s="31" t="n">
        <v>93493.72515100001</v>
      </c>
      <c r="S46" s="31" t="n">
        <v>99510.62602</v>
      </c>
      <c r="T46" s="31" t="n">
        <v>102837.074571</v>
      </c>
      <c r="U46" s="31" t="n">
        <v>108444.321504</v>
      </c>
      <c r="V46" s="31" t="n">
        <v>114091.711118</v>
      </c>
      <c r="W46" s="31" t="n">
        <v>119777.707342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3120</v>
      </c>
      <c r="E47" s="31" t="n">
        <v>3541.959551</v>
      </c>
      <c r="F47" s="31" t="n">
        <v>3967.856877</v>
      </c>
      <c r="G47" s="31" t="n">
        <v>4396.057241</v>
      </c>
      <c r="H47" s="31" t="n">
        <v>4826.124152</v>
      </c>
      <c r="I47" s="31" t="n">
        <v>5257.619747</v>
      </c>
      <c r="J47" s="31" t="n">
        <v>5692.590086</v>
      </c>
      <c r="K47" s="31" t="n">
        <v>6129.376341</v>
      </c>
      <c r="L47" s="31" t="n">
        <v>6567.548322</v>
      </c>
      <c r="M47" s="31" t="n">
        <v>7007.931567</v>
      </c>
      <c r="N47" s="31" t="n">
        <v>7450.100514</v>
      </c>
      <c r="O47" s="31" t="n">
        <v>7892.357682</v>
      </c>
      <c r="P47" s="31" t="n">
        <v>8336.803264</v>
      </c>
      <c r="Q47" s="31" t="n">
        <v>8783.004531</v>
      </c>
      <c r="R47" s="31" t="n">
        <v>9229.244898000001</v>
      </c>
      <c r="S47" s="31" t="n">
        <v>9676.356239999999</v>
      </c>
      <c r="T47" s="31" t="n">
        <v>10125.169311</v>
      </c>
      <c r="U47" s="31" t="n">
        <v>10573.943112</v>
      </c>
      <c r="V47" s="31" t="n">
        <v>11022.215142</v>
      </c>
      <c r="W47" s="31" t="n">
        <v>11472.087476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-97589.67391300001</v>
      </c>
      <c r="E48" s="31" t="n">
        <v>-1600.2</v>
      </c>
      <c r="F48" s="31" t="n">
        <v>-6152.152754</v>
      </c>
      <c r="G48" s="31" t="n">
        <v>699.072821</v>
      </c>
      <c r="H48" s="31" t="n">
        <v>686.053846</v>
      </c>
      <c r="I48" s="31" t="n">
        <v>-1577.556522</v>
      </c>
      <c r="J48" s="31" t="n">
        <v>-3887.714907</v>
      </c>
      <c r="K48" s="31" t="n">
        <v>-1581.164835</v>
      </c>
      <c r="L48" s="31" t="n">
        <v>771.6623509999999</v>
      </c>
      <c r="M48" s="31" t="n">
        <v>-1553.66087</v>
      </c>
      <c r="N48" s="31" t="n">
        <v>-6354.665217</v>
      </c>
      <c r="O48" s="31" t="n">
        <v>1877.09394</v>
      </c>
      <c r="P48" s="31" t="n">
        <v>1838.147453</v>
      </c>
      <c r="Q48" s="31" t="n">
        <v>-540.893452</v>
      </c>
      <c r="R48" s="31" t="n">
        <v>-5386.693581</v>
      </c>
      <c r="S48" s="31" t="n">
        <v>1912.003721</v>
      </c>
      <c r="T48" s="31" t="n">
        <v>1872.298327</v>
      </c>
      <c r="U48" s="31" t="n">
        <v>-527.366884</v>
      </c>
      <c r="V48" s="31" t="n">
        <v>-5413.972162</v>
      </c>
      <c r="W48" s="31" t="n">
        <v>1946.305716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89294.130435</v>
      </c>
      <c r="E49" s="31" t="n">
        <v>-3204.988043</v>
      </c>
      <c r="F49" s="31" t="n">
        <v>105.177609</v>
      </c>
      <c r="G49" s="31" t="n">
        <v>-5129.735385</v>
      </c>
      <c r="H49" s="31" t="n">
        <v>-4188.602007</v>
      </c>
      <c r="I49" s="31" t="n">
        <v>-3549.433696</v>
      </c>
      <c r="J49" s="31" t="n">
        <v>-2101.740122</v>
      </c>
      <c r="K49" s="31" t="n">
        <v>-3765.58022</v>
      </c>
      <c r="L49" s="31" t="n">
        <v>-4364.085093</v>
      </c>
      <c r="M49" s="31" t="n">
        <v>-3901.861957</v>
      </c>
      <c r="N49" s="31" t="n">
        <v>-1208.948188</v>
      </c>
      <c r="O49" s="31" t="n">
        <v>-2682.062248</v>
      </c>
      <c r="P49" s="31" t="n">
        <v>-1664.37249</v>
      </c>
      <c r="Q49" s="31" t="n">
        <v>-1287.137757</v>
      </c>
      <c r="R49" s="31" t="n">
        <v>1390.202115</v>
      </c>
      <c r="S49" s="31" t="n">
        <v>-2686.713858</v>
      </c>
      <c r="T49" s="31" t="n">
        <v>-1640.227326</v>
      </c>
      <c r="U49" s="31" t="n">
        <v>-1337.862387</v>
      </c>
      <c r="V49" s="31" t="n">
        <v>1243.359118</v>
      </c>
      <c r="W49" s="31" t="n">
        <v>-2689.408609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-93067.38722800001</v>
      </c>
      <c r="E50" s="31" t="n">
        <v>-71374.641793</v>
      </c>
      <c r="F50" s="31" t="n">
        <v>-54071.498895</v>
      </c>
      <c r="G50" s="31" t="n">
        <v>-33565.826314</v>
      </c>
      <c r="H50" s="31" t="n">
        <v>-16581.031911</v>
      </c>
      <c r="I50" s="31" t="n">
        <v>746.576584</v>
      </c>
      <c r="J50" s="31" t="n">
        <v>14268.92383</v>
      </c>
      <c r="K50" s="31" t="n">
        <v>29554.090209</v>
      </c>
      <c r="L50" s="31" t="n">
        <v>44096.955256</v>
      </c>
      <c r="M50" s="31" t="n">
        <v>57395.733245</v>
      </c>
      <c r="N50" s="31" t="n">
        <v>70711.299306</v>
      </c>
      <c r="O50" s="31" t="n">
        <v>83793.22792</v>
      </c>
      <c r="P50" s="31" t="n">
        <v>89205.83863300001</v>
      </c>
      <c r="Q50" s="31" t="n">
        <v>94005.230411</v>
      </c>
      <c r="R50" s="31" t="n">
        <v>98726.478582</v>
      </c>
      <c r="S50" s="31" t="n">
        <v>108412.272124</v>
      </c>
      <c r="T50" s="31" t="n">
        <v>113194.314883</v>
      </c>
      <c r="U50" s="31" t="n">
        <v>117153.035345</v>
      </c>
      <c r="V50" s="31" t="n">
        <v>120943.313214</v>
      </c>
      <c r="W50" s="31" t="n">
        <v>130506.691925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8396.4</v>
      </c>
      <c r="E51" s="31" t="n">
        <v>8452.210870999999</v>
      </c>
      <c r="F51" s="31" t="n">
        <v>8505.459799</v>
      </c>
      <c r="G51" s="31" t="n">
        <v>8556.101307000001</v>
      </c>
      <c r="H51" s="31" t="n">
        <v>8604.101035</v>
      </c>
      <c r="I51" s="31" t="n">
        <v>8649.427439999999</v>
      </c>
      <c r="J51" s="31" t="n">
        <v>8692.051818</v>
      </c>
      <c r="K51" s="31" t="n">
        <v>8731.930952000001</v>
      </c>
      <c r="L51" s="31" t="n">
        <v>8769.032926</v>
      </c>
      <c r="M51" s="31" t="n">
        <v>8803.328614</v>
      </c>
      <c r="N51" s="31" t="n">
        <v>8834.782907000001</v>
      </c>
      <c r="O51" s="31" t="n">
        <v>8863.363429999999</v>
      </c>
      <c r="P51" s="31" t="n">
        <v>8889.049456999999</v>
      </c>
      <c r="Q51" s="31" t="n">
        <v>8911.805424</v>
      </c>
      <c r="R51" s="31" t="n">
        <v>8931.598544</v>
      </c>
      <c r="S51" s="31" t="n">
        <v>8948.407811999999</v>
      </c>
      <c r="T51" s="31" t="n">
        <v>8962.206257</v>
      </c>
      <c r="U51" s="31" t="n">
        <v>8972.960904</v>
      </c>
      <c r="V51" s="31" t="n">
        <v>8980.650732</v>
      </c>
      <c r="W51" s="31" t="n">
        <v>8985.257806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-8396.4</v>
      </c>
      <c r="E52" s="31" t="n">
        <v>-8452.210870999999</v>
      </c>
      <c r="F52" s="31" t="n">
        <v>-8505.459799</v>
      </c>
      <c r="G52" s="31" t="n">
        <v>-8556.101307000001</v>
      </c>
      <c r="H52" s="31" t="n">
        <v>-8604.101035</v>
      </c>
      <c r="I52" s="31" t="n">
        <v>-8649.427439999999</v>
      </c>
      <c r="J52" s="31" t="n">
        <v>-8692.051818</v>
      </c>
      <c r="K52" s="31" t="n">
        <v>-8731.930952000001</v>
      </c>
      <c r="L52" s="31" t="n">
        <v>-8769.032926</v>
      </c>
      <c r="M52" s="31" t="n">
        <v>-8803.328614</v>
      </c>
      <c r="N52" s="31" t="n">
        <v>-8834.782907000001</v>
      </c>
      <c r="O52" s="31" t="n">
        <v>-8863.363429999999</v>
      </c>
      <c r="P52" s="31" t="n">
        <v>-8889.049456999999</v>
      </c>
      <c r="Q52" s="31" t="n">
        <v>-8911.805424</v>
      </c>
      <c r="R52" s="31" t="n">
        <v>-8931.598544</v>
      </c>
      <c r="S52" s="31" t="n">
        <v>-8948.407811999999</v>
      </c>
      <c r="T52" s="31" t="n">
        <v>-8962.206257</v>
      </c>
      <c r="U52" s="31" t="n">
        <v>-8972.960904</v>
      </c>
      <c r="V52" s="31" t="n">
        <v>-8980.650732</v>
      </c>
      <c r="W52" s="31" t="n">
        <v>-8985.257806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-22500</v>
      </c>
      <c r="E54" s="31" t="n">
        <v>-22500</v>
      </c>
      <c r="F54" s="31" t="n">
        <v>-22500</v>
      </c>
      <c r="G54" s="31" t="n">
        <v>-22500</v>
      </c>
      <c r="H54" s="31" t="n">
        <v>-22500</v>
      </c>
      <c r="I54" s="31" t="n">
        <v>-22500</v>
      </c>
      <c r="J54" s="31" t="n">
        <v>-22500</v>
      </c>
      <c r="K54" s="31" t="n">
        <v>-22500</v>
      </c>
      <c r="L54" s="31" t="n">
        <v>-22500</v>
      </c>
      <c r="M54" s="31" t="n">
        <v>-22500</v>
      </c>
      <c r="N54" s="31" t="n">
        <v>-22500</v>
      </c>
      <c r="O54" s="31" t="n">
        <v>-37599</v>
      </c>
      <c r="P54" s="31" t="n">
        <v>-51866</v>
      </c>
      <c r="Q54" s="31" t="n">
        <v>-55266</v>
      </c>
      <c r="R54" s="31" t="n">
        <v>-57634</v>
      </c>
      <c r="S54" s="31" t="n">
        <v>-135</v>
      </c>
      <c r="T54" s="31" t="n">
        <v>-0</v>
      </c>
      <c r="U54" s="31" t="n">
        <v>-0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382528</v>
      </c>
      <c r="E55" s="31" t="n">
        <v>115208</v>
      </c>
      <c r="F55" s="31" t="n">
        <v>97802</v>
      </c>
      <c r="G55" s="31" t="n">
        <v>61189</v>
      </c>
      <c r="H55" s="31" t="n">
        <v>44000</v>
      </c>
      <c r="I55" s="31" t="n">
        <v>25154</v>
      </c>
      <c r="J55" s="31" t="n">
        <v>11512</v>
      </c>
      <c r="K55" s="31" t="n">
        <v>0</v>
      </c>
      <c r="L55" s="31" t="n">
        <v>0</v>
      </c>
      <c r="M55" s="31" t="n">
        <v>0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15098</v>
      </c>
      <c r="P56" s="31" t="n">
        <v>29365</v>
      </c>
      <c r="Q56" s="31" t="n">
        <v>32765</v>
      </c>
      <c r="R56" s="31" t="n">
        <v>35135</v>
      </c>
      <c r="S56" s="31" t="n">
        <v>102339</v>
      </c>
      <c r="T56" s="31" t="n">
        <v>105232</v>
      </c>
      <c r="U56" s="31" t="n">
        <v>111262</v>
      </c>
      <c r="V56" s="31" t="n">
        <v>115081</v>
      </c>
      <c r="W56" s="31" t="n">
        <v>124677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342528</v>
      </c>
      <c r="E57" s="31" t="n">
        <v>75208</v>
      </c>
      <c r="F57" s="31" t="n">
        <v>57802</v>
      </c>
      <c r="G57" s="31" t="n">
        <v>37189</v>
      </c>
      <c r="H57" s="31" t="n">
        <v>21500</v>
      </c>
      <c r="I57" s="31" t="n">
        <v>2654</v>
      </c>
      <c r="J57" s="31" t="n">
        <v>-10988</v>
      </c>
      <c r="K57" s="31" t="n">
        <v>-22500</v>
      </c>
      <c r="L57" s="31" t="n">
        <v>-22500</v>
      </c>
      <c r="M57" s="31" t="n">
        <v>-22500</v>
      </c>
      <c r="N57" s="31" t="n">
        <v>-22500</v>
      </c>
      <c r="O57" s="31" t="n">
        <v>-52697</v>
      </c>
      <c r="P57" s="31" t="n">
        <v>-81231</v>
      </c>
      <c r="Q57" s="31" t="n">
        <v>-88031</v>
      </c>
      <c r="R57" s="31" t="n">
        <v>-92769</v>
      </c>
      <c r="S57" s="31" t="n">
        <v>-102474</v>
      </c>
      <c r="T57" s="31" t="n">
        <v>-105232</v>
      </c>
      <c r="U57" s="31" t="n">
        <v>-111262</v>
      </c>
      <c r="V57" s="31" t="n">
        <v>-115081</v>
      </c>
      <c r="W57" s="31" t="n">
        <v>-124677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241064.212772</v>
      </c>
      <c r="E58" s="31" t="n">
        <v>-4618.852664</v>
      </c>
      <c r="F58" s="31" t="n">
        <v>-4774.958694</v>
      </c>
      <c r="G58" s="31" t="n">
        <v>-4932.927621</v>
      </c>
      <c r="H58" s="31" t="n">
        <v>-3685.132946</v>
      </c>
      <c r="I58" s="31" t="n">
        <v>-5248.850856</v>
      </c>
      <c r="J58" s="31" t="n">
        <v>-5411.127988</v>
      </c>
      <c r="K58" s="31" t="n">
        <v>-1677.840743</v>
      </c>
      <c r="L58" s="31" t="n">
        <v>12827.92233</v>
      </c>
      <c r="M58" s="31" t="n">
        <v>26092.404631</v>
      </c>
      <c r="N58" s="31" t="n">
        <v>39376.516399</v>
      </c>
      <c r="O58" s="31" t="n">
        <v>22232.86449</v>
      </c>
      <c r="P58" s="31" t="n">
        <v>-914.210824</v>
      </c>
      <c r="Q58" s="31" t="n">
        <v>-2937.575013</v>
      </c>
      <c r="R58" s="31" t="n">
        <v>-2974.119962</v>
      </c>
      <c r="S58" s="31" t="n">
        <v>-3010.135688</v>
      </c>
      <c r="T58" s="31" t="n">
        <v>-999.891374</v>
      </c>
      <c r="U58" s="31" t="n">
        <v>-3081.925559</v>
      </c>
      <c r="V58" s="31" t="n">
        <v>-3118.337518</v>
      </c>
      <c r="W58" s="31" t="n">
        <v>-3155.565881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180000</v>
      </c>
      <c r="D59" s="31" t="n">
        <v>421064.212772</v>
      </c>
      <c r="E59" s="31" t="n">
        <v>416445.360107</v>
      </c>
      <c r="F59" s="31" t="n">
        <v>411670.401413</v>
      </c>
      <c r="G59" s="31" t="n">
        <v>406737.473792</v>
      </c>
      <c r="H59" s="31" t="n">
        <v>403052.340847</v>
      </c>
      <c r="I59" s="31" t="n">
        <v>397803.489991</v>
      </c>
      <c r="J59" s="31" t="n">
        <v>392392.362002</v>
      </c>
      <c r="K59" s="31" t="n">
        <v>390714.521259</v>
      </c>
      <c r="L59" s="31" t="n">
        <v>403542.443589</v>
      </c>
      <c r="M59" s="31" t="n">
        <v>429634.848221</v>
      </c>
      <c r="N59" s="31" t="n">
        <v>469011.364619</v>
      </c>
      <c r="O59" s="31" t="n">
        <v>491244.22911</v>
      </c>
      <c r="P59" s="31" t="n">
        <v>490330.018286</v>
      </c>
      <c r="Q59" s="31" t="n">
        <v>487392.443274</v>
      </c>
      <c r="R59" s="31" t="n">
        <v>484418.323312</v>
      </c>
      <c r="S59" s="31" t="n">
        <v>481408.187624</v>
      </c>
      <c r="T59" s="31" t="n">
        <v>480408.29625</v>
      </c>
      <c r="U59" s="31" t="n">
        <v>477326.370691</v>
      </c>
      <c r="V59" s="31" t="n">
        <v>474208.033173</v>
      </c>
      <c r="W59" s="31" t="n">
        <v>471052.467292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A27:N66</t>
        </is>
      </c>
      <c r="E16" s="39">
        <f>SUM(ABS('Payroll Schedule'!C15-SUMIFS('Payroll Schedule'!$G$27:$G$66,'Payroll Schedule'!$A$27:$A$66,0)),ABS('Payroll Schedule'!C16-SUMIFS('Payroll Schedule'!$H$27:$H$66,'Payroll Schedule'!$A$27:$A$66,0)),ABS('Payroll Schedule'!C17-SUMIFS('Payroll Schedule'!$M$27:$M$66,'Payroll Schedule'!$A$27:$A$66,0)),ABS('Payroll Schedule'!D15-SUMIFS('Payroll Schedule'!$G$27:$G$66,'Payroll Schedule'!$A$27:$A$66,1)),ABS('Payroll Schedule'!D16-SUMIFS('Payroll Schedule'!$H$27:$H$66,'Payroll Schedule'!$A$27:$A$66,1)),ABS('Payroll Schedule'!D17-SUMIFS('Payroll Schedule'!$M$27:$M$66,'Payroll Schedule'!$A$27:$A$66,1)),ABS('Payroll Schedule'!E15-SUMIFS('Payroll Schedule'!$G$27:$G$66,'Payroll Schedule'!$A$27:$A$66,2)),ABS('Payroll Schedule'!E16-SUMIFS('Payroll Schedule'!$H$27:$H$66,'Payroll Schedule'!$A$27:$A$66,2)),ABS('Payroll Schedule'!E17-SUMIFS('Payroll Schedule'!$M$27:$M$66,'Payroll Schedule'!$A$27:$A$66,2)),ABS('Payroll Schedule'!F15-SUMIFS('Payroll Schedule'!$G$27:$G$66,'Payroll Schedule'!$A$27:$A$66,3)),ABS('Payroll Schedule'!F16-SUMIFS('Payroll Schedule'!$H$27:$H$66,'Payroll Schedule'!$A$27:$A$66,3)),ABS('Payroll Schedule'!F17-SUMIFS('Payroll Schedule'!$M$27:$M$66,'Payroll Schedule'!$A$27:$A$66,3)),ABS('Payroll Schedule'!G15-SUMIFS('Payroll Schedule'!$G$27:$G$66,'Payroll Schedule'!$A$27:$A$66,4)),ABS('Payroll Schedule'!G16-SUMIFS('Payroll Schedule'!$H$27:$H$66,'Payroll Schedule'!$A$27:$A$66,4)),ABS('Payroll Schedule'!G17-SUMIFS('Payroll Schedule'!$M$27:$M$66,'Payroll Schedule'!$A$27:$A$66,4)),ABS('Payroll Schedule'!H15-SUMIFS('Payroll Schedule'!$G$27:$G$66,'Payroll Schedule'!$A$27:$A$66,5)),ABS('Payroll Schedule'!H16-SUMIFS('Payroll Schedule'!$H$27:$H$66,'Payroll Schedule'!$A$27:$A$66,5)),ABS('Payroll Schedule'!H17-SUMIFS('Payroll Schedule'!$M$27:$M$66,'Payroll Schedule'!$A$27:$A$66,5)),ABS('Payroll Schedule'!I15-SUMIFS('Payroll Schedule'!$G$27:$G$66,'Payroll Schedule'!$A$27:$A$66,6)),ABS('Payroll Schedule'!I16-SUMIFS('Payroll Schedule'!$H$27:$H$66,'Payroll Schedule'!$A$27:$A$66,6)),ABS('Payroll Schedule'!I17-SUMIFS('Payroll Schedule'!$M$27:$M$66,'Payroll Schedule'!$A$27:$A$66,6)),ABS('Payroll Schedule'!J15-SUMIFS('Payroll Schedule'!$G$27:$G$66,'Payroll Schedule'!$A$27:$A$66,7)),ABS('Payroll Schedule'!J16-SUMIFS('Payroll Schedule'!$H$27:$H$66,'Payroll Schedule'!$A$27:$A$66,7)),ABS('Payroll Schedule'!J17-SUMIFS('Payroll Schedule'!$M$27:$M$66,'Payroll Schedule'!$A$27:$A$66,7)),ABS('Payroll Schedule'!K15-SUMIFS('Payroll Schedule'!$G$27:$G$66,'Payroll Schedule'!$A$27:$A$66,8)),ABS('Payroll Schedule'!K16-SUMIFS('Payroll Schedule'!$H$27:$H$66,'Payroll Schedule'!$A$27:$A$66,8)),ABS('Payroll Schedule'!K17-SUMIFS('Payroll Schedule'!$M$27:$M$66,'Payroll Schedule'!$A$27:$A$66,8)),ABS('Payroll Schedule'!L15-SUMIFS('Payroll Schedule'!$G$27:$G$66,'Payroll Schedule'!$A$27:$A$66,9)),ABS('Payroll Schedule'!L16-SUMIFS('Payroll Schedule'!$H$27:$H$66,'Payroll Schedule'!$A$27:$A$66,9)),ABS('Payroll Schedule'!L17-SUMIFS('Payroll Schedule'!$M$27:$M$66,'Payroll Schedule'!$A$27:$A$66,9)),ABS('Payroll Schedule'!M15-SUMIFS('Payroll Schedule'!$G$27:$G$66,'Payroll Schedule'!$A$27:$A$66,10)),ABS('Payroll Schedule'!M16-SUMIFS('Payroll Schedule'!$H$27:$H$66,'Payroll Schedule'!$A$27:$A$66,10)),ABS('Payroll Schedule'!M17-SUMIFS('Payroll Schedule'!$M$27:$M$66,'Payroll Schedule'!$A$27:$A$66,10)),ABS('Payroll Schedule'!N15-SUMIFS('Payroll Schedule'!$G$27:$G$66,'Payroll Schedule'!$A$27:$A$66,11)),ABS('Payroll Schedule'!N16-SUMIFS('Payroll Schedule'!$H$27:$H$66,'Payroll Schedule'!$A$27:$A$66,11)),ABS('Payroll Schedule'!N17-SUMIFS('Payroll Schedule'!$M$27:$M$66,'Payroll Schedule'!$A$27:$A$66,11)),ABS('Payroll Schedule'!O15-SUMIFS('Payroll Schedule'!$G$27:$G$66,'Payroll Schedule'!$A$27:$A$66,12)),ABS('Payroll Schedule'!O16-SUMIFS('Payroll Schedule'!$H$27:$H$66,'Payroll Schedule'!$A$27:$A$66,12)),ABS('Payroll Schedule'!O17-SUMIFS('Payroll Schedule'!$M$27:$M$66,'Payroll Schedule'!$A$27:$A$66,12)),ABS('Payroll Schedule'!P15-SUMIFS('Payroll Schedule'!$G$27:$G$66,'Payroll Schedule'!$A$27:$A$66,13)),ABS('Payroll Schedule'!P16-SUMIFS('Payroll Schedule'!$H$27:$H$66,'Payroll Schedule'!$A$27:$A$66,13)),ABS('Payroll Schedule'!P17-SUMIFS('Payroll Schedule'!$M$27:$M$66,'Payroll Schedule'!$A$27:$A$66,13)),ABS('Payroll Schedule'!Q15-SUMIFS('Payroll Schedule'!$G$27:$G$66,'Payroll Schedule'!$A$27:$A$66,14)),ABS('Payroll Schedule'!Q16-SUMIFS('Payroll Schedule'!$H$27:$H$66,'Payroll Schedule'!$A$27:$A$66,14)),ABS('Payroll Schedule'!Q17-SUMIFS('Payroll Schedule'!$M$27:$M$66,'Payroll Schedule'!$A$27:$A$66,14)),ABS('Payroll Schedule'!R15-SUMIFS('Payroll Schedule'!$G$27:$G$66,'Payroll Schedule'!$A$27:$A$66,15)),ABS('Payroll Schedule'!R16-SUMIFS('Payroll Schedule'!$H$27:$H$66,'Payroll Schedule'!$A$27:$A$66,15)),ABS('Payroll Schedule'!R17-SUMIFS('Payroll Schedule'!$M$27:$M$66,'Payroll Schedule'!$A$27:$A$66,15)),ABS('Payroll Schedule'!S15-SUMIFS('Payroll Schedule'!$G$27:$G$66,'Payroll Schedule'!$A$27:$A$66,16)),ABS('Payroll Schedule'!S16-SUMIFS('Payroll Schedule'!$H$27:$H$66,'Payroll Schedule'!$A$27:$A$66,16)),ABS('Payroll Schedule'!S17-SUMIFS('Payroll Schedule'!$M$27:$M$66,'Payroll Schedule'!$A$27:$A$66,16)),ABS('Payroll Schedule'!T15-SUMIFS('Payroll Schedule'!$G$27:$G$66,'Payroll Schedule'!$A$27:$A$66,17)),ABS('Payroll Schedule'!T16-SUMIFS('Payroll Schedule'!$H$27:$H$66,'Payroll Schedule'!$A$27:$A$66,17)),ABS('Payroll Schedule'!T17-SUMIFS('Payroll Schedule'!$M$27:$M$66,'Payroll Schedule'!$A$27:$A$66,17)),ABS('Payroll Schedule'!U15-SUMIFS('Payroll Schedule'!$G$27:$G$66,'Payroll Schedule'!$A$27:$A$66,18)),ABS('Payroll Schedule'!U16-SUMIFS('Payroll Schedule'!$H$27:$H$66,'Payroll Schedule'!$A$27:$A$66,18)),ABS('Payroll Schedule'!U17-SUMIFS('Payroll Schedule'!$M$27:$M$66,'Payroll Schedule'!$A$27:$A$66,18)),ABS('Payroll Schedule'!V15-SUMIFS('Payroll Schedule'!$G$27:$G$66,'Payroll Schedule'!$A$27:$A$66,19)),ABS('Payroll Schedule'!V16-SUMIFS('Payroll Schedule'!$H$27:$H$66,'Payroll Schedule'!$A$27:$A$66,19)),ABS('Payroll Schedule'!V17-SUMIFS('Payroll Schedule'!$M$27:$M$66,'Payroll Schedule'!$A$27:$A$66,19)),ABS('Payroll Schedule'!W15-SUMIFS('Payroll Schedule'!$G$27:$G$66,'Payroll Schedule'!$A$27:$A$66,20)),ABS('Payroll Schedule'!W16-SUMIFS('Payroll Schedule'!$H$27:$H$66,'Payroll Schedule'!$A$27:$A$66,20)),ABS('Payroll Schedule'!W17-SUMIFS('Payroll Schedule'!$M$27:$M$66,'Payroll Schedule'!$A$27:$A$66,20)))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E27:H66</t>
        </is>
      </c>
      <c r="E18" s="39">
        <f>SUMPRODUCT(ABS('Payroll Schedule'!G27:G66-('Payroll Schedule'!E27:E66+'Payroll Schedule'!F27:F66)))+SUMPRODUCT(ABS('Payroll Schedule'!H27:H66-(('Payroll Schedule'!E27:E66+'Payroll Schedule'!G27:G66)/2)))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I27:M66</t>
        </is>
      </c>
      <c r="E19" s="39">
        <f>SUMPRODUCT(ABS('Payroll Schedule'!K27:K66-('Payroll Schedule'!H27:H66*'Payroll Schedule'!I27:I66/4)))+SUMPRODUCT(ABS('Payroll Schedule'!L27:L66-('Payroll Schedule'!K27:K66*'Payroll Schedule'!J27:J66)))+SUMPRODUCT(ABS('Payroll Schedule'!M27:M66-('Payroll Schedule'!K27:K66+'Payroll Schedule'!L27:L66)))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Schedule'!G27:G66</t>
        </is>
      </c>
      <c r="E61" s="39">
        <f>40</f>
        <v/>
      </c>
      <c r="F61" s="39" t="n">
        <v>40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Schedule'!H27:H66</t>
        </is>
      </c>
      <c r="E62" s="39">
        <f>40</f>
        <v/>
      </c>
      <c r="F62" s="39" t="n">
        <v>40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Schedule'!K27:K66</t>
        </is>
      </c>
      <c r="E63" s="39">
        <f>40</f>
        <v/>
      </c>
      <c r="F63" s="39" t="n">
        <v>40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Schedule'!L27:L66</t>
        </is>
      </c>
      <c r="E64" s="39">
        <f>40</f>
        <v/>
      </c>
      <c r="F64" s="39" t="n">
        <v>40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Schedule'!M27:M66</t>
        </is>
      </c>
      <c r="E65" s="39">
        <f>40</f>
        <v/>
      </c>
      <c r="F65" s="39" t="n">
        <v>40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Schedule'!C15:W66</t>
        </is>
      </c>
      <c r="E158" s="39">
        <f>SUMPRODUCT(--ISERROR('Payroll Schedule'!C15:W66))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normalize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North Ridge Auto Care</t>
        </is>
      </c>
    </row>
    <row r="8">
      <c r="A8" s="45" t="inlineStr">
        <is>
          <t>Business Start Date</t>
        </is>
      </c>
      <c r="B8" s="46" t="inlineStr">
        <is>
          <t>8/5/2024</t>
        </is>
      </c>
    </row>
    <row r="9">
      <c r="A9" s="45" t="inlineStr">
        <is>
          <t>NAICS-6</t>
        </is>
      </c>
      <c r="B9" s="46" t="inlineStr">
        <is>
          <t>811111</t>
        </is>
      </c>
    </row>
    <row r="10">
      <c r="A10" s="45" t="inlineStr">
        <is>
          <t>Draft ID</t>
        </is>
      </c>
      <c r="B10" s="46" t="inlineStr">
        <is>
          <t>0e91a4d4b7b84b93933d28d428ce9230</t>
        </is>
      </c>
    </row>
    <row r="11">
      <c r="A11" s="45" t="inlineStr">
        <is>
          <t>Planning Run ID</t>
        </is>
      </c>
      <c r="B11" s="46" t="inlineStr">
        <is>
          <t>4c63e55bf6ed438ebc7e7d17c36e5a31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pnl_path</t>
        </is>
      </c>
    </row>
    <row r="21">
      <c r="A21" s="45" t="inlineStr">
        <is>
          <t>Tool calls used</t>
        </is>
      </c>
      <c r="B21" s="46" t="inlineStr">
        <is>
          <t>1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North Ridge Auto Care Financial Model</dc:title>
  <dc:subject>Client financial model workbook</dc:subject>
  <dcterms:created xsi:type="dcterms:W3CDTF">2026-05-20T06:54:49Z</dcterms:created>
  <dcterms:modified xsi:type="dcterms:W3CDTF">2026-05-20T06:54:50Z</dcterms:modified>
</cp:coreProperties>
</file>