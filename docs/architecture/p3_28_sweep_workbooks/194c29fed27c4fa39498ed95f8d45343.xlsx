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Completed repair order</t>
        </is>
      </c>
    </row>
    <row r="8">
      <c r="A8" s="8" t="inlineStr">
        <is>
          <t>Primary line of business / Completed repair order - Capacity</t>
        </is>
      </c>
      <c r="B8" s="8" t="inlineStr">
        <is>
          <t>Source driver</t>
        </is>
      </c>
      <c r="C8" s="9" t="n">
        <v>1495</v>
      </c>
      <c r="D8" s="9" t="n">
        <v>2000</v>
      </c>
      <c r="E8" s="9" t="n">
        <v>2000</v>
      </c>
      <c r="F8" s="9" t="n">
        <v>2000</v>
      </c>
      <c r="G8" s="9" t="n">
        <v>2000</v>
      </c>
      <c r="H8" s="9" t="n">
        <v>2000</v>
      </c>
      <c r="I8" s="9" t="n">
        <v>2000</v>
      </c>
      <c r="J8" s="9" t="n">
        <v>2000</v>
      </c>
      <c r="K8" s="9" t="n">
        <v>2000</v>
      </c>
      <c r="L8" s="9" t="n">
        <v>2000</v>
      </c>
      <c r="M8" s="9" t="n">
        <v>2000</v>
      </c>
      <c r="N8" s="9" t="n">
        <v>2000</v>
      </c>
      <c r="O8" s="9" t="n">
        <v>2000</v>
      </c>
      <c r="P8" s="9" t="n">
        <v>2000</v>
      </c>
      <c r="Q8" s="9" t="n">
        <v>2000</v>
      </c>
      <c r="R8" s="9" t="n">
        <v>2000</v>
      </c>
      <c r="S8" s="9" t="n">
        <v>2000</v>
      </c>
      <c r="T8" s="9" t="n">
        <v>2000</v>
      </c>
      <c r="U8" s="9" t="n">
        <v>2000</v>
      </c>
      <c r="V8" s="9" t="n">
        <v>2000</v>
      </c>
      <c r="W8" s="9" t="n">
        <v>2000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Completed repair order - Unit Price</t>
        </is>
      </c>
      <c r="B9" s="8" t="inlineStr">
        <is>
          <t>Source driver</t>
        </is>
      </c>
      <c r="C9" s="11" t="n">
        <v>625</v>
      </c>
      <c r="D9" s="11" t="n">
        <v>625</v>
      </c>
      <c r="E9" s="11" t="n">
        <v>627.5</v>
      </c>
      <c r="F9" s="11" t="n">
        <v>630</v>
      </c>
      <c r="G9" s="11" t="n">
        <v>632.5</v>
      </c>
      <c r="H9" s="11" t="n">
        <v>635</v>
      </c>
      <c r="I9" s="11" t="n">
        <v>637.5</v>
      </c>
      <c r="J9" s="11" t="n">
        <v>640</v>
      </c>
      <c r="K9" s="11" t="n">
        <v>642.5</v>
      </c>
      <c r="L9" s="11" t="n">
        <v>645</v>
      </c>
      <c r="M9" s="11" t="n">
        <v>647.5</v>
      </c>
      <c r="N9" s="11" t="n">
        <v>650</v>
      </c>
      <c r="O9" s="11" t="n">
        <v>652.777778</v>
      </c>
      <c r="P9" s="11" t="n">
        <v>655.555556</v>
      </c>
      <c r="Q9" s="11" t="n">
        <v>658.333333</v>
      </c>
      <c r="R9" s="11" t="n">
        <v>661.1111110000001</v>
      </c>
      <c r="S9" s="11" t="n">
        <v>663.8888889999999</v>
      </c>
      <c r="T9" s="11" t="n">
        <v>666.666667</v>
      </c>
      <c r="U9" s="11" t="n">
        <v>669.444444</v>
      </c>
      <c r="V9" s="11" t="n">
        <v>672.222222</v>
      </c>
      <c r="W9" s="11" t="n">
        <v>675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Completed repair order - Utilization</t>
        </is>
      </c>
      <c r="B10" s="8" t="inlineStr">
        <is>
          <t>Source driver</t>
        </is>
      </c>
      <c r="C10" s="13" t="n">
        <v>0.82</v>
      </c>
      <c r="D10" s="13" t="n">
        <v>0.82</v>
      </c>
      <c r="E10" s="13" t="n">
        <v>0.822</v>
      </c>
      <c r="F10" s="13" t="n">
        <v>0.824</v>
      </c>
      <c r="G10" s="13" t="n">
        <v>0.826</v>
      </c>
      <c r="H10" s="13" t="n">
        <v>0.828</v>
      </c>
      <c r="I10" s="13" t="n">
        <v>0.83</v>
      </c>
      <c r="J10" s="13" t="n">
        <v>0.832</v>
      </c>
      <c r="K10" s="13" t="n">
        <v>0.834</v>
      </c>
      <c r="L10" s="13" t="n">
        <v>0.836</v>
      </c>
      <c r="M10" s="13" t="n">
        <v>0.838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Completed repair order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0.02</v>
      </c>
      <c r="E18" s="13" t="n">
        <v>0.02</v>
      </c>
      <c r="F18" s="13" t="n">
        <v>0.02</v>
      </c>
      <c r="G18" s="13" t="n">
        <v>0.02</v>
      </c>
      <c r="H18" s="13" t="n">
        <v>0.02</v>
      </c>
      <c r="I18" s="13" t="n">
        <v>0.02</v>
      </c>
      <c r="J18" s="13" t="n">
        <v>0.02</v>
      </c>
      <c r="K18" s="13" t="n">
        <v>0.02</v>
      </c>
      <c r="L18" s="13" t="n">
        <v>0.02</v>
      </c>
      <c r="M18" s="13" t="n">
        <v>0.02</v>
      </c>
      <c r="N18" s="13" t="n">
        <v>0.02</v>
      </c>
      <c r="O18" s="13" t="n">
        <v>0.02</v>
      </c>
      <c r="P18" s="13" t="n">
        <v>0.02</v>
      </c>
      <c r="Q18" s="13" t="n">
        <v>0.02</v>
      </c>
      <c r="R18" s="13" t="n">
        <v>0.02</v>
      </c>
      <c r="S18" s="13" t="n">
        <v>0.02</v>
      </c>
      <c r="T18" s="13" t="n">
        <v>0.02</v>
      </c>
      <c r="U18" s="13" t="n">
        <v>0.02</v>
      </c>
      <c r="V18" s="13" t="n">
        <v>0.02</v>
      </c>
      <c r="W18" s="13" t="n">
        <v>0.02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0.07000000000000001</v>
      </c>
      <c r="E19" s="13" t="n">
        <v>0.07000000000000001</v>
      </c>
      <c r="F19" s="13" t="n">
        <v>0.07000000000000001</v>
      </c>
      <c r="G19" s="13" t="n">
        <v>0.07000000000000001</v>
      </c>
      <c r="H19" s="13" t="n">
        <v>0.07000000000000001</v>
      </c>
      <c r="I19" s="13" t="n">
        <v>0.07000000000000001</v>
      </c>
      <c r="J19" s="13" t="n">
        <v>0.07000000000000001</v>
      </c>
      <c r="K19" s="13" t="n">
        <v>0.07000000000000001</v>
      </c>
      <c r="L19" s="13" t="n">
        <v>0.07000000000000001</v>
      </c>
      <c r="M19" s="13" t="n">
        <v>0.07000000000000001</v>
      </c>
      <c r="N19" s="13" t="n">
        <v>0.07000000000000001</v>
      </c>
      <c r="O19" s="13" t="n">
        <v>0.07000000000000001</v>
      </c>
      <c r="P19" s="13" t="n">
        <v>0.07000000000000001</v>
      </c>
      <c r="Q19" s="13" t="n">
        <v>0.07000000000000001</v>
      </c>
      <c r="R19" s="13" t="n">
        <v>0.07000000000000001</v>
      </c>
      <c r="S19" s="13" t="n">
        <v>0.07000000000000001</v>
      </c>
      <c r="T19" s="13" t="n">
        <v>0.07000000000000001</v>
      </c>
      <c r="U19" s="13" t="n">
        <v>0.07000000000000001</v>
      </c>
      <c r="V19" s="13" t="n">
        <v>0.07000000000000001</v>
      </c>
      <c r="W19" s="13" t="n">
        <v>0.07000000000000001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0.07000000000000001</v>
      </c>
      <c r="E20" s="13" t="n">
        <v>0.07000000000000001</v>
      </c>
      <c r="F20" s="13" t="n">
        <v>0.07000000000000001</v>
      </c>
      <c r="G20" s="13" t="n">
        <v>0.07000000000000001</v>
      </c>
      <c r="H20" s="13" t="n">
        <v>0.07000000000000001</v>
      </c>
      <c r="I20" s="13" t="n">
        <v>0.07000000000000001</v>
      </c>
      <c r="J20" s="13" t="n">
        <v>0.07000000000000001</v>
      </c>
      <c r="K20" s="13" t="n">
        <v>0.07000000000000001</v>
      </c>
      <c r="L20" s="13" t="n">
        <v>0.07000000000000001</v>
      </c>
      <c r="M20" s="13" t="n">
        <v>0.07000000000000001</v>
      </c>
      <c r="N20" s="13" t="n">
        <v>0.07000000000000001</v>
      </c>
      <c r="O20" s="13" t="n">
        <v>0.07000000000000001</v>
      </c>
      <c r="P20" s="13" t="n">
        <v>0.07000000000000001</v>
      </c>
      <c r="Q20" s="13" t="n">
        <v>0.07000000000000001</v>
      </c>
      <c r="R20" s="13" t="n">
        <v>0.07000000000000001</v>
      </c>
      <c r="S20" s="13" t="n">
        <v>0.07000000000000001</v>
      </c>
      <c r="T20" s="13" t="n">
        <v>0.07000000000000001</v>
      </c>
      <c r="U20" s="13" t="n">
        <v>0.07000000000000001</v>
      </c>
      <c r="V20" s="13" t="n">
        <v>0.07000000000000001</v>
      </c>
      <c r="W20" s="13" t="n">
        <v>0.07000000000000001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0.6899999999999999</v>
      </c>
      <c r="E22" s="13" t="n">
        <v>0.6899999999999999</v>
      </c>
      <c r="F22" s="13" t="n">
        <v>0.6899999999999999</v>
      </c>
      <c r="G22" s="13" t="n">
        <v>0.6899999999999999</v>
      </c>
      <c r="H22" s="13" t="n">
        <v>0.6899999999999999</v>
      </c>
      <c r="I22" s="13" t="n">
        <v>0.6899999999999999</v>
      </c>
      <c r="J22" s="13" t="n">
        <v>0.6899999999999999</v>
      </c>
      <c r="K22" s="13" t="n">
        <v>0.6899999999999999</v>
      </c>
      <c r="L22" s="13" t="n">
        <v>0.6899999999999999</v>
      </c>
      <c r="M22" s="13" t="n">
        <v>0.6899999999999999</v>
      </c>
      <c r="N22" s="13" t="n">
        <v>0.6899999999999999</v>
      </c>
      <c r="O22" s="13" t="n">
        <v>0.6899999999999999</v>
      </c>
      <c r="P22" s="13" t="n">
        <v>0.6899999999999999</v>
      </c>
      <c r="Q22" s="13" t="n">
        <v>0.6899999999999999</v>
      </c>
      <c r="R22" s="13" t="n">
        <v>0.6899999999999999</v>
      </c>
      <c r="S22" s="13" t="n">
        <v>0.6899999999999999</v>
      </c>
      <c r="T22" s="13" t="n">
        <v>0.6899999999999999</v>
      </c>
      <c r="U22" s="13" t="n">
        <v>0.6899999999999999</v>
      </c>
      <c r="V22" s="13" t="n">
        <v>0.6899999999999999</v>
      </c>
      <c r="W22" s="13" t="n">
        <v>0.6899999999999999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0.29</v>
      </c>
      <c r="E25" s="13" t="n">
        <v>0.29</v>
      </c>
      <c r="F25" s="13" t="n">
        <v>0.29</v>
      </c>
      <c r="G25" s="13" t="n">
        <v>0.29</v>
      </c>
      <c r="H25" s="13" t="n">
        <v>0.29</v>
      </c>
      <c r="I25" s="13" t="n">
        <v>0.29</v>
      </c>
      <c r="J25" s="13" t="n">
        <v>0.29</v>
      </c>
      <c r="K25" s="13" t="n">
        <v>0.29</v>
      </c>
      <c r="L25" s="13" t="n">
        <v>0.29</v>
      </c>
      <c r="M25" s="13" t="n">
        <v>0.29</v>
      </c>
      <c r="N25" s="13" t="n">
        <v>0.29</v>
      </c>
      <c r="O25" s="13" t="n">
        <v>0.29</v>
      </c>
      <c r="P25" s="13" t="n">
        <v>0.29</v>
      </c>
      <c r="Q25" s="13" t="n">
        <v>0.29</v>
      </c>
      <c r="R25" s="13" t="n">
        <v>0.29</v>
      </c>
      <c r="S25" s="13" t="n">
        <v>0.29</v>
      </c>
      <c r="T25" s="13" t="n">
        <v>0.29</v>
      </c>
      <c r="U25" s="13" t="n">
        <v>0.29</v>
      </c>
      <c r="V25" s="13" t="n">
        <v>0.29</v>
      </c>
      <c r="W25" s="13" t="n">
        <v>0.29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0.6</v>
      </c>
      <c r="E26" s="13" t="n">
        <v>0.6</v>
      </c>
      <c r="F26" s="13" t="n">
        <v>0.6</v>
      </c>
      <c r="G26" s="13" t="n">
        <v>0.6</v>
      </c>
      <c r="H26" s="13" t="n">
        <v>0.6</v>
      </c>
      <c r="I26" s="13" t="n">
        <v>0.6</v>
      </c>
      <c r="J26" s="13" t="n">
        <v>0.6</v>
      </c>
      <c r="K26" s="13" t="n">
        <v>0.6</v>
      </c>
      <c r="L26" s="13" t="n">
        <v>0.6</v>
      </c>
      <c r="M26" s="13" t="n">
        <v>0.6</v>
      </c>
      <c r="N26" s="13" t="n">
        <v>0.6</v>
      </c>
      <c r="O26" s="13" t="n">
        <v>0.6</v>
      </c>
      <c r="P26" s="13" t="n">
        <v>0.6</v>
      </c>
      <c r="Q26" s="13" t="n">
        <v>0.6</v>
      </c>
      <c r="R26" s="13" t="n">
        <v>0.6</v>
      </c>
      <c r="S26" s="13" t="n">
        <v>0.6</v>
      </c>
      <c r="T26" s="13" t="n">
        <v>0.6</v>
      </c>
      <c r="U26" s="13" t="n">
        <v>0.6</v>
      </c>
      <c r="V26" s="13" t="n">
        <v>0.6</v>
      </c>
      <c r="W26" s="13" t="n">
        <v>0.6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0.3</v>
      </c>
      <c r="E27" s="13" t="n">
        <v>0.3</v>
      </c>
      <c r="F27" s="13" t="n">
        <v>0.3</v>
      </c>
      <c r="G27" s="13" t="n">
        <v>0.3</v>
      </c>
      <c r="H27" s="13" t="n">
        <v>0.3</v>
      </c>
      <c r="I27" s="13" t="n">
        <v>0.3</v>
      </c>
      <c r="J27" s="13" t="n">
        <v>0.3</v>
      </c>
      <c r="K27" s="13" t="n">
        <v>0.3</v>
      </c>
      <c r="L27" s="13" t="n">
        <v>0.3</v>
      </c>
      <c r="M27" s="13" t="n">
        <v>0.3</v>
      </c>
      <c r="N27" s="13" t="n">
        <v>0.3</v>
      </c>
      <c r="O27" s="13" t="n">
        <v>0.3</v>
      </c>
      <c r="P27" s="13" t="n">
        <v>0.3</v>
      </c>
      <c r="Q27" s="13" t="n">
        <v>0.3</v>
      </c>
      <c r="R27" s="13" t="n">
        <v>0.3</v>
      </c>
      <c r="S27" s="13" t="n">
        <v>0.3</v>
      </c>
      <c r="T27" s="13" t="n">
        <v>0.3</v>
      </c>
      <c r="U27" s="13" t="n">
        <v>0.3</v>
      </c>
      <c r="V27" s="13" t="n">
        <v>0.3</v>
      </c>
      <c r="W27" s="13" t="n">
        <v>0.3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250</v>
      </c>
    </row>
    <row r="12">
      <c r="A12" t="inlineStr">
        <is>
          <t>Target Payroll % of Revenue</t>
        </is>
      </c>
      <c r="B12" t="n">
        <v>0.22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 &amp; General Manager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78840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 &amp; General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78840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 &amp; General Manager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78840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 &amp; General Manager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78840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 &amp; General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81205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 &amp; General Manager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81205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 &amp; General Manager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81205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 &amp; General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81205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 &amp; General Manager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83641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 &amp; General Manager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83641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 &amp; General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83641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 &amp; General Manager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83641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 &amp; General Manager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86151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 &amp; General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86151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 &amp; General Manager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86151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 &amp; General Manager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86151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 &amp; General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88735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 &amp; General Manager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88735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 &amp; General Manager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88735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 &amp; General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88735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Service Manager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64990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Service Manager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64990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Service Manager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64990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Service Manager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64990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Service Manager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66940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Service Manager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66940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Service Manager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66940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Service Manager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66940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Service Manager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68948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Service Manager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68948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Service Manager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68948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Service Manager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68948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Service Manager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71016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Service Manager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71016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Service Manager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71016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Service Manager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71016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Service Manager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73147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Service Manager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73147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Service Manager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73147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Service Manager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73147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Automotive Service Technicians and Mechanics</t>
        </is>
      </c>
      <c r="D67" t="inlineStr">
        <is>
          <t>Automotive Service Technicians and Mechanics</t>
        </is>
      </c>
      <c r="E67" s="29" t="n">
        <v>6</v>
      </c>
      <c r="F67" s="29" t="n">
        <v>0</v>
      </c>
      <c r="G67" s="30">
        <f>E67+F67</f>
        <v/>
      </c>
      <c r="H67" s="30">
        <f>(E67+G67)/2</f>
        <v/>
      </c>
      <c r="I67" s="31" t="n">
        <v>60400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Automotive Service Technicians and Mechanics</t>
        </is>
      </c>
      <c r="D68" t="inlineStr">
        <is>
          <t>Automotive Service Technicians and Mechanics</t>
        </is>
      </c>
      <c r="E68" s="29" t="n">
        <v>6</v>
      </c>
      <c r="F68" s="29" t="n">
        <v>0</v>
      </c>
      <c r="G68" s="30">
        <f>E68+F68</f>
        <v/>
      </c>
      <c r="H68" s="30">
        <f>(E68+G68)/2</f>
        <v/>
      </c>
      <c r="I68" s="31" t="n">
        <v>60400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Automotive Service Technicians and Mechanics</t>
        </is>
      </c>
      <c r="D69" t="inlineStr">
        <is>
          <t>Automotive Service Technicians and Mechanics</t>
        </is>
      </c>
      <c r="E69" s="29" t="n">
        <v>6</v>
      </c>
      <c r="F69" s="29" t="n">
        <v>0</v>
      </c>
      <c r="G69" s="30">
        <f>E69+F69</f>
        <v/>
      </c>
      <c r="H69" s="30">
        <f>(E69+G69)/2</f>
        <v/>
      </c>
      <c r="I69" s="31" t="n">
        <v>60400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Automotive Service Technicians and Mechanics</t>
        </is>
      </c>
      <c r="D70" t="inlineStr">
        <is>
          <t>Automotive Service Technicians and Mechanics</t>
        </is>
      </c>
      <c r="E70" s="29" t="n">
        <v>6</v>
      </c>
      <c r="F70" s="29" t="n">
        <v>0</v>
      </c>
      <c r="G70" s="30">
        <f>E70+F70</f>
        <v/>
      </c>
      <c r="H70" s="30">
        <f>(E70+G70)/2</f>
        <v/>
      </c>
      <c r="I70" s="31" t="n">
        <v>60400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Automotive Service Technicians and Mechanics</t>
        </is>
      </c>
      <c r="D71" t="inlineStr">
        <is>
          <t>Automotive Service Technicians and Mechanics</t>
        </is>
      </c>
      <c r="E71" s="29" t="n">
        <v>6</v>
      </c>
      <c r="F71" s="29" t="n">
        <v>0</v>
      </c>
      <c r="G71" s="30">
        <f>E71+F71</f>
        <v/>
      </c>
      <c r="H71" s="30">
        <f>(E71+G71)/2</f>
        <v/>
      </c>
      <c r="I71" s="31" t="n">
        <v>62212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Automotive Service Technicians and Mechanics</t>
        </is>
      </c>
      <c r="D72" t="inlineStr">
        <is>
          <t>Automotive Service Technicians and Mechanics</t>
        </is>
      </c>
      <c r="E72" s="29" t="n">
        <v>6</v>
      </c>
      <c r="F72" s="29" t="n">
        <v>0</v>
      </c>
      <c r="G72" s="30">
        <f>E72+F72</f>
        <v/>
      </c>
      <c r="H72" s="30">
        <f>(E72+G72)/2</f>
        <v/>
      </c>
      <c r="I72" s="31" t="n">
        <v>62212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Automotive Service Technicians and Mechanics</t>
        </is>
      </c>
      <c r="D73" t="inlineStr">
        <is>
          <t>Automotive Service Technicians and Mechanics</t>
        </is>
      </c>
      <c r="E73" s="29" t="n">
        <v>6</v>
      </c>
      <c r="F73" s="29" t="n">
        <v>0</v>
      </c>
      <c r="G73" s="30">
        <f>E73+F73</f>
        <v/>
      </c>
      <c r="H73" s="30">
        <f>(E73+G73)/2</f>
        <v/>
      </c>
      <c r="I73" s="31" t="n">
        <v>62212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Automotive Service Technicians and Mechanics</t>
        </is>
      </c>
      <c r="D74" t="inlineStr">
        <is>
          <t>Automotive Service Technicians and Mechanics</t>
        </is>
      </c>
      <c r="E74" s="29" t="n">
        <v>6</v>
      </c>
      <c r="F74" s="29" t="n">
        <v>0</v>
      </c>
      <c r="G74" s="30">
        <f>E74+F74</f>
        <v/>
      </c>
      <c r="H74" s="30">
        <f>(E74+G74)/2</f>
        <v/>
      </c>
      <c r="I74" s="31" t="n">
        <v>62212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Automotive Service Technicians and Mechanics</t>
        </is>
      </c>
      <c r="D75" t="inlineStr">
        <is>
          <t>Automotive Service Technicians and Mechanics</t>
        </is>
      </c>
      <c r="E75" s="29" t="n">
        <v>6</v>
      </c>
      <c r="F75" s="29" t="n">
        <v>0</v>
      </c>
      <c r="G75" s="30">
        <f>E75+F75</f>
        <v/>
      </c>
      <c r="H75" s="30">
        <f>(E75+G75)/2</f>
        <v/>
      </c>
      <c r="I75" s="31" t="n">
        <v>64078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Automotive Service Technicians and Mechanics</t>
        </is>
      </c>
      <c r="D76" t="inlineStr">
        <is>
          <t>Automotive Service Technicians and Mechanics</t>
        </is>
      </c>
      <c r="E76" s="29" t="n">
        <v>6</v>
      </c>
      <c r="F76" s="29" t="n">
        <v>0</v>
      </c>
      <c r="G76" s="30">
        <f>E76+F76</f>
        <v/>
      </c>
      <c r="H76" s="30">
        <f>(E76+G76)/2</f>
        <v/>
      </c>
      <c r="I76" s="31" t="n">
        <v>64078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Automotive Service Technicians and Mechanics</t>
        </is>
      </c>
      <c r="D77" t="inlineStr">
        <is>
          <t>Automotive Service Technicians and Mechanics</t>
        </is>
      </c>
      <c r="E77" s="29" t="n">
        <v>6</v>
      </c>
      <c r="F77" s="29" t="n">
        <v>0</v>
      </c>
      <c r="G77" s="30">
        <f>E77+F77</f>
        <v/>
      </c>
      <c r="H77" s="30">
        <f>(E77+G77)/2</f>
        <v/>
      </c>
      <c r="I77" s="31" t="n">
        <v>64078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Automotive Service Technicians and Mechanics</t>
        </is>
      </c>
      <c r="D78" t="inlineStr">
        <is>
          <t>Automotive Service Technicians and Mechanics</t>
        </is>
      </c>
      <c r="E78" s="29" t="n">
        <v>6</v>
      </c>
      <c r="F78" s="29" t="n">
        <v>0</v>
      </c>
      <c r="G78" s="30">
        <f>E78+F78</f>
        <v/>
      </c>
      <c r="H78" s="30">
        <f>(E78+G78)/2</f>
        <v/>
      </c>
      <c r="I78" s="31" t="n">
        <v>64078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Automotive Service Technicians and Mechanics</t>
        </is>
      </c>
      <c r="D79" t="inlineStr">
        <is>
          <t>Automotive Service Technicians and Mechanics</t>
        </is>
      </c>
      <c r="E79" s="29" t="n">
        <v>6</v>
      </c>
      <c r="F79" s="29" t="n">
        <v>0</v>
      </c>
      <c r="G79" s="30">
        <f>E79+F79</f>
        <v/>
      </c>
      <c r="H79" s="30">
        <f>(E79+G79)/2</f>
        <v/>
      </c>
      <c r="I79" s="31" t="n">
        <v>66001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Automotive Service Technicians and Mechanics</t>
        </is>
      </c>
      <c r="D80" t="inlineStr">
        <is>
          <t>Automotive Service Technicians and Mechanics</t>
        </is>
      </c>
      <c r="E80" s="29" t="n">
        <v>6</v>
      </c>
      <c r="F80" s="29" t="n">
        <v>0</v>
      </c>
      <c r="G80" s="30">
        <f>E80+F80</f>
        <v/>
      </c>
      <c r="H80" s="30">
        <f>(E80+G80)/2</f>
        <v/>
      </c>
      <c r="I80" s="31" t="n">
        <v>66001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Automotive Service Technicians and Mechanics</t>
        </is>
      </c>
      <c r="D81" t="inlineStr">
        <is>
          <t>Automotive Service Technicians and Mechanics</t>
        </is>
      </c>
      <c r="E81" s="29" t="n">
        <v>6</v>
      </c>
      <c r="F81" s="29" t="n">
        <v>0</v>
      </c>
      <c r="G81" s="30">
        <f>E81+F81</f>
        <v/>
      </c>
      <c r="H81" s="30">
        <f>(E81+G81)/2</f>
        <v/>
      </c>
      <c r="I81" s="31" t="n">
        <v>66001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Automotive Service Technicians and Mechanics</t>
        </is>
      </c>
      <c r="D82" t="inlineStr">
        <is>
          <t>Automotive Service Technicians and Mechanics</t>
        </is>
      </c>
      <c r="E82" s="29" t="n">
        <v>6</v>
      </c>
      <c r="F82" s="29" t="n">
        <v>0</v>
      </c>
      <c r="G82" s="30">
        <f>E82+F82</f>
        <v/>
      </c>
      <c r="H82" s="30">
        <f>(E82+G82)/2</f>
        <v/>
      </c>
      <c r="I82" s="31" t="n">
        <v>66001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Automotive Service Technicians and Mechanics</t>
        </is>
      </c>
      <c r="D83" t="inlineStr">
        <is>
          <t>Automotive Service Technicians and Mechanics</t>
        </is>
      </c>
      <c r="E83" s="29" t="n">
        <v>6</v>
      </c>
      <c r="F83" s="29" t="n">
        <v>0</v>
      </c>
      <c r="G83" s="30">
        <f>E83+F83</f>
        <v/>
      </c>
      <c r="H83" s="30">
        <f>(E83+G83)/2</f>
        <v/>
      </c>
      <c r="I83" s="31" t="n">
        <v>67981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Automotive Service Technicians and Mechanics</t>
        </is>
      </c>
      <c r="D84" t="inlineStr">
        <is>
          <t>Automotive Service Technicians and Mechanics</t>
        </is>
      </c>
      <c r="E84" s="29" t="n">
        <v>6</v>
      </c>
      <c r="F84" s="29" t="n">
        <v>0</v>
      </c>
      <c r="G84" s="30">
        <f>E84+F84</f>
        <v/>
      </c>
      <c r="H84" s="30">
        <f>(E84+G84)/2</f>
        <v/>
      </c>
      <c r="I84" s="31" t="n">
        <v>67981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Automotive Service Technicians and Mechanics</t>
        </is>
      </c>
      <c r="D85" t="inlineStr">
        <is>
          <t>Automotive Service Technicians and Mechanics</t>
        </is>
      </c>
      <c r="E85" s="29" t="n">
        <v>6</v>
      </c>
      <c r="F85" s="29" t="n">
        <v>0</v>
      </c>
      <c r="G85" s="30">
        <f>E85+F85</f>
        <v/>
      </c>
      <c r="H85" s="30">
        <f>(E85+G85)/2</f>
        <v/>
      </c>
      <c r="I85" s="31" t="n">
        <v>67981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Automotive Service Technicians and Mechanics</t>
        </is>
      </c>
      <c r="D86" t="inlineStr">
        <is>
          <t>Automotive Service Technicians and Mechanics</t>
        </is>
      </c>
      <c r="E86" s="29" t="n">
        <v>6</v>
      </c>
      <c r="F86" s="29" t="n">
        <v>0</v>
      </c>
      <c r="G86" s="30">
        <f>E86+F86</f>
        <v/>
      </c>
      <c r="H86" s="30">
        <f>(E86+G86)/2</f>
        <v/>
      </c>
      <c r="I86" s="31" t="n">
        <v>67981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450000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22500</v>
      </c>
      <c r="E9" s="11" t="n">
        <v>22500</v>
      </c>
      <c r="F9" s="11" t="n">
        <v>22500</v>
      </c>
      <c r="G9" s="11" t="n">
        <v>22500</v>
      </c>
      <c r="H9" s="11" t="n">
        <v>22500</v>
      </c>
      <c r="I9" s="11" t="n">
        <v>22500</v>
      </c>
      <c r="J9" s="11" t="n">
        <v>22500</v>
      </c>
      <c r="K9" s="11" t="n">
        <v>22500</v>
      </c>
      <c r="L9" s="11" t="n">
        <v>22500</v>
      </c>
      <c r="M9" s="11" t="n">
        <v>22500</v>
      </c>
      <c r="N9" s="11" t="n">
        <v>37380</v>
      </c>
      <c r="O9" s="11" t="n">
        <v>63635</v>
      </c>
      <c r="P9" s="11" t="n">
        <v>65328</v>
      </c>
      <c r="Q9" s="11" t="n">
        <v>58657</v>
      </c>
      <c r="R9" s="11" t="n">
        <v>22500</v>
      </c>
      <c r="S9" s="11" t="n">
        <v>22500</v>
      </c>
      <c r="T9" s="11" t="n">
        <v>22500</v>
      </c>
      <c r="U9" s="11" t="n">
        <v>22500</v>
      </c>
      <c r="V9" s="11" t="n">
        <v>22500</v>
      </c>
      <c r="W9" s="11" t="n">
        <v>22500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0.017778</v>
      </c>
      <c r="D12" s="13" t="n">
        <v>0.023125</v>
      </c>
      <c r="E12" s="13" t="n">
        <v>0.023125</v>
      </c>
      <c r="F12" s="13" t="n">
        <v>0.023125</v>
      </c>
      <c r="G12" s="13" t="n">
        <v>0.023125</v>
      </c>
      <c r="H12" s="13" t="n">
        <v>0.023125</v>
      </c>
      <c r="I12" s="13" t="n">
        <v>0.023125</v>
      </c>
      <c r="J12" s="13" t="n">
        <v>0.023125</v>
      </c>
      <c r="K12" s="13" t="n">
        <v>0.023125</v>
      </c>
      <c r="L12" s="13" t="n">
        <v>0.023125</v>
      </c>
      <c r="M12" s="13" t="n">
        <v>0.023125</v>
      </c>
      <c r="N12" s="13" t="n">
        <v>0.023125</v>
      </c>
      <c r="O12" s="13" t="n">
        <v>0.023125</v>
      </c>
      <c r="P12" s="13" t="n">
        <v>0.023125</v>
      </c>
      <c r="Q12" s="13" t="n">
        <v>0.023125</v>
      </c>
      <c r="R12" s="13" t="n">
        <v>0.023125</v>
      </c>
      <c r="S12" s="13" t="n">
        <v>0.023125</v>
      </c>
      <c r="T12" s="13" t="n">
        <v>0.023125</v>
      </c>
      <c r="U12" s="13" t="n">
        <v>0.023125</v>
      </c>
      <c r="V12" s="13" t="n">
        <v>0.023125</v>
      </c>
      <c r="W12" s="13" t="n">
        <v>0.023125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54000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17500</v>
      </c>
      <c r="E19" s="26" t="n">
        <v>17500</v>
      </c>
      <c r="F19" s="26" t="n">
        <v>17500</v>
      </c>
      <c r="G19" s="26" t="n">
        <v>17500</v>
      </c>
      <c r="H19" s="26" t="n">
        <v>17500</v>
      </c>
      <c r="I19" s="26" t="n">
        <v>17500</v>
      </c>
      <c r="J19" s="26" t="n">
        <v>17500</v>
      </c>
      <c r="K19" s="26" t="n">
        <v>17500</v>
      </c>
      <c r="L19" s="26" t="n">
        <v>17500</v>
      </c>
      <c r="M19" s="26" t="n">
        <v>17500</v>
      </c>
      <c r="N19" s="26" t="n">
        <v>17500</v>
      </c>
      <c r="O19" s="26" t="n">
        <v>17500</v>
      </c>
      <c r="P19" s="26" t="n">
        <v>17500</v>
      </c>
      <c r="Q19" s="26" t="n">
        <v>17500</v>
      </c>
      <c r="R19" s="26" t="n">
        <v>17500</v>
      </c>
      <c r="S19" s="26" t="n">
        <v>17500</v>
      </c>
      <c r="T19" s="26" t="n">
        <v>17500</v>
      </c>
      <c r="U19" s="26" t="n">
        <v>17500</v>
      </c>
      <c r="V19" s="26" t="n">
        <v>17500</v>
      </c>
      <c r="W19" s="26" t="n">
        <v>17500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54000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1200000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8396.4</v>
      </c>
      <c r="E8" s="35" t="n">
        <v>8452.210870999999</v>
      </c>
      <c r="F8" s="35" t="n">
        <v>8505.459799</v>
      </c>
      <c r="G8" s="35" t="n">
        <v>8556.101307000001</v>
      </c>
      <c r="H8" s="35" t="n">
        <v>8604.101035</v>
      </c>
      <c r="I8" s="35" t="n">
        <v>8649.427439999999</v>
      </c>
      <c r="J8" s="35" t="n">
        <v>8692.051818</v>
      </c>
      <c r="K8" s="35" t="n">
        <v>8731.930952000001</v>
      </c>
      <c r="L8" s="35" t="n">
        <v>8769.032926</v>
      </c>
      <c r="M8" s="35" t="n">
        <v>8803.328614</v>
      </c>
      <c r="N8" s="35" t="n">
        <v>8834.782907000001</v>
      </c>
      <c r="O8" s="35" t="n">
        <v>8863.363429999999</v>
      </c>
      <c r="P8" s="35" t="n">
        <v>8889.049456999999</v>
      </c>
      <c r="Q8" s="35" t="n">
        <v>8911.805424</v>
      </c>
      <c r="R8" s="35" t="n">
        <v>8931.598544</v>
      </c>
      <c r="S8" s="35" t="n">
        <v>8948.407811999999</v>
      </c>
      <c r="T8" s="35" t="n">
        <v>8962.206257</v>
      </c>
      <c r="U8" s="35" t="n">
        <v>8972.960904</v>
      </c>
      <c r="V8" s="35" t="n">
        <v>8980.650732</v>
      </c>
      <c r="W8" s="35" t="n">
        <v>8985.257806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0.00035</v>
      </c>
      <c r="E10" s="13" t="n">
        <v>0.000697</v>
      </c>
      <c r="F10" s="13" t="n">
        <v>0.001043</v>
      </c>
      <c r="G10" s="13" t="n">
        <v>0.001387</v>
      </c>
      <c r="H10" s="13" t="n">
        <v>0.001729</v>
      </c>
      <c r="I10" s="13" t="n">
        <v>0.002069</v>
      </c>
      <c r="J10" s="13" t="n">
        <v>0.002409</v>
      </c>
      <c r="K10" s="13" t="n">
        <v>0.002748</v>
      </c>
      <c r="L10" s="13" t="n">
        <v>0.003086</v>
      </c>
      <c r="M10" s="13" t="n">
        <v>0.003424</v>
      </c>
      <c r="N10" s="13" t="n">
        <v>0.003762</v>
      </c>
      <c r="O10" s="13" t="n">
        <v>0.004099</v>
      </c>
      <c r="P10" s="13" t="n">
        <v>0.004437</v>
      </c>
      <c r="Q10" s="13" t="n">
        <v>0.004776</v>
      </c>
      <c r="R10" s="13" t="n">
        <v>0.005115</v>
      </c>
      <c r="S10" s="13" t="n">
        <v>0.005455</v>
      </c>
      <c r="T10" s="13" t="n">
        <v>0.005797</v>
      </c>
      <c r="U10" s="13" t="n">
        <v>0.00614</v>
      </c>
      <c r="V10" s="13" t="n">
        <v>0.006484</v>
      </c>
      <c r="W10" s="13" t="n">
        <v>0.006831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15</v>
      </c>
      <c r="E7" s="9" t="n">
        <v>15</v>
      </c>
      <c r="F7" s="9" t="n">
        <v>15</v>
      </c>
      <c r="G7" s="9" t="n">
        <v>15</v>
      </c>
      <c r="H7" s="9" t="n">
        <v>15</v>
      </c>
      <c r="I7" s="9" t="n">
        <v>15</v>
      </c>
      <c r="J7" s="9" t="n">
        <v>15</v>
      </c>
      <c r="K7" s="9" t="n">
        <v>15</v>
      </c>
      <c r="L7" s="9" t="n">
        <v>15</v>
      </c>
      <c r="M7" s="9" t="n">
        <v>15</v>
      </c>
      <c r="N7" s="9" t="n">
        <v>15</v>
      </c>
      <c r="O7" s="9" t="n">
        <v>15</v>
      </c>
      <c r="P7" s="9" t="n">
        <v>15</v>
      </c>
      <c r="Q7" s="9" t="n">
        <v>15</v>
      </c>
      <c r="R7" s="9" t="n">
        <v>15</v>
      </c>
      <c r="S7" s="9" t="n">
        <v>15</v>
      </c>
      <c r="T7" s="9" t="n">
        <v>15</v>
      </c>
      <c r="U7" s="9" t="n">
        <v>15</v>
      </c>
      <c r="V7" s="9" t="n">
        <v>15</v>
      </c>
      <c r="W7" s="9" t="n">
        <v>15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20</v>
      </c>
      <c r="E8" s="9" t="n">
        <v>20</v>
      </c>
      <c r="F8" s="9" t="n">
        <v>20</v>
      </c>
      <c r="G8" s="9" t="n">
        <v>20</v>
      </c>
      <c r="H8" s="9" t="n">
        <v>20</v>
      </c>
      <c r="I8" s="9" t="n">
        <v>20</v>
      </c>
      <c r="J8" s="9" t="n">
        <v>20</v>
      </c>
      <c r="K8" s="9" t="n">
        <v>20</v>
      </c>
      <c r="L8" s="9" t="n">
        <v>20</v>
      </c>
      <c r="M8" s="9" t="n">
        <v>20</v>
      </c>
      <c r="N8" s="9" t="n">
        <v>20</v>
      </c>
      <c r="O8" s="9" t="n">
        <v>20</v>
      </c>
      <c r="P8" s="9" t="n">
        <v>20</v>
      </c>
      <c r="Q8" s="9" t="n">
        <v>20</v>
      </c>
      <c r="R8" s="9" t="n">
        <v>20</v>
      </c>
      <c r="S8" s="9" t="n">
        <v>20</v>
      </c>
      <c r="T8" s="9" t="n">
        <v>20</v>
      </c>
      <c r="U8" s="9" t="n">
        <v>20</v>
      </c>
      <c r="V8" s="9" t="n">
        <v>20</v>
      </c>
      <c r="W8" s="9" t="n">
        <v>20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180000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35000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85000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70000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650000</v>
      </c>
      <c r="D7" s="11" t="n">
        <v>1181676</v>
      </c>
      <c r="E7" s="11" t="n">
        <v>1301272</v>
      </c>
      <c r="F7" s="11" t="n">
        <v>1398809</v>
      </c>
      <c r="G7" s="11" t="n">
        <v>1454018</v>
      </c>
      <c r="H7" s="11" t="n">
        <v>1489178</v>
      </c>
      <c r="I7" s="11" t="n">
        <v>1503569</v>
      </c>
      <c r="J7" s="11" t="n">
        <v>1503569</v>
      </c>
      <c r="K7" s="11" t="n">
        <v>1503569</v>
      </c>
      <c r="L7" s="11" t="n">
        <v>1503569</v>
      </c>
      <c r="M7" s="11" t="n">
        <v>1503569</v>
      </c>
      <c r="N7" s="11" t="n">
        <v>1503569</v>
      </c>
      <c r="O7" s="11" t="n">
        <v>1503569</v>
      </c>
      <c r="P7" s="11" t="n">
        <v>1503569</v>
      </c>
      <c r="Q7" s="11" t="n">
        <v>1503569</v>
      </c>
      <c r="R7" s="11" t="n">
        <v>1503569</v>
      </c>
      <c r="S7" s="11" t="n">
        <v>1503569</v>
      </c>
      <c r="T7" s="11" t="n">
        <v>1503569</v>
      </c>
      <c r="U7" s="11" t="n">
        <v>1503569</v>
      </c>
      <c r="V7" s="11" t="n">
        <v>1503569</v>
      </c>
      <c r="W7" s="11" t="n">
        <v>1503569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14883</v>
      </c>
      <c r="O9" s="11" t="n">
        <v>41137</v>
      </c>
      <c r="P9" s="11" t="n">
        <v>42830</v>
      </c>
      <c r="Q9" s="11" t="n">
        <v>58499</v>
      </c>
      <c r="R9" s="11" t="n">
        <v>122522</v>
      </c>
      <c r="S9" s="11" t="n">
        <v>134394</v>
      </c>
      <c r="T9" s="11" t="n">
        <v>136755</v>
      </c>
      <c r="U9" s="11" t="n">
        <v>144900</v>
      </c>
      <c r="V9" s="11" t="n">
        <v>149825</v>
      </c>
      <c r="W9" s="11" t="n">
        <v>162176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72000</v>
      </c>
      <c r="D12" s="11" t="n">
        <v>54000</v>
      </c>
      <c r="E12" s="11" t="n">
        <v>54000</v>
      </c>
      <c r="F12" s="11" t="n">
        <v>54000</v>
      </c>
      <c r="G12" s="11" t="n">
        <v>54000</v>
      </c>
      <c r="H12" s="11" t="n">
        <v>54000</v>
      </c>
      <c r="I12" s="11" t="n">
        <v>54000</v>
      </c>
      <c r="J12" s="11" t="n">
        <v>54000</v>
      </c>
      <c r="K12" s="11" t="n">
        <v>54000</v>
      </c>
      <c r="L12" s="11" t="n">
        <v>54000</v>
      </c>
      <c r="M12" s="11" t="n">
        <v>54000</v>
      </c>
      <c r="N12" s="11" t="n">
        <v>54000</v>
      </c>
      <c r="O12" s="11" t="n">
        <v>54000</v>
      </c>
      <c r="P12" s="11" t="n">
        <v>54000</v>
      </c>
      <c r="Q12" s="11" t="n">
        <v>54000</v>
      </c>
      <c r="R12" s="11" t="n">
        <v>54000</v>
      </c>
      <c r="S12" s="11" t="n">
        <v>54000</v>
      </c>
      <c r="T12" s="11" t="n">
        <v>54000</v>
      </c>
      <c r="U12" s="11" t="n">
        <v>54000</v>
      </c>
      <c r="V12" s="11" t="n">
        <v>54000</v>
      </c>
      <c r="W12" s="11" t="n">
        <v>54000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Completed repair order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Completed repair order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Completed repair order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Completed repair order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0.34</v>
      </c>
      <c r="D12" s="14" t="n">
        <v>0.46</v>
      </c>
      <c r="E12" s="14" t="n">
        <v>0.456</v>
      </c>
      <c r="F12" s="14" t="n">
        <v>0.4520000000000001</v>
      </c>
      <c r="G12" s="14" t="n">
        <v>0.448</v>
      </c>
      <c r="H12" s="14" t="n">
        <v>0.4440000000000001</v>
      </c>
      <c r="I12" s="14" t="n">
        <v>0.44</v>
      </c>
      <c r="J12" s="14" t="n">
        <v>0.4360000000000001</v>
      </c>
      <c r="K12" s="14" t="n">
        <v>0.4320000000000001</v>
      </c>
      <c r="L12" s="14" t="n">
        <v>0.428</v>
      </c>
      <c r="M12" s="14" t="n">
        <v>0.424</v>
      </c>
      <c r="N12" s="14" t="n">
        <v>0.42</v>
      </c>
      <c r="O12" s="14" t="n">
        <v>0.4177777777777777</v>
      </c>
      <c r="P12" s="14" t="n">
        <v>0.4155555555555556</v>
      </c>
      <c r="Q12" s="14" t="n">
        <v>0.4133333333333333</v>
      </c>
      <c r="R12" s="14" t="n">
        <v>0.4111111111111111</v>
      </c>
      <c r="S12" s="14" t="n">
        <v>0.4088888888888889</v>
      </c>
      <c r="T12" s="14" t="n">
        <v>0.4066666666666667</v>
      </c>
      <c r="U12" s="14" t="n">
        <v>0.4044444444444444</v>
      </c>
      <c r="V12" s="14" t="n">
        <v>0.4022222222222223</v>
      </c>
      <c r="W12" s="14" t="n">
        <v>0.4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0.07199999999999999</v>
      </c>
      <c r="D13" s="14" t="n">
        <v>0.21</v>
      </c>
      <c r="E13" s="14" t="n">
        <v>0.199</v>
      </c>
      <c r="F13" s="14" t="n">
        <v>0.188</v>
      </c>
      <c r="G13" s="14" t="n">
        <v>0.177</v>
      </c>
      <c r="H13" s="14" t="n">
        <v>0.166</v>
      </c>
      <c r="I13" s="14" t="n">
        <v>0.155</v>
      </c>
      <c r="J13" s="14" t="n">
        <v>0.144</v>
      </c>
      <c r="K13" s="14" t="n">
        <v>0.133</v>
      </c>
      <c r="L13" s="14" t="n">
        <v>0.122</v>
      </c>
      <c r="M13" s="14" t="n">
        <v>0.111</v>
      </c>
      <c r="N13" s="14" t="n">
        <v>0.1</v>
      </c>
      <c r="O13" s="14" t="n">
        <v>0.09777777777777778</v>
      </c>
      <c r="P13" s="14" t="n">
        <v>0.09555555555555556</v>
      </c>
      <c r="Q13" s="14" t="n">
        <v>0.09333333333333335</v>
      </c>
      <c r="R13" s="14" t="n">
        <v>0.09111111111111111</v>
      </c>
      <c r="S13" s="14" t="n">
        <v>0.08888888888888889</v>
      </c>
      <c r="T13" s="14" t="n">
        <v>0.08666666666666667</v>
      </c>
      <c r="U13" s="14" t="n">
        <v>0.08444444444444445</v>
      </c>
      <c r="V13" s="14" t="n">
        <v>0.08222222222222222</v>
      </c>
      <c r="W13" s="14" t="n">
        <v>0.08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212500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0.00507</v>
      </c>
      <c r="D17" s="14" t="n">
        <v>0.21</v>
      </c>
      <c r="E17" s="14" t="n">
        <v>0.204</v>
      </c>
      <c r="F17" s="14" t="n">
        <v>0.198</v>
      </c>
      <c r="G17" s="14" t="n">
        <v>0.192</v>
      </c>
      <c r="H17" s="14" t="n">
        <v>0.186</v>
      </c>
      <c r="I17" s="14" t="n">
        <v>0.18</v>
      </c>
      <c r="J17" s="14" t="n">
        <v>0.174</v>
      </c>
      <c r="K17" s="14" t="n">
        <v>0.168</v>
      </c>
      <c r="L17" s="14" t="n">
        <v>0.162</v>
      </c>
      <c r="M17" s="14" t="n">
        <v>0.156</v>
      </c>
      <c r="N17" s="14" t="n">
        <v>0.15</v>
      </c>
      <c r="O17" s="14" t="n">
        <v>0.1466666666666667</v>
      </c>
      <c r="P17" s="14" t="n">
        <v>0.1433333333333333</v>
      </c>
      <c r="Q17" s="14" t="n">
        <v>0.14</v>
      </c>
      <c r="R17" s="14" t="n">
        <v>0.1366666666666667</v>
      </c>
      <c r="S17" s="14" t="n">
        <v>0.1333333333333333</v>
      </c>
      <c r="T17" s="14" t="n">
        <v>0.13</v>
      </c>
      <c r="U17" s="14" t="n">
        <v>0.1266666666666667</v>
      </c>
      <c r="V17" s="14" t="n">
        <v>0.1233333333333333</v>
      </c>
      <c r="W17" s="14" t="n">
        <v>0.12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0.269425</v>
      </c>
      <c r="D22" s="14" t="n">
        <v>0.269425</v>
      </c>
      <c r="E22" s="14" t="n">
        <v>0.269425</v>
      </c>
      <c r="F22" s="14" t="n">
        <v>0.269425</v>
      </c>
      <c r="G22" s="14" t="n">
        <v>0.269425</v>
      </c>
      <c r="H22" s="14" t="n">
        <v>0.269425</v>
      </c>
      <c r="I22" s="14" t="n">
        <v>0.269425</v>
      </c>
      <c r="J22" s="14" t="n">
        <v>0.269425</v>
      </c>
      <c r="K22" s="14" t="n">
        <v>0.269425</v>
      </c>
      <c r="L22" s="14" t="n">
        <v>0.269425</v>
      </c>
      <c r="M22" s="14" t="n">
        <v>0.269425</v>
      </c>
      <c r="N22" s="14" t="n">
        <v>0.269425</v>
      </c>
      <c r="O22" s="14" t="n">
        <v>0.269425</v>
      </c>
      <c r="P22" s="14" t="n">
        <v>0.269425</v>
      </c>
      <c r="Q22" s="14" t="n">
        <v>0.269425</v>
      </c>
      <c r="R22" s="14" t="n">
        <v>0.269425</v>
      </c>
      <c r="S22" s="14" t="n">
        <v>0.269425</v>
      </c>
      <c r="T22" s="14" t="n">
        <v>0.269425</v>
      </c>
      <c r="U22" s="14" t="n">
        <v>0.269425</v>
      </c>
      <c r="V22" s="14" t="n">
        <v>0.269425</v>
      </c>
      <c r="W22" s="14" t="n">
        <v>0.269425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766187.5</v>
      </c>
      <c r="D7" s="31" t="n">
        <v>1025000</v>
      </c>
      <c r="E7" s="31" t="n">
        <v>1031610</v>
      </c>
      <c r="F7" s="31" t="n">
        <v>1038240</v>
      </c>
      <c r="G7" s="31" t="n">
        <v>1044890</v>
      </c>
      <c r="H7" s="31" t="n">
        <v>1051560</v>
      </c>
      <c r="I7" s="31" t="n">
        <v>1058250</v>
      </c>
      <c r="J7" s="31" t="n">
        <v>1064960</v>
      </c>
      <c r="K7" s="31" t="n">
        <v>1071690</v>
      </c>
      <c r="L7" s="31" t="n">
        <v>1078440</v>
      </c>
      <c r="M7" s="31" t="n">
        <v>1085210</v>
      </c>
      <c r="N7" s="31" t="n">
        <v>1092000</v>
      </c>
      <c r="O7" s="31" t="n">
        <v>1096666.66704</v>
      </c>
      <c r="P7" s="31" t="n">
        <v>1101333.33408</v>
      </c>
      <c r="Q7" s="31" t="n">
        <v>1105999.99944</v>
      </c>
      <c r="R7" s="31" t="n">
        <v>1110666.66648</v>
      </c>
      <c r="S7" s="31" t="n">
        <v>1115333.33352</v>
      </c>
      <c r="T7" s="31" t="n">
        <v>1120000.00056</v>
      </c>
      <c r="U7" s="31" t="n">
        <v>1124666.66592</v>
      </c>
      <c r="V7" s="31" t="n">
        <v>1129333.33296</v>
      </c>
      <c r="W7" s="31" t="n">
        <v>1134000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260503.75</v>
      </c>
      <c r="D8" s="31" t="n">
        <v>471500</v>
      </c>
      <c r="E8" s="31" t="n">
        <v>470414.16</v>
      </c>
      <c r="F8" s="31" t="n">
        <v>469284.48</v>
      </c>
      <c r="G8" s="31" t="n">
        <v>468110.72</v>
      </c>
      <c r="H8" s="31" t="n">
        <v>466892.64</v>
      </c>
      <c r="I8" s="31" t="n">
        <v>465630</v>
      </c>
      <c r="J8" s="31" t="n">
        <v>464322.56</v>
      </c>
      <c r="K8" s="31" t="n">
        <v>462970.08</v>
      </c>
      <c r="L8" s="31" t="n">
        <v>461572.32</v>
      </c>
      <c r="M8" s="31" t="n">
        <v>460129.04</v>
      </c>
      <c r="N8" s="31" t="n">
        <v>458640</v>
      </c>
      <c r="O8" s="31" t="n">
        <v>458162.963119</v>
      </c>
      <c r="P8" s="31" t="n">
        <v>457665.185495</v>
      </c>
      <c r="Q8" s="31" t="n">
        <v>457146.666435</v>
      </c>
      <c r="R8" s="31" t="n">
        <v>456607.407331</v>
      </c>
      <c r="S8" s="31" t="n">
        <v>456047.407484</v>
      </c>
      <c r="T8" s="31" t="n">
        <v>455466.666894</v>
      </c>
      <c r="U8" s="31" t="n">
        <v>454865.184883</v>
      </c>
      <c r="V8" s="31" t="n">
        <v>454242.962813</v>
      </c>
      <c r="W8" s="31" t="n">
        <v>453600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505683.75</v>
      </c>
      <c r="D9" s="31" t="n">
        <v>553500</v>
      </c>
      <c r="E9" s="31" t="n">
        <v>561195.84</v>
      </c>
      <c r="F9" s="31" t="n">
        <v>568955.52</v>
      </c>
      <c r="G9" s="31" t="n">
        <v>576779.28</v>
      </c>
      <c r="H9" s="31" t="n">
        <v>584667.36</v>
      </c>
      <c r="I9" s="31" t="n">
        <v>592620</v>
      </c>
      <c r="J9" s="31" t="n">
        <v>600637.4399999999</v>
      </c>
      <c r="K9" s="31" t="n">
        <v>608719.92</v>
      </c>
      <c r="L9" s="31" t="n">
        <v>616867.6800000001</v>
      </c>
      <c r="M9" s="31" t="n">
        <v>625080.96</v>
      </c>
      <c r="N9" s="31" t="n">
        <v>633360</v>
      </c>
      <c r="O9" s="31" t="n">
        <v>638503.703921</v>
      </c>
      <c r="P9" s="31" t="n">
        <v>643668.148585</v>
      </c>
      <c r="Q9" s="31" t="n">
        <v>648853.333005</v>
      </c>
      <c r="R9" s="31" t="n">
        <v>654059.259149</v>
      </c>
      <c r="S9" s="31" t="n">
        <v>659285.926036</v>
      </c>
      <c r="T9" s="31" t="n">
        <v>664533.333666</v>
      </c>
      <c r="U9" s="31" t="n">
        <v>669801.481037</v>
      </c>
      <c r="V9" s="31" t="n">
        <v>675090.370147</v>
      </c>
      <c r="W9" s="31" t="n">
        <v>680400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55165.5</v>
      </c>
      <c r="D10" s="31" t="n">
        <v>215250</v>
      </c>
      <c r="E10" s="31" t="n">
        <v>205290.39</v>
      </c>
      <c r="F10" s="31" t="n">
        <v>195189.12</v>
      </c>
      <c r="G10" s="31" t="n">
        <v>184945.53</v>
      </c>
      <c r="H10" s="31" t="n">
        <v>174558.96</v>
      </c>
      <c r="I10" s="31" t="n">
        <v>164028.75</v>
      </c>
      <c r="J10" s="31" t="n">
        <v>153354.24</v>
      </c>
      <c r="K10" s="31" t="n">
        <v>142534.77</v>
      </c>
      <c r="L10" s="31" t="n">
        <v>131569.68</v>
      </c>
      <c r="M10" s="31" t="n">
        <v>120458.31</v>
      </c>
      <c r="N10" s="31" t="n">
        <v>109200</v>
      </c>
      <c r="O10" s="31" t="n">
        <v>107229.629666</v>
      </c>
      <c r="P10" s="31" t="n">
        <v>105238.51859</v>
      </c>
      <c r="Q10" s="31" t="n">
        <v>103226.666614</v>
      </c>
      <c r="R10" s="31" t="n">
        <v>101194.074057</v>
      </c>
      <c r="S10" s="31" t="n">
        <v>99140.74075700001</v>
      </c>
      <c r="T10" s="31" t="n">
        <v>97066.666715</v>
      </c>
      <c r="U10" s="31" t="n">
        <v>94971.85178899999</v>
      </c>
      <c r="V10" s="31" t="n">
        <v>92856.296266</v>
      </c>
      <c r="W10" s="31" t="n">
        <v>90720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72000</v>
      </c>
      <c r="D12" s="31" t="n">
        <v>54000</v>
      </c>
      <c r="E12" s="31" t="n">
        <v>54000</v>
      </c>
      <c r="F12" s="31" t="n">
        <v>54000</v>
      </c>
      <c r="G12" s="31" t="n">
        <v>54000</v>
      </c>
      <c r="H12" s="31" t="n">
        <v>54000</v>
      </c>
      <c r="I12" s="31" t="n">
        <v>54000</v>
      </c>
      <c r="J12" s="31" t="n">
        <v>54000</v>
      </c>
      <c r="K12" s="31" t="n">
        <v>54000</v>
      </c>
      <c r="L12" s="31" t="n">
        <v>54000</v>
      </c>
      <c r="M12" s="31" t="n">
        <v>54000</v>
      </c>
      <c r="N12" s="31" t="n">
        <v>54000</v>
      </c>
      <c r="O12" s="31" t="n">
        <v>54000</v>
      </c>
      <c r="P12" s="31" t="n">
        <v>54000</v>
      </c>
      <c r="Q12" s="31" t="n">
        <v>54000</v>
      </c>
      <c r="R12" s="31" t="n">
        <v>54000</v>
      </c>
      <c r="S12" s="31" t="n">
        <v>54000</v>
      </c>
      <c r="T12" s="31" t="n">
        <v>54000</v>
      </c>
      <c r="U12" s="31" t="n">
        <v>54000</v>
      </c>
      <c r="V12" s="31" t="n">
        <v>54000</v>
      </c>
      <c r="W12" s="31" t="n">
        <v>54000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212500</v>
      </c>
      <c r="D13" s="31" t="n">
        <v>154401</v>
      </c>
      <c r="E13" s="31" t="n">
        <v>154401</v>
      </c>
      <c r="F13" s="31" t="n">
        <v>154401</v>
      </c>
      <c r="G13" s="31" t="n">
        <v>154401</v>
      </c>
      <c r="H13" s="31" t="n">
        <v>159032</v>
      </c>
      <c r="I13" s="31" t="n">
        <v>159032</v>
      </c>
      <c r="J13" s="31" t="n">
        <v>159032</v>
      </c>
      <c r="K13" s="31" t="n">
        <v>159032</v>
      </c>
      <c r="L13" s="31" t="n">
        <v>163802</v>
      </c>
      <c r="M13" s="31" t="n">
        <v>163802</v>
      </c>
      <c r="N13" s="31" t="n">
        <v>163802</v>
      </c>
      <c r="O13" s="31" t="n">
        <v>163802</v>
      </c>
      <c r="P13" s="31" t="n">
        <v>168718</v>
      </c>
      <c r="Q13" s="31" t="n">
        <v>168718</v>
      </c>
      <c r="R13" s="31" t="n">
        <v>168718</v>
      </c>
      <c r="S13" s="31" t="n">
        <v>168718</v>
      </c>
      <c r="T13" s="31" t="n">
        <v>173780</v>
      </c>
      <c r="U13" s="31" t="n">
        <v>173780</v>
      </c>
      <c r="V13" s="31" t="n">
        <v>173780</v>
      </c>
      <c r="W13" s="31" t="n">
        <v>173780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3884.570625</v>
      </c>
      <c r="D14" s="31" t="n">
        <v>215250</v>
      </c>
      <c r="E14" s="31" t="n">
        <v>210448.44</v>
      </c>
      <c r="F14" s="31" t="n">
        <v>205571.52</v>
      </c>
      <c r="G14" s="31" t="n">
        <v>200618.88</v>
      </c>
      <c r="H14" s="31" t="n">
        <v>195590.16</v>
      </c>
      <c r="I14" s="31" t="n">
        <v>190485</v>
      </c>
      <c r="J14" s="31" t="n">
        <v>185303.04</v>
      </c>
      <c r="K14" s="31" t="n">
        <v>180043.92</v>
      </c>
      <c r="L14" s="31" t="n">
        <v>174707.28</v>
      </c>
      <c r="M14" s="31" t="n">
        <v>169292.76</v>
      </c>
      <c r="N14" s="31" t="n">
        <v>163800</v>
      </c>
      <c r="O14" s="31" t="n">
        <v>160844.444499</v>
      </c>
      <c r="P14" s="31" t="n">
        <v>157857.777885</v>
      </c>
      <c r="Q14" s="31" t="n">
        <v>154839.999922</v>
      </c>
      <c r="R14" s="31" t="n">
        <v>151791.111086</v>
      </c>
      <c r="S14" s="31" t="n">
        <v>148711.111136</v>
      </c>
      <c r="T14" s="31" t="n">
        <v>145600.000073</v>
      </c>
      <c r="U14" s="31" t="n">
        <v>142457.777683</v>
      </c>
      <c r="V14" s="31" t="n">
        <v>139284.444398</v>
      </c>
      <c r="W14" s="31" t="n">
        <v>136080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162133.679375</v>
      </c>
      <c r="D15" s="31" t="n">
        <v>-85401</v>
      </c>
      <c r="E15" s="31" t="n">
        <v>-62943.99</v>
      </c>
      <c r="F15" s="31" t="n">
        <v>-40206.12</v>
      </c>
      <c r="G15" s="31" t="n">
        <v>-17186.13</v>
      </c>
      <c r="H15" s="31" t="n">
        <v>1486.24</v>
      </c>
      <c r="I15" s="31" t="n">
        <v>25074.25</v>
      </c>
      <c r="J15" s="31" t="n">
        <v>48948.16</v>
      </c>
      <c r="K15" s="31" t="n">
        <v>73109.23</v>
      </c>
      <c r="L15" s="31" t="n">
        <v>92788.72</v>
      </c>
      <c r="M15" s="31" t="n">
        <v>117527.89</v>
      </c>
      <c r="N15" s="31" t="n">
        <v>142558</v>
      </c>
      <c r="O15" s="31" t="n">
        <v>152627.629756</v>
      </c>
      <c r="P15" s="31" t="n">
        <v>157853.85211</v>
      </c>
      <c r="Q15" s="31" t="n">
        <v>168068.666469</v>
      </c>
      <c r="R15" s="31" t="n">
        <v>178356.074007</v>
      </c>
      <c r="S15" s="31" t="n">
        <v>188716.074143</v>
      </c>
      <c r="T15" s="31" t="n">
        <v>194086.666878</v>
      </c>
      <c r="U15" s="31" t="n">
        <v>204591.851565</v>
      </c>
      <c r="V15" s="31" t="n">
        <v>215169.629483</v>
      </c>
      <c r="W15" s="31" t="n">
        <v>225820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8000.1</v>
      </c>
      <c r="D16" s="31" t="n">
        <v>11394.84375</v>
      </c>
      <c r="E16" s="31" t="n">
        <v>10469.84375</v>
      </c>
      <c r="F16" s="31" t="n">
        <v>9544.84375</v>
      </c>
      <c r="G16" s="31" t="n">
        <v>8619.84375</v>
      </c>
      <c r="H16" s="31" t="n">
        <v>8064.84375</v>
      </c>
      <c r="I16" s="31" t="n">
        <v>7544.53125</v>
      </c>
      <c r="J16" s="31" t="n">
        <v>7024.21875</v>
      </c>
      <c r="K16" s="31" t="n">
        <v>6503.90625</v>
      </c>
      <c r="L16" s="31" t="n">
        <v>5983.59375</v>
      </c>
      <c r="M16" s="31" t="n">
        <v>5463.28125</v>
      </c>
      <c r="N16" s="31" t="n">
        <v>4770.91875</v>
      </c>
      <c r="O16" s="31" t="n">
        <v>3602.932813</v>
      </c>
      <c r="P16" s="31" t="n">
        <v>2111.798125</v>
      </c>
      <c r="Q16" s="31" t="n">
        <v>678.2215629999999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3120</v>
      </c>
      <c r="E17" s="31" t="n">
        <v>3541.959551</v>
      </c>
      <c r="F17" s="31" t="n">
        <v>3967.856877</v>
      </c>
      <c r="G17" s="31" t="n">
        <v>4396.057241</v>
      </c>
      <c r="H17" s="31" t="n">
        <v>4826.124152</v>
      </c>
      <c r="I17" s="31" t="n">
        <v>5257.619747</v>
      </c>
      <c r="J17" s="31" t="n">
        <v>5692.590086</v>
      </c>
      <c r="K17" s="31" t="n">
        <v>6129.376341</v>
      </c>
      <c r="L17" s="31" t="n">
        <v>6567.548322</v>
      </c>
      <c r="M17" s="31" t="n">
        <v>7007.931567</v>
      </c>
      <c r="N17" s="31" t="n">
        <v>7450.100514</v>
      </c>
      <c r="O17" s="31" t="n">
        <v>7892.357682</v>
      </c>
      <c r="P17" s="31" t="n">
        <v>8336.803264</v>
      </c>
      <c r="Q17" s="31" t="n">
        <v>8783.004531</v>
      </c>
      <c r="R17" s="31" t="n">
        <v>9229.244898000001</v>
      </c>
      <c r="S17" s="31" t="n">
        <v>9676.356239999999</v>
      </c>
      <c r="T17" s="31" t="n">
        <v>10125.169311</v>
      </c>
      <c r="U17" s="31" t="n">
        <v>10573.943112</v>
      </c>
      <c r="V17" s="31" t="n">
        <v>11022.215142</v>
      </c>
      <c r="W17" s="31" t="n">
        <v>11472.087476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41527.439623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3306.410274</v>
      </c>
      <c r="J18" s="31" t="n">
        <v>9761.631787</v>
      </c>
      <c r="K18" s="31" t="n">
        <v>16293.732131</v>
      </c>
      <c r="L18" s="31" t="n">
        <v>21618.009433</v>
      </c>
      <c r="M18" s="31" t="n">
        <v>28304.89525</v>
      </c>
      <c r="N18" s="31" t="n">
        <v>35116.041035</v>
      </c>
      <c r="O18" s="31" t="n">
        <v>38024.580506</v>
      </c>
      <c r="P18" s="31" t="n">
        <v>39714.659675</v>
      </c>
      <c r="Q18" s="31" t="n">
        <v>42732.809623</v>
      </c>
      <c r="R18" s="31" t="n">
        <v>45566.995933</v>
      </c>
      <c r="S18" s="31" t="n">
        <v>48237.775996</v>
      </c>
      <c r="T18" s="31" t="n">
        <v>49563.826482</v>
      </c>
      <c r="U18" s="31" t="n">
        <v>52273.274985</v>
      </c>
      <c r="V18" s="31" t="n">
        <v>55002.417109</v>
      </c>
      <c r="W18" s="31" t="n">
        <v>57750.686332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112606.139752</v>
      </c>
      <c r="D19" s="31" t="n">
        <v>-99915.84375</v>
      </c>
      <c r="E19" s="31" t="n">
        <v>-76955.793301</v>
      </c>
      <c r="F19" s="31" t="n">
        <v>-53718.820627</v>
      </c>
      <c r="G19" s="31" t="n">
        <v>-30202.030991</v>
      </c>
      <c r="H19" s="31" t="n">
        <v>-11404.727902</v>
      </c>
      <c r="I19" s="31" t="n">
        <v>8965.688729</v>
      </c>
      <c r="J19" s="31" t="n">
        <v>26469.719377</v>
      </c>
      <c r="K19" s="31" t="n">
        <v>44182.215279</v>
      </c>
      <c r="L19" s="31" t="n">
        <v>58619.568495</v>
      </c>
      <c r="M19" s="31" t="n">
        <v>76751.78193300001</v>
      </c>
      <c r="N19" s="31" t="n">
        <v>95220.939701</v>
      </c>
      <c r="O19" s="31" t="n">
        <v>103107.758756</v>
      </c>
      <c r="P19" s="31" t="n">
        <v>107690.591045</v>
      </c>
      <c r="Q19" s="31" t="n">
        <v>115874.630752</v>
      </c>
      <c r="R19" s="31" t="n">
        <v>123559.833176</v>
      </c>
      <c r="S19" s="31" t="n">
        <v>130801.941907</v>
      </c>
      <c r="T19" s="31" t="n">
        <v>134397.671084</v>
      </c>
      <c r="U19" s="31" t="n">
        <v>141744.633468</v>
      </c>
      <c r="V19" s="31" t="n">
        <v>149144.997233</v>
      </c>
      <c r="W19" s="31" t="n">
        <v>156597.226192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180000</v>
      </c>
      <c r="D23" s="31" t="n">
        <v>555201.473641</v>
      </c>
      <c r="E23" s="31" t="n">
        <v>547276.338803</v>
      </c>
      <c r="F23" s="31" t="n">
        <v>539222.72808</v>
      </c>
      <c r="G23" s="31" t="n">
        <v>531037.893243</v>
      </c>
      <c r="H23" s="31" t="n">
        <v>525037.86476</v>
      </c>
      <c r="I23" s="31" t="n">
        <v>516587.981666</v>
      </c>
      <c r="J23" s="31" t="n">
        <v>510537.462303</v>
      </c>
      <c r="K23" s="31" t="n">
        <v>523504.396597</v>
      </c>
      <c r="L23" s="31" t="n">
        <v>553972.2871289999</v>
      </c>
      <c r="M23" s="31" t="n">
        <v>600249.747015</v>
      </c>
      <c r="N23" s="31" t="n">
        <v>632961.700338</v>
      </c>
      <c r="O23" s="31" t="n">
        <v>629360.324668</v>
      </c>
      <c r="P23" s="31" t="n">
        <v>628986.187761</v>
      </c>
      <c r="Q23" s="31" t="n">
        <v>625287.773084</v>
      </c>
      <c r="R23" s="31" t="n">
        <v>621539.745481</v>
      </c>
      <c r="S23" s="31" t="n">
        <v>617743.896138</v>
      </c>
      <c r="T23" s="31" t="n">
        <v>617276.2986259999</v>
      </c>
      <c r="U23" s="31" t="n">
        <v>613384.072349</v>
      </c>
      <c r="V23" s="31" t="n">
        <v>609441.953482</v>
      </c>
      <c r="W23" s="31" t="n">
        <v>605454.352421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35000</v>
      </c>
      <c r="D24" s="31" t="n">
        <v>167119.565217</v>
      </c>
      <c r="E24" s="31" t="n">
        <v>168197.282609</v>
      </c>
      <c r="F24" s="31" t="n">
        <v>173040</v>
      </c>
      <c r="G24" s="31" t="n">
        <v>172234.615385</v>
      </c>
      <c r="H24" s="31" t="n">
        <v>171450</v>
      </c>
      <c r="I24" s="31" t="n">
        <v>172540.76087</v>
      </c>
      <c r="J24" s="31" t="n">
        <v>175542.857143</v>
      </c>
      <c r="K24" s="31" t="n">
        <v>176652.197802</v>
      </c>
      <c r="L24" s="31" t="n">
        <v>175832.608696</v>
      </c>
      <c r="M24" s="31" t="n">
        <v>176936.413043</v>
      </c>
      <c r="N24" s="31" t="n">
        <v>182000</v>
      </c>
      <c r="O24" s="31" t="n">
        <v>180769.230831</v>
      </c>
      <c r="P24" s="31" t="n">
        <v>179565.217513</v>
      </c>
      <c r="Q24" s="31" t="n">
        <v>180326.086865</v>
      </c>
      <c r="R24" s="31" t="n">
        <v>185111.11108</v>
      </c>
      <c r="S24" s="31" t="n">
        <v>183846.153877</v>
      </c>
      <c r="T24" s="31" t="n">
        <v>182608.695743</v>
      </c>
      <c r="U24" s="31" t="n">
        <v>183369.565096</v>
      </c>
      <c r="V24" s="31" t="n">
        <v>188222.22216</v>
      </c>
      <c r="W24" s="31" t="n">
        <v>186923.076923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85000</v>
      </c>
      <c r="D25" s="31" t="n">
        <v>102500</v>
      </c>
      <c r="E25" s="31" t="n">
        <v>102263.947826</v>
      </c>
      <c r="F25" s="31" t="n">
        <v>104285.44</v>
      </c>
      <c r="G25" s="31" t="n">
        <v>102881.476923</v>
      </c>
      <c r="H25" s="31" t="n">
        <v>101498.4</v>
      </c>
      <c r="I25" s="31" t="n">
        <v>101223.913043</v>
      </c>
      <c r="J25" s="31" t="n">
        <v>102048.914286</v>
      </c>
      <c r="K25" s="31" t="n">
        <v>101751.665934</v>
      </c>
      <c r="L25" s="31" t="n">
        <v>100341.808696</v>
      </c>
      <c r="M25" s="31" t="n">
        <v>100028.052174</v>
      </c>
      <c r="N25" s="31" t="n">
        <v>101920</v>
      </c>
      <c r="O25" s="31" t="n">
        <v>100695.156729</v>
      </c>
      <c r="P25" s="31" t="n">
        <v>99492.431629</v>
      </c>
      <c r="Q25" s="31" t="n">
        <v>99379.710095</v>
      </c>
      <c r="R25" s="31" t="n">
        <v>101468.31274</v>
      </c>
      <c r="S25" s="31" t="n">
        <v>100230.199447</v>
      </c>
      <c r="T25" s="31" t="n">
        <v>99014.492803</v>
      </c>
      <c r="U25" s="31" t="n">
        <v>98883.735844</v>
      </c>
      <c r="V25" s="31" t="n">
        <v>100942.880625</v>
      </c>
      <c r="W25" s="31" t="n">
        <v>99692.307692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300000</v>
      </c>
      <c r="D26" s="31" t="n">
        <v>824821.038859</v>
      </c>
      <c r="E26" s="31" t="n">
        <v>817737.569238</v>
      </c>
      <c r="F26" s="31" t="n">
        <v>816548.16808</v>
      </c>
      <c r="G26" s="31" t="n">
        <v>806153.98555</v>
      </c>
      <c r="H26" s="31" t="n">
        <v>797986.26476</v>
      </c>
      <c r="I26" s="31" t="n">
        <v>790352.655579</v>
      </c>
      <c r="J26" s="31" t="n">
        <v>788129.233732</v>
      </c>
      <c r="K26" s="31" t="n">
        <v>801908.260333</v>
      </c>
      <c r="L26" s="31" t="n">
        <v>830146.70452</v>
      </c>
      <c r="M26" s="31" t="n">
        <v>877214.212232</v>
      </c>
      <c r="N26" s="31" t="n">
        <v>916881.700338</v>
      </c>
      <c r="O26" s="31" t="n">
        <v>910824.712228</v>
      </c>
      <c r="P26" s="31" t="n">
        <v>908043.836903</v>
      </c>
      <c r="Q26" s="31" t="n">
        <v>904993.570043</v>
      </c>
      <c r="R26" s="31" t="n">
        <v>908119.169301</v>
      </c>
      <c r="S26" s="31" t="n">
        <v>901820.249462</v>
      </c>
      <c r="T26" s="31" t="n">
        <v>898899.487173</v>
      </c>
      <c r="U26" s="31" t="n">
        <v>895637.373289</v>
      </c>
      <c r="V26" s="31" t="n">
        <v>898607.056267</v>
      </c>
      <c r="W26" s="31" t="n">
        <v>892069.737036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1200000</v>
      </c>
      <c r="D27" s="31" t="n">
        <v>1207976.4</v>
      </c>
      <c r="E27" s="31" t="n">
        <v>1215586.65132</v>
      </c>
      <c r="F27" s="31" t="n">
        <v>1222824.254242</v>
      </c>
      <c r="G27" s="31" t="n">
        <v>1229684.298308</v>
      </c>
      <c r="H27" s="31" t="n">
        <v>1236162.275191</v>
      </c>
      <c r="I27" s="31" t="n">
        <v>1242254.082884</v>
      </c>
      <c r="J27" s="31" t="n">
        <v>1247953.544616</v>
      </c>
      <c r="K27" s="31" t="n">
        <v>1253256.099228</v>
      </c>
      <c r="L27" s="31" t="n">
        <v>1258157.583832</v>
      </c>
      <c r="M27" s="31" t="n">
        <v>1262652.980879</v>
      </c>
      <c r="N27" s="31" t="n">
        <v>1266737.663271</v>
      </c>
      <c r="O27" s="31" t="n">
        <v>1270408.66902</v>
      </c>
      <c r="P27" s="31" t="n">
        <v>1273660.915212</v>
      </c>
      <c r="Q27" s="31" t="n">
        <v>1276489.716105</v>
      </c>
      <c r="R27" s="31" t="n">
        <v>1278892.069751</v>
      </c>
      <c r="S27" s="31" t="n">
        <v>1280864.121323</v>
      </c>
      <c r="T27" s="31" t="n">
        <v>1282401.158269</v>
      </c>
      <c r="U27" s="31" t="n">
        <v>1283500.176061</v>
      </c>
      <c r="V27" s="31" t="n">
        <v>1284158.611651</v>
      </c>
      <c r="W27" s="31" t="n">
        <v>1284371.781981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-420</v>
      </c>
      <c r="E28" s="31" t="n">
        <v>-1261.959551</v>
      </c>
      <c r="F28" s="31" t="n">
        <v>-2529.816428</v>
      </c>
      <c r="G28" s="31" t="n">
        <v>-4225.873669</v>
      </c>
      <c r="H28" s="31" t="n">
        <v>-6351.997821</v>
      </c>
      <c r="I28" s="31" t="n">
        <v>-8909.617568</v>
      </c>
      <c r="J28" s="31" t="n">
        <v>-11902.207654</v>
      </c>
      <c r="K28" s="31" t="n">
        <v>-15331.583994</v>
      </c>
      <c r="L28" s="31" t="n">
        <v>-19199.132316</v>
      </c>
      <c r="M28" s="31" t="n">
        <v>-23507.063883</v>
      </c>
      <c r="N28" s="31" t="n">
        <v>-28257.164398</v>
      </c>
      <c r="O28" s="31" t="n">
        <v>-33449.522079</v>
      </c>
      <c r="P28" s="31" t="n">
        <v>-39086.325344</v>
      </c>
      <c r="Q28" s="31" t="n">
        <v>-45169.329875</v>
      </c>
      <c r="R28" s="31" t="n">
        <v>-51698.574773</v>
      </c>
      <c r="S28" s="31" t="n">
        <v>-58674.931013</v>
      </c>
      <c r="T28" s="31" t="n">
        <v>-66100.100324</v>
      </c>
      <c r="U28" s="31" t="n">
        <v>-73974.04343600001</v>
      </c>
      <c r="V28" s="31" t="n">
        <v>-82296.25857799999</v>
      </c>
      <c r="W28" s="31" t="n">
        <v>-91068.34605399999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1554000</v>
      </c>
      <c r="D29" s="31" t="n">
        <v>2084097.438859</v>
      </c>
      <c r="E29" s="31" t="n">
        <v>2081924.220558</v>
      </c>
      <c r="F29" s="31" t="n">
        <v>2085272.422322</v>
      </c>
      <c r="G29" s="31" t="n">
        <v>2079038.283859</v>
      </c>
      <c r="H29" s="31" t="n">
        <v>2074648.539951</v>
      </c>
      <c r="I29" s="31" t="n">
        <v>2070406.738463</v>
      </c>
      <c r="J29" s="31" t="n">
        <v>2071182.778348</v>
      </c>
      <c r="K29" s="31" t="n">
        <v>2087564.359561</v>
      </c>
      <c r="L29" s="31" t="n">
        <v>2118004.288352</v>
      </c>
      <c r="M29" s="31" t="n">
        <v>2166867.193111</v>
      </c>
      <c r="N29" s="31" t="n">
        <v>2207919.363609</v>
      </c>
      <c r="O29" s="31" t="n">
        <v>2202833.381247</v>
      </c>
      <c r="P29" s="31" t="n">
        <v>2200604.752116</v>
      </c>
      <c r="Q29" s="31" t="n">
        <v>2197683.286149</v>
      </c>
      <c r="R29" s="31" t="n">
        <v>2200511.239053</v>
      </c>
      <c r="S29" s="31" t="n">
        <v>2193484.370785</v>
      </c>
      <c r="T29" s="31" t="n">
        <v>2189400.645442</v>
      </c>
      <c r="U29" s="31" t="n">
        <v>2184537.54935</v>
      </c>
      <c r="V29" s="31" t="n">
        <v>2185465.667918</v>
      </c>
      <c r="W29" s="31" t="n">
        <v>2176441.519017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70000</v>
      </c>
      <c r="D30" s="31" t="n">
        <v>208337.282609</v>
      </c>
      <c r="E30" s="31" t="n">
        <v>203523.857609</v>
      </c>
      <c r="F30" s="31" t="n">
        <v>203053.88</v>
      </c>
      <c r="G30" s="31" t="n">
        <v>195812.772527</v>
      </c>
      <c r="H30" s="31" t="n">
        <v>190167.756522</v>
      </c>
      <c r="I30" s="31" t="n">
        <v>185069.266304</v>
      </c>
      <c r="J30" s="31" t="n">
        <v>181875.586813</v>
      </c>
      <c r="K30" s="31" t="n">
        <v>176574.952747</v>
      </c>
      <c r="L30" s="31" t="n">
        <v>170895.313043</v>
      </c>
      <c r="M30" s="31" t="n">
        <v>165506.43587</v>
      </c>
      <c r="N30" s="31" t="n">
        <v>163600.666667</v>
      </c>
      <c r="O30" s="31" t="n">
        <v>160178.925549</v>
      </c>
      <c r="P30" s="31" t="n">
        <v>158417.705372</v>
      </c>
      <c r="Q30" s="31" t="n">
        <v>156777.608653</v>
      </c>
      <c r="R30" s="31" t="n">
        <v>158567.728381</v>
      </c>
      <c r="S30" s="31" t="n">
        <v>155132.918207</v>
      </c>
      <c r="T30" s="31" t="n">
        <v>153406.521779</v>
      </c>
      <c r="U30" s="31" t="n">
        <v>151698.792219</v>
      </c>
      <c r="V30" s="31" t="n">
        <v>153306.913555</v>
      </c>
      <c r="W30" s="31" t="n">
        <v>149861.538462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90000</v>
      </c>
      <c r="E32" s="31" t="n">
        <v>90000</v>
      </c>
      <c r="F32" s="31" t="n">
        <v>90000</v>
      </c>
      <c r="G32" s="31" t="n">
        <v>90000</v>
      </c>
      <c r="H32" s="31" t="n">
        <v>90000</v>
      </c>
      <c r="I32" s="31" t="n">
        <v>90000</v>
      </c>
      <c r="J32" s="31" t="n">
        <v>104880</v>
      </c>
      <c r="K32" s="31" t="n">
        <v>146015</v>
      </c>
      <c r="L32" s="31" t="n">
        <v>188843</v>
      </c>
      <c r="M32" s="31" t="n">
        <v>225000</v>
      </c>
      <c r="N32" s="31" t="n">
        <v>187620</v>
      </c>
      <c r="O32" s="31" t="n">
        <v>123985</v>
      </c>
      <c r="P32" s="31" t="n">
        <v>58657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70000</v>
      </c>
      <c r="D34" s="31" t="n">
        <v>298337.282609</v>
      </c>
      <c r="E34" s="31" t="n">
        <v>293523.857609</v>
      </c>
      <c r="F34" s="31" t="n">
        <v>293053.88</v>
      </c>
      <c r="G34" s="31" t="n">
        <v>285812.772527</v>
      </c>
      <c r="H34" s="31" t="n">
        <v>280167.756522</v>
      </c>
      <c r="I34" s="31" t="n">
        <v>275069.266304</v>
      </c>
      <c r="J34" s="31" t="n">
        <v>286755.586813</v>
      </c>
      <c r="K34" s="31" t="n">
        <v>322589.952747</v>
      </c>
      <c r="L34" s="31" t="n">
        <v>359738.313043</v>
      </c>
      <c r="M34" s="31" t="n">
        <v>390506.43587</v>
      </c>
      <c r="N34" s="31" t="n">
        <v>351220.666667</v>
      </c>
      <c r="O34" s="31" t="n">
        <v>284163.925549</v>
      </c>
      <c r="P34" s="31" t="n">
        <v>217074.705372</v>
      </c>
      <c r="Q34" s="31" t="n">
        <v>156777.608653</v>
      </c>
      <c r="R34" s="31" t="n">
        <v>158567.728381</v>
      </c>
      <c r="S34" s="31" t="n">
        <v>155132.918207</v>
      </c>
      <c r="T34" s="31" t="n">
        <v>153406.521779</v>
      </c>
      <c r="U34" s="31" t="n">
        <v>151698.792219</v>
      </c>
      <c r="V34" s="31" t="n">
        <v>153306.913555</v>
      </c>
      <c r="W34" s="31" t="n">
        <v>149861.538462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450000</v>
      </c>
      <c r="D35" s="31" t="n">
        <v>337500</v>
      </c>
      <c r="E35" s="31" t="n">
        <v>315000</v>
      </c>
      <c r="F35" s="31" t="n">
        <v>292500</v>
      </c>
      <c r="G35" s="31" t="n">
        <v>270000</v>
      </c>
      <c r="H35" s="31" t="n">
        <v>247500</v>
      </c>
      <c r="I35" s="31" t="n">
        <v>225000</v>
      </c>
      <c r="J35" s="31" t="n">
        <v>187620</v>
      </c>
      <c r="K35" s="31" t="n">
        <v>123985</v>
      </c>
      <c r="L35" s="31" t="n">
        <v>58657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574000</v>
      </c>
      <c r="D36" s="31" t="n">
        <v>672337.282609</v>
      </c>
      <c r="E36" s="31" t="n">
        <v>627523.8576090001</v>
      </c>
      <c r="F36" s="31" t="n">
        <v>587053.88</v>
      </c>
      <c r="G36" s="31" t="n">
        <v>555812.7725270001</v>
      </c>
      <c r="H36" s="31" t="n">
        <v>527667.756522</v>
      </c>
      <c r="I36" s="31" t="n">
        <v>500069.266304</v>
      </c>
      <c r="J36" s="31" t="n">
        <v>474375.586813</v>
      </c>
      <c r="K36" s="31" t="n">
        <v>446574.952747</v>
      </c>
      <c r="L36" s="31" t="n">
        <v>418395.313043</v>
      </c>
      <c r="M36" s="31" t="n">
        <v>390506.43587</v>
      </c>
      <c r="N36" s="31" t="n">
        <v>351220.666667</v>
      </c>
      <c r="O36" s="31" t="n">
        <v>284163.925549</v>
      </c>
      <c r="P36" s="31" t="n">
        <v>217074.705372</v>
      </c>
      <c r="Q36" s="31" t="n">
        <v>156777.608653</v>
      </c>
      <c r="R36" s="31" t="n">
        <v>158567.728381</v>
      </c>
      <c r="S36" s="31" t="n">
        <v>155132.918207</v>
      </c>
      <c r="T36" s="31" t="n">
        <v>153406.521779</v>
      </c>
      <c r="U36" s="31" t="n">
        <v>151698.792219</v>
      </c>
      <c r="V36" s="31" t="n">
        <v>153306.913555</v>
      </c>
      <c r="W36" s="31" t="n">
        <v>149861.538462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650000</v>
      </c>
      <c r="D37" s="31" t="n">
        <v>1181676</v>
      </c>
      <c r="E37" s="31" t="n">
        <v>1301272</v>
      </c>
      <c r="F37" s="31" t="n">
        <v>1398809</v>
      </c>
      <c r="G37" s="31" t="n">
        <v>1454018</v>
      </c>
      <c r="H37" s="31" t="n">
        <v>1489178</v>
      </c>
      <c r="I37" s="31" t="n">
        <v>1503569</v>
      </c>
      <c r="J37" s="31" t="n">
        <v>1503569</v>
      </c>
      <c r="K37" s="31" t="n">
        <v>1503569</v>
      </c>
      <c r="L37" s="31" t="n">
        <v>1503569</v>
      </c>
      <c r="M37" s="31" t="n">
        <v>1503569</v>
      </c>
      <c r="N37" s="31" t="n">
        <v>1503569</v>
      </c>
      <c r="O37" s="31" t="n">
        <v>1503569</v>
      </c>
      <c r="P37" s="31" t="n">
        <v>1503569</v>
      </c>
      <c r="Q37" s="31" t="n">
        <v>1503569</v>
      </c>
      <c r="R37" s="31" t="n">
        <v>1503569</v>
      </c>
      <c r="S37" s="31" t="n">
        <v>1503569</v>
      </c>
      <c r="T37" s="31" t="n">
        <v>1503569</v>
      </c>
      <c r="U37" s="31" t="n">
        <v>1503569</v>
      </c>
      <c r="V37" s="31" t="n">
        <v>1503569</v>
      </c>
      <c r="W37" s="31" t="n">
        <v>1503569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330000</v>
      </c>
      <c r="D38" s="31" t="n">
        <v>230084.15625</v>
      </c>
      <c r="E38" s="31" t="n">
        <v>153128.362949</v>
      </c>
      <c r="F38" s="31" t="n">
        <v>99409.54232199999</v>
      </c>
      <c r="G38" s="31" t="n">
        <v>69207.511331</v>
      </c>
      <c r="H38" s="31" t="n">
        <v>57802.783429</v>
      </c>
      <c r="I38" s="31" t="n">
        <v>66768.472158</v>
      </c>
      <c r="J38" s="31" t="n">
        <v>93238.19153500001</v>
      </c>
      <c r="K38" s="31" t="n">
        <v>137420.406814</v>
      </c>
      <c r="L38" s="31" t="n">
        <v>196039.975308</v>
      </c>
      <c r="M38" s="31" t="n">
        <v>272791.757241</v>
      </c>
      <c r="N38" s="31" t="n">
        <v>353129.696942</v>
      </c>
      <c r="O38" s="31" t="n">
        <v>415100.455698</v>
      </c>
      <c r="P38" s="31" t="n">
        <v>479961.046744</v>
      </c>
      <c r="Q38" s="31" t="n">
        <v>537336.677496</v>
      </c>
      <c r="R38" s="31" t="n">
        <v>538374.510672</v>
      </c>
      <c r="S38" s="31" t="n">
        <v>534782.452578</v>
      </c>
      <c r="T38" s="31" t="n">
        <v>532425.1236629999</v>
      </c>
      <c r="U38" s="31" t="n">
        <v>529269.757131</v>
      </c>
      <c r="V38" s="31" t="n">
        <v>528589.7543640001</v>
      </c>
      <c r="W38" s="31" t="n">
        <v>523010.980556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980000</v>
      </c>
      <c r="D40" s="31" t="n">
        <v>1411760.15625</v>
      </c>
      <c r="E40" s="31" t="n">
        <v>1454400.362949</v>
      </c>
      <c r="F40" s="31" t="n">
        <v>1498218.542322</v>
      </c>
      <c r="G40" s="31" t="n">
        <v>1523225.511331</v>
      </c>
      <c r="H40" s="31" t="n">
        <v>1546980.783429</v>
      </c>
      <c r="I40" s="31" t="n">
        <v>1570337.472158</v>
      </c>
      <c r="J40" s="31" t="n">
        <v>1596807.191535</v>
      </c>
      <c r="K40" s="31" t="n">
        <v>1640989.406814</v>
      </c>
      <c r="L40" s="31" t="n">
        <v>1699608.975308</v>
      </c>
      <c r="M40" s="31" t="n">
        <v>1776360.757241</v>
      </c>
      <c r="N40" s="31" t="n">
        <v>1856698.696942</v>
      </c>
      <c r="O40" s="31" t="n">
        <v>1918669.455698</v>
      </c>
      <c r="P40" s="31" t="n">
        <v>1983530.046744</v>
      </c>
      <c r="Q40" s="31" t="n">
        <v>2040905.677496</v>
      </c>
      <c r="R40" s="31" t="n">
        <v>2041943.510672</v>
      </c>
      <c r="S40" s="31" t="n">
        <v>2038351.452578</v>
      </c>
      <c r="T40" s="31" t="n">
        <v>2035994.123663</v>
      </c>
      <c r="U40" s="31" t="n">
        <v>2032838.757131</v>
      </c>
      <c r="V40" s="31" t="n">
        <v>2032158.754364</v>
      </c>
      <c r="W40" s="31" t="n">
        <v>2026579.980556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1554000</v>
      </c>
      <c r="D41" s="31" t="n">
        <v>2084097.438859</v>
      </c>
      <c r="E41" s="31" t="n">
        <v>2081924.220558</v>
      </c>
      <c r="F41" s="31" t="n">
        <v>2085272.422322</v>
      </c>
      <c r="G41" s="31" t="n">
        <v>2079038.283859</v>
      </c>
      <c r="H41" s="31" t="n">
        <v>2074648.539951</v>
      </c>
      <c r="I41" s="31" t="n">
        <v>2070406.738463</v>
      </c>
      <c r="J41" s="31" t="n">
        <v>2071182.778348</v>
      </c>
      <c r="K41" s="31" t="n">
        <v>2087564.359561</v>
      </c>
      <c r="L41" s="31" t="n">
        <v>2118004.288352</v>
      </c>
      <c r="M41" s="31" t="n">
        <v>2166867.193111</v>
      </c>
      <c r="N41" s="31" t="n">
        <v>2207919.363609</v>
      </c>
      <c r="O41" s="31" t="n">
        <v>2202833.381247</v>
      </c>
      <c r="P41" s="31" t="n">
        <v>2200604.752116</v>
      </c>
      <c r="Q41" s="31" t="n">
        <v>2197683.286149</v>
      </c>
      <c r="R41" s="31" t="n">
        <v>2200511.239053</v>
      </c>
      <c r="S41" s="31" t="n">
        <v>2193484.370785</v>
      </c>
      <c r="T41" s="31" t="n">
        <v>2189400.645442</v>
      </c>
      <c r="U41" s="31" t="n">
        <v>2184537.54935</v>
      </c>
      <c r="V41" s="31" t="n">
        <v>2185465.667918</v>
      </c>
      <c r="W41" s="31" t="n">
        <v>2176441.519017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180000</v>
      </c>
      <c r="D45" s="31" t="n">
        <v>180000</v>
      </c>
      <c r="E45" s="31" t="n">
        <v>555201.473641</v>
      </c>
      <c r="F45" s="31" t="n">
        <v>547276.338803</v>
      </c>
      <c r="G45" s="31" t="n">
        <v>539222.72808</v>
      </c>
      <c r="H45" s="31" t="n">
        <v>531037.893243</v>
      </c>
      <c r="I45" s="31" t="n">
        <v>525037.86476</v>
      </c>
      <c r="J45" s="31" t="n">
        <v>516587.981666</v>
      </c>
      <c r="K45" s="31" t="n">
        <v>510537.462303</v>
      </c>
      <c r="L45" s="31" t="n">
        <v>523504.396597</v>
      </c>
      <c r="M45" s="31" t="n">
        <v>553972.2871289999</v>
      </c>
      <c r="N45" s="31" t="n">
        <v>600249.747015</v>
      </c>
      <c r="O45" s="31" t="n">
        <v>632961.700338</v>
      </c>
      <c r="P45" s="31" t="n">
        <v>629360.324668</v>
      </c>
      <c r="Q45" s="31" t="n">
        <v>628986.187761</v>
      </c>
      <c r="R45" s="31" t="n">
        <v>625287.773084</v>
      </c>
      <c r="S45" s="31" t="n">
        <v>621539.745481</v>
      </c>
      <c r="T45" s="31" t="n">
        <v>617743.896138</v>
      </c>
      <c r="U45" s="31" t="n">
        <v>617276.2986259999</v>
      </c>
      <c r="V45" s="31" t="n">
        <v>613384.072349</v>
      </c>
      <c r="W45" s="31" t="n">
        <v>609441.953482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112606.139752</v>
      </c>
      <c r="D46" s="31" t="n">
        <v>-99915.84375</v>
      </c>
      <c r="E46" s="31" t="n">
        <v>-76955.793301</v>
      </c>
      <c r="F46" s="31" t="n">
        <v>-53718.820627</v>
      </c>
      <c r="G46" s="31" t="n">
        <v>-30202.030991</v>
      </c>
      <c r="H46" s="31" t="n">
        <v>-11404.727902</v>
      </c>
      <c r="I46" s="31" t="n">
        <v>8965.688729</v>
      </c>
      <c r="J46" s="31" t="n">
        <v>26469.719377</v>
      </c>
      <c r="K46" s="31" t="n">
        <v>44182.215279</v>
      </c>
      <c r="L46" s="31" t="n">
        <v>58619.568495</v>
      </c>
      <c r="M46" s="31" t="n">
        <v>76751.78193300001</v>
      </c>
      <c r="N46" s="31" t="n">
        <v>95220.939701</v>
      </c>
      <c r="O46" s="31" t="n">
        <v>103107.758756</v>
      </c>
      <c r="P46" s="31" t="n">
        <v>107690.591045</v>
      </c>
      <c r="Q46" s="31" t="n">
        <v>115874.630752</v>
      </c>
      <c r="R46" s="31" t="n">
        <v>123559.833176</v>
      </c>
      <c r="S46" s="31" t="n">
        <v>130801.941907</v>
      </c>
      <c r="T46" s="31" t="n">
        <v>134397.671084</v>
      </c>
      <c r="U46" s="31" t="n">
        <v>141744.633468</v>
      </c>
      <c r="V46" s="31" t="n">
        <v>149144.997233</v>
      </c>
      <c r="W46" s="31" t="n">
        <v>156597.226192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3120</v>
      </c>
      <c r="E47" s="31" t="n">
        <v>3541.959551</v>
      </c>
      <c r="F47" s="31" t="n">
        <v>3967.856877</v>
      </c>
      <c r="G47" s="31" t="n">
        <v>4396.057241</v>
      </c>
      <c r="H47" s="31" t="n">
        <v>4826.124152</v>
      </c>
      <c r="I47" s="31" t="n">
        <v>5257.619747</v>
      </c>
      <c r="J47" s="31" t="n">
        <v>5692.590086</v>
      </c>
      <c r="K47" s="31" t="n">
        <v>6129.376341</v>
      </c>
      <c r="L47" s="31" t="n">
        <v>6567.548322</v>
      </c>
      <c r="M47" s="31" t="n">
        <v>7007.931567</v>
      </c>
      <c r="N47" s="31" t="n">
        <v>7450.100514</v>
      </c>
      <c r="O47" s="31" t="n">
        <v>7892.357682</v>
      </c>
      <c r="P47" s="31" t="n">
        <v>8336.803264</v>
      </c>
      <c r="Q47" s="31" t="n">
        <v>8783.004531</v>
      </c>
      <c r="R47" s="31" t="n">
        <v>9229.244898000001</v>
      </c>
      <c r="S47" s="31" t="n">
        <v>9676.356239999999</v>
      </c>
      <c r="T47" s="31" t="n">
        <v>10125.169311</v>
      </c>
      <c r="U47" s="31" t="n">
        <v>10573.943112</v>
      </c>
      <c r="V47" s="31" t="n">
        <v>11022.215142</v>
      </c>
      <c r="W47" s="31" t="n">
        <v>11472.087476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-149619.565217</v>
      </c>
      <c r="E48" s="31" t="n">
        <v>-841.665217</v>
      </c>
      <c r="F48" s="31" t="n">
        <v>-6864.209565</v>
      </c>
      <c r="G48" s="31" t="n">
        <v>2209.347692</v>
      </c>
      <c r="H48" s="31" t="n">
        <v>2167.692308</v>
      </c>
      <c r="I48" s="31" t="n">
        <v>-816.273913</v>
      </c>
      <c r="J48" s="31" t="n">
        <v>-3827.097516</v>
      </c>
      <c r="K48" s="31" t="n">
        <v>-812.092308</v>
      </c>
      <c r="L48" s="31" t="n">
        <v>2229.446345</v>
      </c>
      <c r="M48" s="31" t="n">
        <v>-790.047826</v>
      </c>
      <c r="N48" s="31" t="n">
        <v>-6955.534783</v>
      </c>
      <c r="O48" s="31" t="n">
        <v>2455.61244</v>
      </c>
      <c r="P48" s="31" t="n">
        <v>2406.738418</v>
      </c>
      <c r="Q48" s="31" t="n">
        <v>-648.147817</v>
      </c>
      <c r="R48" s="31" t="n">
        <v>-6873.62686</v>
      </c>
      <c r="S48" s="31" t="n">
        <v>2503.070496</v>
      </c>
      <c r="T48" s="31" t="n">
        <v>2453.164777</v>
      </c>
      <c r="U48" s="31" t="n">
        <v>-630.112393</v>
      </c>
      <c r="V48" s="31" t="n">
        <v>-6911.801845</v>
      </c>
      <c r="W48" s="31" t="n">
        <v>2549.71817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138337.282609</v>
      </c>
      <c r="E49" s="31" t="n">
        <v>-4813.425</v>
      </c>
      <c r="F49" s="31" t="n">
        <v>-469.977609</v>
      </c>
      <c r="G49" s="31" t="n">
        <v>-7241.107473</v>
      </c>
      <c r="H49" s="31" t="n">
        <v>-5645.016006</v>
      </c>
      <c r="I49" s="31" t="n">
        <v>-5098.490217</v>
      </c>
      <c r="J49" s="31" t="n">
        <v>-3193.679491</v>
      </c>
      <c r="K49" s="31" t="n">
        <v>-5300.634066</v>
      </c>
      <c r="L49" s="31" t="n">
        <v>-5679.639704</v>
      </c>
      <c r="M49" s="31" t="n">
        <v>-5388.877174</v>
      </c>
      <c r="N49" s="31" t="n">
        <v>-1905.769203</v>
      </c>
      <c r="O49" s="31" t="n">
        <v>-3421.741118</v>
      </c>
      <c r="P49" s="31" t="n">
        <v>-1761.220177</v>
      </c>
      <c r="Q49" s="31" t="n">
        <v>-1640.096719</v>
      </c>
      <c r="R49" s="31" t="n">
        <v>1790.119728</v>
      </c>
      <c r="S49" s="31" t="n">
        <v>-3434.810174</v>
      </c>
      <c r="T49" s="31" t="n">
        <v>-1726.396428</v>
      </c>
      <c r="U49" s="31" t="n">
        <v>-1707.72956</v>
      </c>
      <c r="V49" s="31" t="n">
        <v>1608.121336</v>
      </c>
      <c r="W49" s="31" t="n">
        <v>-3445.375093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-108078.126359</v>
      </c>
      <c r="E50" s="31" t="n">
        <v>-79068.923967</v>
      </c>
      <c r="F50" s="31" t="n">
        <v>-57085.150924</v>
      </c>
      <c r="G50" s="31" t="n">
        <v>-30837.73353</v>
      </c>
      <c r="H50" s="31" t="n">
        <v>-10055.927448</v>
      </c>
      <c r="I50" s="31" t="n">
        <v>8308.544346000001</v>
      </c>
      <c r="J50" s="31" t="n">
        <v>25141.532456</v>
      </c>
      <c r="K50" s="31" t="n">
        <v>44198.865246</v>
      </c>
      <c r="L50" s="31" t="n">
        <v>61736.923458</v>
      </c>
      <c r="M50" s="31" t="n">
        <v>77580.7885</v>
      </c>
      <c r="N50" s="31" t="n">
        <v>93809.73622999999</v>
      </c>
      <c r="O50" s="31" t="n">
        <v>110033.98776</v>
      </c>
      <c r="P50" s="31" t="n">
        <v>116672.91255</v>
      </c>
      <c r="Q50" s="31" t="n">
        <v>122369.390747</v>
      </c>
      <c r="R50" s="31" t="n">
        <v>127705.570942</v>
      </c>
      <c r="S50" s="31" t="n">
        <v>139546.558469</v>
      </c>
      <c r="T50" s="31" t="n">
        <v>145249.608745</v>
      </c>
      <c r="U50" s="31" t="n">
        <v>149980.734627</v>
      </c>
      <c r="V50" s="31" t="n">
        <v>154863.531865</v>
      </c>
      <c r="W50" s="31" t="n">
        <v>167173.656745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8396.4</v>
      </c>
      <c r="E51" s="31" t="n">
        <v>8452.210870999999</v>
      </c>
      <c r="F51" s="31" t="n">
        <v>8505.459799</v>
      </c>
      <c r="G51" s="31" t="n">
        <v>8556.101307000001</v>
      </c>
      <c r="H51" s="31" t="n">
        <v>8604.101035</v>
      </c>
      <c r="I51" s="31" t="n">
        <v>8649.427439999999</v>
      </c>
      <c r="J51" s="31" t="n">
        <v>8692.051818</v>
      </c>
      <c r="K51" s="31" t="n">
        <v>8731.930952000001</v>
      </c>
      <c r="L51" s="31" t="n">
        <v>8769.032926</v>
      </c>
      <c r="M51" s="31" t="n">
        <v>8803.328614</v>
      </c>
      <c r="N51" s="31" t="n">
        <v>8834.782907000001</v>
      </c>
      <c r="O51" s="31" t="n">
        <v>8863.363429999999</v>
      </c>
      <c r="P51" s="31" t="n">
        <v>8889.049456999999</v>
      </c>
      <c r="Q51" s="31" t="n">
        <v>8911.805424</v>
      </c>
      <c r="R51" s="31" t="n">
        <v>8931.598544</v>
      </c>
      <c r="S51" s="31" t="n">
        <v>8948.407811999999</v>
      </c>
      <c r="T51" s="31" t="n">
        <v>8962.206257</v>
      </c>
      <c r="U51" s="31" t="n">
        <v>8972.960904</v>
      </c>
      <c r="V51" s="31" t="n">
        <v>8980.650732</v>
      </c>
      <c r="W51" s="31" t="n">
        <v>8985.257806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-8396.4</v>
      </c>
      <c r="E52" s="31" t="n">
        <v>-8452.210870999999</v>
      </c>
      <c r="F52" s="31" t="n">
        <v>-8505.459799</v>
      </c>
      <c r="G52" s="31" t="n">
        <v>-8556.101307000001</v>
      </c>
      <c r="H52" s="31" t="n">
        <v>-8604.101035</v>
      </c>
      <c r="I52" s="31" t="n">
        <v>-8649.427439999999</v>
      </c>
      <c r="J52" s="31" t="n">
        <v>-8692.051818</v>
      </c>
      <c r="K52" s="31" t="n">
        <v>-8731.930952000001</v>
      </c>
      <c r="L52" s="31" t="n">
        <v>-8769.032926</v>
      </c>
      <c r="M52" s="31" t="n">
        <v>-8803.328614</v>
      </c>
      <c r="N52" s="31" t="n">
        <v>-8834.782907000001</v>
      </c>
      <c r="O52" s="31" t="n">
        <v>-8863.363429999999</v>
      </c>
      <c r="P52" s="31" t="n">
        <v>-8889.049456999999</v>
      </c>
      <c r="Q52" s="31" t="n">
        <v>-8911.805424</v>
      </c>
      <c r="R52" s="31" t="n">
        <v>-8931.598544</v>
      </c>
      <c r="S52" s="31" t="n">
        <v>-8948.407811999999</v>
      </c>
      <c r="T52" s="31" t="n">
        <v>-8962.206257</v>
      </c>
      <c r="U52" s="31" t="n">
        <v>-8972.960904</v>
      </c>
      <c r="V52" s="31" t="n">
        <v>-8980.650732</v>
      </c>
      <c r="W52" s="31" t="n">
        <v>-8985.257806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-22500</v>
      </c>
      <c r="E54" s="31" t="n">
        <v>-22500</v>
      </c>
      <c r="F54" s="31" t="n">
        <v>-22500</v>
      </c>
      <c r="G54" s="31" t="n">
        <v>-22500</v>
      </c>
      <c r="H54" s="31" t="n">
        <v>-22500</v>
      </c>
      <c r="I54" s="31" t="n">
        <v>-22500</v>
      </c>
      <c r="J54" s="31" t="n">
        <v>-22500</v>
      </c>
      <c r="K54" s="31" t="n">
        <v>-22500</v>
      </c>
      <c r="L54" s="31" t="n">
        <v>-22500</v>
      </c>
      <c r="M54" s="31" t="n">
        <v>-22500</v>
      </c>
      <c r="N54" s="31" t="n">
        <v>-37380</v>
      </c>
      <c r="O54" s="31" t="n">
        <v>-63635</v>
      </c>
      <c r="P54" s="31" t="n">
        <v>-65328</v>
      </c>
      <c r="Q54" s="31" t="n">
        <v>-58657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531676</v>
      </c>
      <c r="E55" s="31" t="n">
        <v>119596</v>
      </c>
      <c r="F55" s="31" t="n">
        <v>97537</v>
      </c>
      <c r="G55" s="31" t="n">
        <v>55209</v>
      </c>
      <c r="H55" s="31" t="n">
        <v>35160</v>
      </c>
      <c r="I55" s="31" t="n">
        <v>14391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14883</v>
      </c>
      <c r="O56" s="31" t="n">
        <v>41137</v>
      </c>
      <c r="P56" s="31" t="n">
        <v>42830</v>
      </c>
      <c r="Q56" s="31" t="n">
        <v>58499</v>
      </c>
      <c r="R56" s="31" t="n">
        <v>122522</v>
      </c>
      <c r="S56" s="31" t="n">
        <v>134394</v>
      </c>
      <c r="T56" s="31" t="n">
        <v>136755</v>
      </c>
      <c r="U56" s="31" t="n">
        <v>144900</v>
      </c>
      <c r="V56" s="31" t="n">
        <v>149825</v>
      </c>
      <c r="W56" s="31" t="n">
        <v>162176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491676</v>
      </c>
      <c r="E57" s="31" t="n">
        <v>79596</v>
      </c>
      <c r="F57" s="31" t="n">
        <v>57537</v>
      </c>
      <c r="G57" s="31" t="n">
        <v>31209</v>
      </c>
      <c r="H57" s="31" t="n">
        <v>12660</v>
      </c>
      <c r="I57" s="31" t="n">
        <v>-8109</v>
      </c>
      <c r="J57" s="31" t="n">
        <v>-22500</v>
      </c>
      <c r="K57" s="31" t="n">
        <v>-22500</v>
      </c>
      <c r="L57" s="31" t="n">
        <v>-22500</v>
      </c>
      <c r="M57" s="31" t="n">
        <v>-22500</v>
      </c>
      <c r="N57" s="31" t="n">
        <v>-52263</v>
      </c>
      <c r="O57" s="31" t="n">
        <v>-104772</v>
      </c>
      <c r="P57" s="31" t="n">
        <v>-108158</v>
      </c>
      <c r="Q57" s="31" t="n">
        <v>-117156</v>
      </c>
      <c r="R57" s="31" t="n">
        <v>-122522</v>
      </c>
      <c r="S57" s="31" t="n">
        <v>-134394</v>
      </c>
      <c r="T57" s="31" t="n">
        <v>-136755</v>
      </c>
      <c r="U57" s="31" t="n">
        <v>-144900</v>
      </c>
      <c r="V57" s="31" t="n">
        <v>-149825</v>
      </c>
      <c r="W57" s="31" t="n">
        <v>-162176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375201.473641</v>
      </c>
      <c r="E58" s="31" t="n">
        <v>-7925.134838</v>
      </c>
      <c r="F58" s="31" t="n">
        <v>-8053.610723</v>
      </c>
      <c r="G58" s="31" t="n">
        <v>-8184.834837</v>
      </c>
      <c r="H58" s="31" t="n">
        <v>-6000.028483</v>
      </c>
      <c r="I58" s="31" t="n">
        <v>-8449.883094000001</v>
      </c>
      <c r="J58" s="31" t="n">
        <v>-6050.519362</v>
      </c>
      <c r="K58" s="31" t="n">
        <v>12966.934294</v>
      </c>
      <c r="L58" s="31" t="n">
        <v>30467.890532</v>
      </c>
      <c r="M58" s="31" t="n">
        <v>46277.459886</v>
      </c>
      <c r="N58" s="31" t="n">
        <v>32711.953323</v>
      </c>
      <c r="O58" s="31" t="n">
        <v>-3601.37567</v>
      </c>
      <c r="P58" s="31" t="n">
        <v>-374.136907</v>
      </c>
      <c r="Q58" s="31" t="n">
        <v>-3698.414677</v>
      </c>
      <c r="R58" s="31" t="n">
        <v>-3748.027602</v>
      </c>
      <c r="S58" s="31" t="n">
        <v>-3795.849343</v>
      </c>
      <c r="T58" s="31" t="n">
        <v>-467.597512</v>
      </c>
      <c r="U58" s="31" t="n">
        <v>-3892.226277</v>
      </c>
      <c r="V58" s="31" t="n">
        <v>-3942.118867</v>
      </c>
      <c r="W58" s="31" t="n">
        <v>-3987.601061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180000</v>
      </c>
      <c r="D59" s="31" t="n">
        <v>555201.473641</v>
      </c>
      <c r="E59" s="31" t="n">
        <v>547276.338803</v>
      </c>
      <c r="F59" s="31" t="n">
        <v>539222.72808</v>
      </c>
      <c r="G59" s="31" t="n">
        <v>531037.893243</v>
      </c>
      <c r="H59" s="31" t="n">
        <v>525037.86476</v>
      </c>
      <c r="I59" s="31" t="n">
        <v>516587.981666</v>
      </c>
      <c r="J59" s="31" t="n">
        <v>510537.462303</v>
      </c>
      <c r="K59" s="31" t="n">
        <v>523504.396597</v>
      </c>
      <c r="L59" s="31" t="n">
        <v>553972.2871289999</v>
      </c>
      <c r="M59" s="31" t="n">
        <v>600249.747015</v>
      </c>
      <c r="N59" s="31" t="n">
        <v>632961.700338</v>
      </c>
      <c r="O59" s="31" t="n">
        <v>629360.324668</v>
      </c>
      <c r="P59" s="31" t="n">
        <v>628986.187761</v>
      </c>
      <c r="Q59" s="31" t="n">
        <v>625287.773084</v>
      </c>
      <c r="R59" s="31" t="n">
        <v>621539.745481</v>
      </c>
      <c r="S59" s="31" t="n">
        <v>617743.896138</v>
      </c>
      <c r="T59" s="31" t="n">
        <v>617276.2986259999</v>
      </c>
      <c r="U59" s="31" t="n">
        <v>613384.072349</v>
      </c>
      <c r="V59" s="31" t="n">
        <v>609441.953482</v>
      </c>
      <c r="W59" s="31" t="n">
        <v>605454.352421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North Ridge Auto Care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811111</t>
        </is>
      </c>
    </row>
    <row r="10">
      <c r="A10" s="45" t="inlineStr">
        <is>
          <t>Draft ID</t>
        </is>
      </c>
      <c r="B10" s="46" t="inlineStr">
        <is>
          <t>e83eb35e7b034a9bbb9bcea3842654e9</t>
        </is>
      </c>
    </row>
    <row r="11">
      <c r="A11" s="45" t="inlineStr">
        <is>
          <t>Planning Run ID</t>
        </is>
      </c>
      <c r="B11" s="46" t="inlineStr">
        <is>
          <t>ac314a2946c54d31b97b20d57069132d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North Ridge Auto Care Financial Model</dc:title>
  <dc:subject>Client financial model workbook</dc:subject>
  <dcterms:created xsi:type="dcterms:W3CDTF">2026-05-20T07:06:32Z</dcterms:created>
  <dcterms:modified xsi:type="dcterms:W3CDTF">2026-05-20T07:06:34Z</dcterms:modified>
</cp:coreProperties>
</file>