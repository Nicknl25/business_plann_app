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Schedule'!$A$26:$N$166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software / SaaS / unit</t>
        </is>
      </c>
    </row>
    <row r="8">
      <c r="A8" s="8" t="inlineStr">
        <is>
          <t>software / SaaS / unit - Capacity</t>
        </is>
      </c>
      <c r="B8" s="8" t="inlineStr">
        <is>
          <t>Source driver</t>
        </is>
      </c>
      <c r="C8" s="9" t="n">
        <v>150</v>
      </c>
      <c r="D8" s="9" t="n">
        <v>80</v>
      </c>
      <c r="E8" s="9" t="n">
        <v>80</v>
      </c>
      <c r="F8" s="9" t="n">
        <v>80</v>
      </c>
      <c r="G8" s="9" t="n">
        <v>80</v>
      </c>
      <c r="H8" s="9" t="n">
        <v>80</v>
      </c>
      <c r="I8" s="9" t="n">
        <v>80</v>
      </c>
      <c r="J8" s="9" t="n">
        <v>80</v>
      </c>
      <c r="K8" s="9" t="n">
        <v>80</v>
      </c>
      <c r="L8" s="9" t="n">
        <v>80</v>
      </c>
      <c r="M8" s="9" t="n">
        <v>80</v>
      </c>
      <c r="N8" s="9" t="n">
        <v>80</v>
      </c>
      <c r="O8" s="9" t="n">
        <v>80</v>
      </c>
      <c r="P8" s="9" t="n">
        <v>80</v>
      </c>
      <c r="Q8" s="9" t="n">
        <v>80</v>
      </c>
      <c r="R8" s="9" t="n">
        <v>80</v>
      </c>
      <c r="S8" s="9" t="n">
        <v>80</v>
      </c>
      <c r="T8" s="9" t="n">
        <v>80</v>
      </c>
      <c r="U8" s="9" t="n">
        <v>80</v>
      </c>
      <c r="V8" s="9" t="n">
        <v>80</v>
      </c>
      <c r="W8" s="9" t="n">
        <v>80</v>
      </c>
      <c r="X8" s="10" t="n"/>
      <c r="Y8" s="10" t="n"/>
      <c r="Z8" s="10" t="n"/>
      <c r="AA8" s="10" t="n"/>
      <c r="AB8" s="10" t="n"/>
    </row>
    <row r="9">
      <c r="A9" s="8" t="inlineStr">
        <is>
          <t>software / SaaS / unit - Unit Price</t>
        </is>
      </c>
      <c r="B9" s="8" t="inlineStr">
        <is>
          <t>Source driver</t>
        </is>
      </c>
      <c r="C9" s="11" t="n">
        <v>20000</v>
      </c>
      <c r="D9" s="11" t="n">
        <v>20000</v>
      </c>
      <c r="E9" s="11" t="n">
        <v>20200</v>
      </c>
      <c r="F9" s="11" t="n">
        <v>20400</v>
      </c>
      <c r="G9" s="11" t="n">
        <v>20600</v>
      </c>
      <c r="H9" s="11" t="n">
        <v>20800</v>
      </c>
      <c r="I9" s="11" t="n">
        <v>21000</v>
      </c>
      <c r="J9" s="11" t="n">
        <v>21200</v>
      </c>
      <c r="K9" s="11" t="n">
        <v>21400</v>
      </c>
      <c r="L9" s="11" t="n">
        <v>21600</v>
      </c>
      <c r="M9" s="11" t="n">
        <v>21800</v>
      </c>
      <c r="N9" s="11" t="n">
        <v>22000</v>
      </c>
      <c r="O9" s="11" t="n">
        <v>22222.222222</v>
      </c>
      <c r="P9" s="11" t="n">
        <v>22444.444444</v>
      </c>
      <c r="Q9" s="11" t="n">
        <v>22666.666667</v>
      </c>
      <c r="R9" s="11" t="n">
        <v>22888.888889</v>
      </c>
      <c r="S9" s="11" t="n">
        <v>23111.111111</v>
      </c>
      <c r="T9" s="11" t="n">
        <v>23333.333333</v>
      </c>
      <c r="U9" s="11" t="n">
        <v>23555.555556</v>
      </c>
      <c r="V9" s="11" t="n">
        <v>23777.777778</v>
      </c>
      <c r="W9" s="11" t="n">
        <v>24000</v>
      </c>
      <c r="X9" s="12" t="n"/>
      <c r="Y9" s="12" t="n"/>
      <c r="Z9" s="12" t="n"/>
      <c r="AA9" s="12" t="n"/>
      <c r="AB9" s="12" t="n"/>
    </row>
    <row r="10">
      <c r="A10" s="8" t="inlineStr">
        <is>
          <t>software / SaaS / unit - Utilization</t>
        </is>
      </c>
      <c r="B10" s="8" t="inlineStr">
        <is>
          <t>Source driver</t>
        </is>
      </c>
      <c r="C10" s="13" t="n">
        <v>0.7</v>
      </c>
      <c r="D10" s="13" t="n">
        <v>0.7</v>
      </c>
      <c r="E10" s="13" t="n">
        <v>0.714</v>
      </c>
      <c r="F10" s="13" t="n">
        <v>0.728</v>
      </c>
      <c r="G10" s="13" t="n">
        <v>0.742</v>
      </c>
      <c r="H10" s="13" t="n">
        <v>0.756</v>
      </c>
      <c r="I10" s="13" t="n">
        <v>0.77</v>
      </c>
      <c r="J10" s="13" t="n">
        <v>0.784</v>
      </c>
      <c r="K10" s="13" t="n">
        <v>0.798</v>
      </c>
      <c r="L10" s="13" t="n">
        <v>0.8120000000000001</v>
      </c>
      <c r="M10" s="13" t="n">
        <v>0.826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software / SaaS / unit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0.04</v>
      </c>
      <c r="E18" s="13" t="n">
        <v>0.04</v>
      </c>
      <c r="F18" s="13" t="n">
        <v>0.04</v>
      </c>
      <c r="G18" s="13" t="n">
        <v>0.04</v>
      </c>
      <c r="H18" s="13" t="n">
        <v>0.04</v>
      </c>
      <c r="I18" s="13" t="n">
        <v>0.04</v>
      </c>
      <c r="J18" s="13" t="n">
        <v>0.04</v>
      </c>
      <c r="K18" s="13" t="n">
        <v>0.04</v>
      </c>
      <c r="L18" s="13" t="n">
        <v>0.04</v>
      </c>
      <c r="M18" s="13" t="n">
        <v>0.04</v>
      </c>
      <c r="N18" s="13" t="n">
        <v>0.04</v>
      </c>
      <c r="O18" s="13" t="n">
        <v>0.04</v>
      </c>
      <c r="P18" s="13" t="n">
        <v>0.04</v>
      </c>
      <c r="Q18" s="13" t="n">
        <v>0.04</v>
      </c>
      <c r="R18" s="13" t="n">
        <v>0.04</v>
      </c>
      <c r="S18" s="13" t="n">
        <v>0.04</v>
      </c>
      <c r="T18" s="13" t="n">
        <v>0.04</v>
      </c>
      <c r="U18" s="13" t="n">
        <v>0.04</v>
      </c>
      <c r="V18" s="13" t="n">
        <v>0.04</v>
      </c>
      <c r="W18" s="13" t="n">
        <v>0.04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0.06</v>
      </c>
      <c r="E19" s="13" t="n">
        <v>0.06</v>
      </c>
      <c r="F19" s="13" t="n">
        <v>0.06</v>
      </c>
      <c r="G19" s="13" t="n">
        <v>0.06</v>
      </c>
      <c r="H19" s="13" t="n">
        <v>0.06</v>
      </c>
      <c r="I19" s="13" t="n">
        <v>0.06</v>
      </c>
      <c r="J19" s="13" t="n">
        <v>0.06</v>
      </c>
      <c r="K19" s="13" t="n">
        <v>0.06</v>
      </c>
      <c r="L19" s="13" t="n">
        <v>0.06</v>
      </c>
      <c r="M19" s="13" t="n">
        <v>0.06</v>
      </c>
      <c r="N19" s="13" t="n">
        <v>0.06</v>
      </c>
      <c r="O19" s="13" t="n">
        <v>0.06</v>
      </c>
      <c r="P19" s="13" t="n">
        <v>0.06</v>
      </c>
      <c r="Q19" s="13" t="n">
        <v>0.06</v>
      </c>
      <c r="R19" s="13" t="n">
        <v>0.06</v>
      </c>
      <c r="S19" s="13" t="n">
        <v>0.06</v>
      </c>
      <c r="T19" s="13" t="n">
        <v>0.06</v>
      </c>
      <c r="U19" s="13" t="n">
        <v>0.06</v>
      </c>
      <c r="V19" s="13" t="n">
        <v>0.06</v>
      </c>
      <c r="W19" s="13" t="n">
        <v>0.06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0.06</v>
      </c>
      <c r="E20" s="13" t="n">
        <v>0.06</v>
      </c>
      <c r="F20" s="13" t="n">
        <v>0.06</v>
      </c>
      <c r="G20" s="13" t="n">
        <v>0.06</v>
      </c>
      <c r="H20" s="13" t="n">
        <v>0.06</v>
      </c>
      <c r="I20" s="13" t="n">
        <v>0.06</v>
      </c>
      <c r="J20" s="13" t="n">
        <v>0.06</v>
      </c>
      <c r="K20" s="13" t="n">
        <v>0.06</v>
      </c>
      <c r="L20" s="13" t="n">
        <v>0.06</v>
      </c>
      <c r="M20" s="13" t="n">
        <v>0.06</v>
      </c>
      <c r="N20" s="13" t="n">
        <v>0.06</v>
      </c>
      <c r="O20" s="13" t="n">
        <v>0.06</v>
      </c>
      <c r="P20" s="13" t="n">
        <v>0.06</v>
      </c>
      <c r="Q20" s="13" t="n">
        <v>0.06</v>
      </c>
      <c r="R20" s="13" t="n">
        <v>0.06</v>
      </c>
      <c r="S20" s="13" t="n">
        <v>0.06</v>
      </c>
      <c r="T20" s="13" t="n">
        <v>0.06</v>
      </c>
      <c r="U20" s="13" t="n">
        <v>0.06</v>
      </c>
      <c r="V20" s="13" t="n">
        <v>0.06</v>
      </c>
      <c r="W20" s="13" t="n">
        <v>0.06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0.31</v>
      </c>
      <c r="E22" s="13" t="n">
        <v>0.31</v>
      </c>
      <c r="F22" s="13" t="n">
        <v>0.31</v>
      </c>
      <c r="G22" s="13" t="n">
        <v>0.31</v>
      </c>
      <c r="H22" s="13" t="n">
        <v>0.31</v>
      </c>
      <c r="I22" s="13" t="n">
        <v>0.31</v>
      </c>
      <c r="J22" s="13" t="n">
        <v>0.31</v>
      </c>
      <c r="K22" s="13" t="n">
        <v>0.31</v>
      </c>
      <c r="L22" s="13" t="n">
        <v>0.31</v>
      </c>
      <c r="M22" s="13" t="n">
        <v>0.31</v>
      </c>
      <c r="N22" s="13" t="n">
        <v>0.31</v>
      </c>
      <c r="O22" s="13" t="n">
        <v>0.31</v>
      </c>
      <c r="P22" s="13" t="n">
        <v>0.31</v>
      </c>
      <c r="Q22" s="13" t="n">
        <v>0.31</v>
      </c>
      <c r="R22" s="13" t="n">
        <v>0.31</v>
      </c>
      <c r="S22" s="13" t="n">
        <v>0.31</v>
      </c>
      <c r="T22" s="13" t="n">
        <v>0.31</v>
      </c>
      <c r="U22" s="13" t="n">
        <v>0.31</v>
      </c>
      <c r="V22" s="13" t="n">
        <v>0.31</v>
      </c>
      <c r="W22" s="13" t="n">
        <v>0.31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0.49</v>
      </c>
      <c r="E23" s="13" t="n">
        <v>0.49</v>
      </c>
      <c r="F23" s="13" t="n">
        <v>0.49</v>
      </c>
      <c r="G23" s="13" t="n">
        <v>0.49</v>
      </c>
      <c r="H23" s="13" t="n">
        <v>0.49</v>
      </c>
      <c r="I23" s="13" t="n">
        <v>0.49</v>
      </c>
      <c r="J23" s="13" t="n">
        <v>0.49</v>
      </c>
      <c r="K23" s="13" t="n">
        <v>0.49</v>
      </c>
      <c r="L23" s="13" t="n">
        <v>0.49</v>
      </c>
      <c r="M23" s="13" t="n">
        <v>0.49</v>
      </c>
      <c r="N23" s="13" t="n">
        <v>0.49</v>
      </c>
      <c r="O23" s="13" t="n">
        <v>0.49</v>
      </c>
      <c r="P23" s="13" t="n">
        <v>0.49</v>
      </c>
      <c r="Q23" s="13" t="n">
        <v>0.49</v>
      </c>
      <c r="R23" s="13" t="n">
        <v>0.49</v>
      </c>
      <c r="S23" s="13" t="n">
        <v>0.49</v>
      </c>
      <c r="T23" s="13" t="n">
        <v>0.49</v>
      </c>
      <c r="U23" s="13" t="n">
        <v>0.49</v>
      </c>
      <c r="V23" s="13" t="n">
        <v>0.49</v>
      </c>
      <c r="W23" s="13" t="n">
        <v>0.49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0.31</v>
      </c>
      <c r="E24" s="13" t="n">
        <v>0.31</v>
      </c>
      <c r="F24" s="13" t="n">
        <v>0.31</v>
      </c>
      <c r="G24" s="13" t="n">
        <v>0.31</v>
      </c>
      <c r="H24" s="13" t="n">
        <v>0.31</v>
      </c>
      <c r="I24" s="13" t="n">
        <v>0.31</v>
      </c>
      <c r="J24" s="13" t="n">
        <v>0.31</v>
      </c>
      <c r="K24" s="13" t="n">
        <v>0.31</v>
      </c>
      <c r="L24" s="13" t="n">
        <v>0.31</v>
      </c>
      <c r="M24" s="13" t="n">
        <v>0.31</v>
      </c>
      <c r="N24" s="13" t="n">
        <v>0.31</v>
      </c>
      <c r="O24" s="13" t="n">
        <v>0.31</v>
      </c>
      <c r="P24" s="13" t="n">
        <v>0.31</v>
      </c>
      <c r="Q24" s="13" t="n">
        <v>0.31</v>
      </c>
      <c r="R24" s="13" t="n">
        <v>0.31</v>
      </c>
      <c r="S24" s="13" t="n">
        <v>0.31</v>
      </c>
      <c r="T24" s="13" t="n">
        <v>0.31</v>
      </c>
      <c r="U24" s="13" t="n">
        <v>0.31</v>
      </c>
      <c r="V24" s="13" t="n">
        <v>0.31</v>
      </c>
      <c r="W24" s="13" t="n">
        <v>0.31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0.3</v>
      </c>
      <c r="E25" s="13" t="n">
        <v>0.3</v>
      </c>
      <c r="F25" s="13" t="n">
        <v>0.3</v>
      </c>
      <c r="G25" s="13" t="n">
        <v>0.3</v>
      </c>
      <c r="H25" s="13" t="n">
        <v>0.3</v>
      </c>
      <c r="I25" s="13" t="n">
        <v>0.3</v>
      </c>
      <c r="J25" s="13" t="n">
        <v>0.3</v>
      </c>
      <c r="K25" s="13" t="n">
        <v>0.3</v>
      </c>
      <c r="L25" s="13" t="n">
        <v>0.3</v>
      </c>
      <c r="M25" s="13" t="n">
        <v>0.3</v>
      </c>
      <c r="N25" s="13" t="n">
        <v>0.3</v>
      </c>
      <c r="O25" s="13" t="n">
        <v>0.3</v>
      </c>
      <c r="P25" s="13" t="n">
        <v>0.3</v>
      </c>
      <c r="Q25" s="13" t="n">
        <v>0.3</v>
      </c>
      <c r="R25" s="13" t="n">
        <v>0.3</v>
      </c>
      <c r="S25" s="13" t="n">
        <v>0.3</v>
      </c>
      <c r="T25" s="13" t="n">
        <v>0.3</v>
      </c>
      <c r="U25" s="13" t="n">
        <v>0.3</v>
      </c>
      <c r="V25" s="13" t="n">
        <v>0.3</v>
      </c>
      <c r="W25" s="13" t="n">
        <v>0.3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0.31</v>
      </c>
      <c r="E26" s="13" t="n">
        <v>0.31</v>
      </c>
      <c r="F26" s="13" t="n">
        <v>0.31</v>
      </c>
      <c r="G26" s="13" t="n">
        <v>0.31</v>
      </c>
      <c r="H26" s="13" t="n">
        <v>0.31</v>
      </c>
      <c r="I26" s="13" t="n">
        <v>0.31</v>
      </c>
      <c r="J26" s="13" t="n">
        <v>0.31</v>
      </c>
      <c r="K26" s="13" t="n">
        <v>0.31</v>
      </c>
      <c r="L26" s="13" t="n">
        <v>0.31</v>
      </c>
      <c r="M26" s="13" t="n">
        <v>0.31</v>
      </c>
      <c r="N26" s="13" t="n">
        <v>0.31</v>
      </c>
      <c r="O26" s="13" t="n">
        <v>0.31</v>
      </c>
      <c r="P26" s="13" t="n">
        <v>0.31</v>
      </c>
      <c r="Q26" s="13" t="n">
        <v>0.31</v>
      </c>
      <c r="R26" s="13" t="n">
        <v>0.31</v>
      </c>
      <c r="S26" s="13" t="n">
        <v>0.31</v>
      </c>
      <c r="T26" s="13" t="n">
        <v>0.31</v>
      </c>
      <c r="U26" s="13" t="n">
        <v>0.31</v>
      </c>
      <c r="V26" s="13" t="n">
        <v>0.31</v>
      </c>
      <c r="W26" s="13" t="n">
        <v>0.31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0.03</v>
      </c>
      <c r="E27" s="13" t="n">
        <v>0.03</v>
      </c>
      <c r="F27" s="13" t="n">
        <v>0.03</v>
      </c>
      <c r="G27" s="13" t="n">
        <v>0.03</v>
      </c>
      <c r="H27" s="13" t="n">
        <v>0.03</v>
      </c>
      <c r="I27" s="13" t="n">
        <v>0.03</v>
      </c>
      <c r="J27" s="13" t="n">
        <v>0.03</v>
      </c>
      <c r="K27" s="13" t="n">
        <v>0.03</v>
      </c>
      <c r="L27" s="13" t="n">
        <v>0.03</v>
      </c>
      <c r="M27" s="13" t="n">
        <v>0.03</v>
      </c>
      <c r="N27" s="13" t="n">
        <v>0.03</v>
      </c>
      <c r="O27" s="13" t="n">
        <v>0.03</v>
      </c>
      <c r="P27" s="13" t="n">
        <v>0.03</v>
      </c>
      <c r="Q27" s="13" t="n">
        <v>0.03</v>
      </c>
      <c r="R27" s="13" t="n">
        <v>0.03</v>
      </c>
      <c r="S27" s="13" t="n">
        <v>0.03</v>
      </c>
      <c r="T27" s="13" t="n">
        <v>0.03</v>
      </c>
      <c r="U27" s="13" t="n">
        <v>0.03</v>
      </c>
      <c r="V27" s="13" t="n">
        <v>0.03</v>
      </c>
      <c r="W27" s="13" t="n">
        <v>0.03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0.05</v>
      </c>
      <c r="O28" s="13" t="n">
        <v>0.05</v>
      </c>
      <c r="P28" s="13" t="n">
        <v>0.05</v>
      </c>
      <c r="Q28" s="13" t="n">
        <v>0.05</v>
      </c>
      <c r="R28" s="13" t="n">
        <v>0.05</v>
      </c>
      <c r="S28" s="13" t="n">
        <v>0.05</v>
      </c>
      <c r="T28" s="13" t="n">
        <v>0.05</v>
      </c>
      <c r="U28" s="13" t="n">
        <v>0.05</v>
      </c>
      <c r="V28" s="13" t="n">
        <v>0.05</v>
      </c>
      <c r="W28" s="13" t="n">
        <v>0.05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1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medium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1.25</v>
      </c>
    </row>
    <row r="11">
      <c r="A11" t="inlineStr">
        <is>
          <t>Capacity Units per Supporting FTE</t>
        </is>
      </c>
      <c r="B11" t="n">
        <v>10</v>
      </c>
    </row>
    <row r="12">
      <c r="A12" t="inlineStr">
        <is>
          <t>Target Payroll % of Revenue</t>
        </is>
      </c>
      <c r="B12" t="n">
        <v>0.4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SUMIFS($G$27:$G$166,$A$27:$A$166,0)</f>
        <v/>
      </c>
      <c r="D15" s="23">
        <f>SUMIFS($G$27:$G$166,$A$27:$A$166,1)</f>
        <v/>
      </c>
      <c r="E15" s="23">
        <f>SUMIFS($G$27:$G$166,$A$27:$A$166,2)</f>
        <v/>
      </c>
      <c r="F15" s="23">
        <f>SUMIFS($G$27:$G$166,$A$27:$A$166,3)</f>
        <v/>
      </c>
      <c r="G15" s="23">
        <f>SUMIFS($G$27:$G$166,$A$27:$A$166,4)</f>
        <v/>
      </c>
      <c r="H15" s="23">
        <f>SUMIFS($G$27:$G$166,$A$27:$A$166,5)</f>
        <v/>
      </c>
      <c r="I15" s="23">
        <f>SUMIFS($G$27:$G$166,$A$27:$A$166,6)</f>
        <v/>
      </c>
      <c r="J15" s="23">
        <f>SUMIFS($G$27:$G$166,$A$27:$A$166,7)</f>
        <v/>
      </c>
      <c r="K15" s="23">
        <f>SUMIFS($G$27:$G$166,$A$27:$A$166,8)</f>
        <v/>
      </c>
      <c r="L15" s="23">
        <f>SUMIFS($G$27:$G$166,$A$27:$A$166,9)</f>
        <v/>
      </c>
      <c r="M15" s="23">
        <f>SUMIFS($G$27:$G$166,$A$27:$A$166,10)</f>
        <v/>
      </c>
      <c r="N15" s="23">
        <f>SUMIFS($G$27:$G$166,$A$27:$A$166,11)</f>
        <v/>
      </c>
      <c r="O15" s="23">
        <f>SUMIFS($G$27:$G$166,$A$27:$A$166,12)</f>
        <v/>
      </c>
      <c r="P15" s="23">
        <f>SUMIFS($G$27:$G$166,$A$27:$A$166,13)</f>
        <v/>
      </c>
      <c r="Q15" s="23">
        <f>SUMIFS($G$27:$G$166,$A$27:$A$166,14)</f>
        <v/>
      </c>
      <c r="R15" s="23">
        <f>SUMIFS($G$27:$G$166,$A$27:$A$166,15)</f>
        <v/>
      </c>
      <c r="S15" s="23">
        <f>SUMIFS($G$27:$G$166,$A$27:$A$166,16)</f>
        <v/>
      </c>
      <c r="T15" s="23">
        <f>SUMIFS($G$27:$G$166,$A$27:$A$166,17)</f>
        <v/>
      </c>
      <c r="U15" s="23">
        <f>SUMIFS($G$27:$G$166,$A$27:$A$166,18)</f>
        <v/>
      </c>
      <c r="V15" s="23">
        <f>SUMIFS($G$27:$G$166,$A$27:$A$166,19)</f>
        <v/>
      </c>
      <c r="W15" s="23">
        <f>SUMIFS($G$27:$G$166,$A$27:$A$166,20)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SUMIFS($H$27:$H$166,$A$27:$A$166,0)</f>
        <v/>
      </c>
      <c r="D16" s="23">
        <f>SUMIFS($H$27:$H$166,$A$27:$A$166,1)</f>
        <v/>
      </c>
      <c r="E16" s="23">
        <f>SUMIFS($H$27:$H$166,$A$27:$A$166,2)</f>
        <v/>
      </c>
      <c r="F16" s="23">
        <f>SUMIFS($H$27:$H$166,$A$27:$A$166,3)</f>
        <v/>
      </c>
      <c r="G16" s="23">
        <f>SUMIFS($H$27:$H$166,$A$27:$A$166,4)</f>
        <v/>
      </c>
      <c r="H16" s="23">
        <f>SUMIFS($H$27:$H$166,$A$27:$A$166,5)</f>
        <v/>
      </c>
      <c r="I16" s="23">
        <f>SUMIFS($H$27:$H$166,$A$27:$A$166,6)</f>
        <v/>
      </c>
      <c r="J16" s="23">
        <f>SUMIFS($H$27:$H$166,$A$27:$A$166,7)</f>
        <v/>
      </c>
      <c r="K16" s="23">
        <f>SUMIFS($H$27:$H$166,$A$27:$A$166,8)</f>
        <v/>
      </c>
      <c r="L16" s="23">
        <f>SUMIFS($H$27:$H$166,$A$27:$A$166,9)</f>
        <v/>
      </c>
      <c r="M16" s="23">
        <f>SUMIFS($H$27:$H$166,$A$27:$A$166,10)</f>
        <v/>
      </c>
      <c r="N16" s="23">
        <f>SUMIFS($H$27:$H$166,$A$27:$A$166,11)</f>
        <v/>
      </c>
      <c r="O16" s="23">
        <f>SUMIFS($H$27:$H$166,$A$27:$A$166,12)</f>
        <v/>
      </c>
      <c r="P16" s="23">
        <f>SUMIFS($H$27:$H$166,$A$27:$A$166,13)</f>
        <v/>
      </c>
      <c r="Q16" s="23">
        <f>SUMIFS($H$27:$H$166,$A$27:$A$166,14)</f>
        <v/>
      </c>
      <c r="R16" s="23">
        <f>SUMIFS($H$27:$H$166,$A$27:$A$166,15)</f>
        <v/>
      </c>
      <c r="S16" s="23">
        <f>SUMIFS($H$27:$H$166,$A$27:$A$166,16)</f>
        <v/>
      </c>
      <c r="T16" s="23">
        <f>SUMIFS($H$27:$H$166,$A$27:$A$166,17)</f>
        <v/>
      </c>
      <c r="U16" s="23">
        <f>SUMIFS($H$27:$H$166,$A$27:$A$166,18)</f>
        <v/>
      </c>
      <c r="V16" s="23">
        <f>SUMIFS($H$27:$H$166,$A$27:$A$166,19)</f>
        <v/>
      </c>
      <c r="W16" s="23">
        <f>SUMIFS($H$27:$H$166,$A$27:$A$166,20)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SUMIFS($M$27:$M$166,$A$27:$A$166,0)</f>
        <v/>
      </c>
      <c r="D17" s="25">
        <f>SUMIFS($M$27:$M$166,$A$27:$A$166,1)</f>
        <v/>
      </c>
      <c r="E17" s="25">
        <f>SUMIFS($M$27:$M$166,$A$27:$A$166,2)</f>
        <v/>
      </c>
      <c r="F17" s="25">
        <f>SUMIFS($M$27:$M$166,$A$27:$A$166,3)</f>
        <v/>
      </c>
      <c r="G17" s="25">
        <f>SUMIFS($M$27:$M$166,$A$27:$A$166,4)</f>
        <v/>
      </c>
      <c r="H17" s="25">
        <f>SUMIFS($M$27:$M$166,$A$27:$A$166,5)</f>
        <v/>
      </c>
      <c r="I17" s="25">
        <f>SUMIFS($M$27:$M$166,$A$27:$A$166,6)</f>
        <v/>
      </c>
      <c r="J17" s="25">
        <f>SUMIFS($M$27:$M$166,$A$27:$A$166,7)</f>
        <v/>
      </c>
      <c r="K17" s="25">
        <f>SUMIFS($M$27:$M$166,$A$27:$A$166,8)</f>
        <v/>
      </c>
      <c r="L17" s="25">
        <f>SUMIFS($M$27:$M$166,$A$27:$A$166,9)</f>
        <v/>
      </c>
      <c r="M17" s="25">
        <f>SUMIFS($M$27:$M$166,$A$27:$A$166,10)</f>
        <v/>
      </c>
      <c r="N17" s="25">
        <f>SUMIFS($M$27:$M$166,$A$27:$A$166,11)</f>
        <v/>
      </c>
      <c r="O17" s="25">
        <f>SUMIFS($M$27:$M$166,$A$27:$A$166,12)</f>
        <v/>
      </c>
      <c r="P17" s="25">
        <f>SUMIFS($M$27:$M$166,$A$27:$A$166,13)</f>
        <v/>
      </c>
      <c r="Q17" s="25">
        <f>SUMIFS($M$27:$M$166,$A$27:$A$166,14)</f>
        <v/>
      </c>
      <c r="R17" s="25">
        <f>SUMIFS($M$27:$M$166,$A$27:$A$166,15)</f>
        <v/>
      </c>
      <c r="S17" s="25">
        <f>SUMIFS($M$27:$M$166,$A$27:$A$166,16)</f>
        <v/>
      </c>
      <c r="T17" s="25">
        <f>SUMIFS($M$27:$M$166,$A$27:$A$166,17)</f>
        <v/>
      </c>
      <c r="U17" s="25">
        <f>SUMIFS($M$27:$M$166,$A$27:$A$166,18)</f>
        <v/>
      </c>
      <c r="V17" s="25">
        <f>SUMIFS($M$27:$M$166,$A$27:$A$166,19)</f>
        <v/>
      </c>
      <c r="W17" s="25">
        <f>SUMIFS($M$27:$M$166,$A$27:$A$166,20)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Chief Executive Officer (CEO)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160020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oews_pct10</t>
        </is>
      </c>
    </row>
    <row r="28">
      <c r="A28" t="n">
        <v>2</v>
      </c>
      <c r="B28" t="inlineStr">
        <is>
          <t>key_person</t>
        </is>
      </c>
      <c r="C28" t="inlineStr">
        <is>
          <t>Chief Executive Officer (CEO)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160020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oews_pct10</t>
        </is>
      </c>
    </row>
    <row r="29">
      <c r="A29" t="n">
        <v>3</v>
      </c>
      <c r="B29" t="inlineStr">
        <is>
          <t>key_person</t>
        </is>
      </c>
      <c r="C29" t="inlineStr">
        <is>
          <t>Chief Executive Officer (CEO)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160020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oews_pct10</t>
        </is>
      </c>
    </row>
    <row r="30">
      <c r="A30" t="n">
        <v>4</v>
      </c>
      <c r="B30" t="inlineStr">
        <is>
          <t>key_person</t>
        </is>
      </c>
      <c r="C30" t="inlineStr">
        <is>
          <t>Chief Executive Officer (CEO)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160020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oews_pct10</t>
        </is>
      </c>
    </row>
    <row r="31">
      <c r="A31" t="n">
        <v>5</v>
      </c>
      <c r="B31" t="inlineStr">
        <is>
          <t>key_person</t>
        </is>
      </c>
      <c r="C31" t="inlineStr">
        <is>
          <t>Chief Executive Officer (CEO)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164821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oews_pct10</t>
        </is>
      </c>
    </row>
    <row r="32">
      <c r="A32" t="n">
        <v>6</v>
      </c>
      <c r="B32" t="inlineStr">
        <is>
          <t>key_person</t>
        </is>
      </c>
      <c r="C32" t="inlineStr">
        <is>
          <t>Chief Executive Officer (CEO)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164821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oews_pct10</t>
        </is>
      </c>
    </row>
    <row r="33">
      <c r="A33" t="n">
        <v>7</v>
      </c>
      <c r="B33" t="inlineStr">
        <is>
          <t>key_person</t>
        </is>
      </c>
      <c r="C33" t="inlineStr">
        <is>
          <t>Chief Executive Officer (CEO)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164821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oews_pct10</t>
        </is>
      </c>
    </row>
    <row r="34">
      <c r="A34" t="n">
        <v>8</v>
      </c>
      <c r="B34" t="inlineStr">
        <is>
          <t>key_person</t>
        </is>
      </c>
      <c r="C34" t="inlineStr">
        <is>
          <t>Chief Executive Officer (CEO)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164821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oews_pct10</t>
        </is>
      </c>
    </row>
    <row r="35">
      <c r="A35" t="n">
        <v>9</v>
      </c>
      <c r="B35" t="inlineStr">
        <is>
          <t>key_person</t>
        </is>
      </c>
      <c r="C35" t="inlineStr">
        <is>
          <t>Chief Executive Officer (CEO)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169765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oews_pct10</t>
        </is>
      </c>
    </row>
    <row r="36">
      <c r="A36" t="n">
        <v>10</v>
      </c>
      <c r="B36" t="inlineStr">
        <is>
          <t>key_person</t>
        </is>
      </c>
      <c r="C36" t="inlineStr">
        <is>
          <t>Chief Executive Officer (CEO)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169765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oews_pct10</t>
        </is>
      </c>
    </row>
    <row r="37">
      <c r="A37" t="n">
        <v>11</v>
      </c>
      <c r="B37" t="inlineStr">
        <is>
          <t>key_person</t>
        </is>
      </c>
      <c r="C37" t="inlineStr">
        <is>
          <t>Chief Executive Officer (CEO)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169765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oews_pct10</t>
        </is>
      </c>
    </row>
    <row r="38">
      <c r="A38" t="n">
        <v>12</v>
      </c>
      <c r="B38" t="inlineStr">
        <is>
          <t>key_person</t>
        </is>
      </c>
      <c r="C38" t="inlineStr">
        <is>
          <t>Chief Executive Officer (CEO)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169765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oews_pct10</t>
        </is>
      </c>
    </row>
    <row r="39">
      <c r="A39" t="n">
        <v>13</v>
      </c>
      <c r="B39" t="inlineStr">
        <is>
          <t>key_person</t>
        </is>
      </c>
      <c r="C39" t="inlineStr">
        <is>
          <t>Chief Executive Officer (CEO)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174858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oews_pct10</t>
        </is>
      </c>
    </row>
    <row r="40">
      <c r="A40" t="n">
        <v>14</v>
      </c>
      <c r="B40" t="inlineStr">
        <is>
          <t>key_person</t>
        </is>
      </c>
      <c r="C40" t="inlineStr">
        <is>
          <t>Chief Executive Officer (CEO)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174858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oews_pct10</t>
        </is>
      </c>
    </row>
    <row r="41">
      <c r="A41" t="n">
        <v>15</v>
      </c>
      <c r="B41" t="inlineStr">
        <is>
          <t>key_person</t>
        </is>
      </c>
      <c r="C41" t="inlineStr">
        <is>
          <t>Chief Executive Officer (CEO)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174858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oews_pct10</t>
        </is>
      </c>
    </row>
    <row r="42">
      <c r="A42" t="n">
        <v>16</v>
      </c>
      <c r="B42" t="inlineStr">
        <is>
          <t>key_person</t>
        </is>
      </c>
      <c r="C42" t="inlineStr">
        <is>
          <t>Chief Executive Officer (CEO)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174858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oews_pct10</t>
        </is>
      </c>
    </row>
    <row r="43">
      <c r="A43" t="n">
        <v>17</v>
      </c>
      <c r="B43" t="inlineStr">
        <is>
          <t>key_person</t>
        </is>
      </c>
      <c r="C43" t="inlineStr">
        <is>
          <t>Chief Executive Officer (CEO)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180104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oews_pct10</t>
        </is>
      </c>
    </row>
    <row r="44">
      <c r="A44" t="n">
        <v>18</v>
      </c>
      <c r="B44" t="inlineStr">
        <is>
          <t>key_person</t>
        </is>
      </c>
      <c r="C44" t="inlineStr">
        <is>
          <t>Chief Executive Officer (CEO)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180104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oews_pct10</t>
        </is>
      </c>
    </row>
    <row r="45">
      <c r="A45" t="n">
        <v>19</v>
      </c>
      <c r="B45" t="inlineStr">
        <is>
          <t>key_person</t>
        </is>
      </c>
      <c r="C45" t="inlineStr">
        <is>
          <t>Chief Executive Officer (CEO)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180104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oews_pct10</t>
        </is>
      </c>
    </row>
    <row r="46">
      <c r="A46" t="n">
        <v>20</v>
      </c>
      <c r="B46" t="inlineStr">
        <is>
          <t>key_person</t>
        </is>
      </c>
      <c r="C46" t="inlineStr">
        <is>
          <t>Chief Executive Officer (CEO)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180104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oews_pct10</t>
        </is>
      </c>
    </row>
    <row r="47">
      <c r="A47" t="n">
        <v>1</v>
      </c>
      <c r="B47" t="inlineStr">
        <is>
          <t>key_person</t>
        </is>
      </c>
      <c r="C47" t="inlineStr">
        <is>
          <t>Chief Technology Officer (CTO)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202210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Chief Technology Officer (CTO)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202210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Chief Technology Officer (CTO)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202210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Chief Technology Officer (CTO)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202210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Chief Technology Officer (CTO)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208276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Chief Technology Officer (CTO)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208276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Chief Technology Officer (CTO)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208276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Chief Technology Officer (CTO)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208276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Chief Technology Officer (CTO)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214525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Chief Technology Officer (CTO)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214525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Chief Technology Officer (CTO)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214525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Chief Technology Officer (CTO)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214525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Chief Technology Officer (CTO)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220960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Chief Technology Officer (CTO)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220960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Chief Technology Officer (CTO)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220960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Chief Technology Officer (CTO)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220960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Chief Technology Officer (CTO)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227589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Chief Technology Officer (CTO)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227589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Chief Technology Officer (CTO)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227589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Chief Technology Officer (CTO)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227589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key_person</t>
        </is>
      </c>
      <c r="C67" t="inlineStr">
        <is>
          <t>Vice President of Enterprise Sales</t>
        </is>
      </c>
      <c r="D67" t="inlineStr"/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170520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oews_median</t>
        </is>
      </c>
    </row>
    <row r="68">
      <c r="A68" t="n">
        <v>2</v>
      </c>
      <c r="B68" t="inlineStr">
        <is>
          <t>key_person</t>
        </is>
      </c>
      <c r="C68" t="inlineStr">
        <is>
          <t>Vice President of Enterprise Sales</t>
        </is>
      </c>
      <c r="D68" t="inlineStr"/>
      <c r="E68" s="29" t="n">
        <v>1</v>
      </c>
      <c r="F68" s="29" t="n">
        <v>0</v>
      </c>
      <c r="G68" s="30">
        <f>E68+F68</f>
        <v/>
      </c>
      <c r="H68" s="30">
        <f>(E68+G68)/2</f>
        <v/>
      </c>
      <c r="I68" s="31" t="n">
        <v>170520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oews_median</t>
        </is>
      </c>
    </row>
    <row r="69">
      <c r="A69" t="n">
        <v>3</v>
      </c>
      <c r="B69" t="inlineStr">
        <is>
          <t>key_person</t>
        </is>
      </c>
      <c r="C69" t="inlineStr">
        <is>
          <t>Vice President of Enterprise Sales</t>
        </is>
      </c>
      <c r="D69" t="inlineStr"/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170520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oews_median</t>
        </is>
      </c>
    </row>
    <row r="70">
      <c r="A70" t="n">
        <v>4</v>
      </c>
      <c r="B70" t="inlineStr">
        <is>
          <t>key_person</t>
        </is>
      </c>
      <c r="C70" t="inlineStr">
        <is>
          <t>Vice President of Enterprise Sales</t>
        </is>
      </c>
      <c r="D70" t="inlineStr"/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170520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oews_median</t>
        </is>
      </c>
    </row>
    <row r="71">
      <c r="A71" t="n">
        <v>5</v>
      </c>
      <c r="B71" t="inlineStr">
        <is>
          <t>key_person</t>
        </is>
      </c>
      <c r="C71" t="inlineStr">
        <is>
          <t>Vice President of Enterprise Sales</t>
        </is>
      </c>
      <c r="D71" t="inlineStr"/>
      <c r="E71" s="29" t="n">
        <v>1</v>
      </c>
      <c r="F71" s="29" t="n">
        <v>0</v>
      </c>
      <c r="G71" s="30">
        <f>E71+F71</f>
        <v/>
      </c>
      <c r="H71" s="30">
        <f>(E71+G71)/2</f>
        <v/>
      </c>
      <c r="I71" s="31" t="n">
        <v>175636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oews_median</t>
        </is>
      </c>
    </row>
    <row r="72">
      <c r="A72" t="n">
        <v>6</v>
      </c>
      <c r="B72" t="inlineStr">
        <is>
          <t>key_person</t>
        </is>
      </c>
      <c r="C72" t="inlineStr">
        <is>
          <t>Vice President of Enterprise Sales</t>
        </is>
      </c>
      <c r="D72" t="inlineStr"/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175636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oews_median</t>
        </is>
      </c>
    </row>
    <row r="73">
      <c r="A73" t="n">
        <v>7</v>
      </c>
      <c r="B73" t="inlineStr">
        <is>
          <t>key_person</t>
        </is>
      </c>
      <c r="C73" t="inlineStr">
        <is>
          <t>Vice President of Enterprise Sales</t>
        </is>
      </c>
      <c r="D73" t="inlineStr"/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175636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oews_median</t>
        </is>
      </c>
    </row>
    <row r="74">
      <c r="A74" t="n">
        <v>8</v>
      </c>
      <c r="B74" t="inlineStr">
        <is>
          <t>key_person</t>
        </is>
      </c>
      <c r="C74" t="inlineStr">
        <is>
          <t>Vice President of Enterprise Sales</t>
        </is>
      </c>
      <c r="D74" t="inlineStr"/>
      <c r="E74" s="29" t="n">
        <v>1</v>
      </c>
      <c r="F74" s="29" t="n">
        <v>0</v>
      </c>
      <c r="G74" s="30">
        <f>E74+F74</f>
        <v/>
      </c>
      <c r="H74" s="30">
        <f>(E74+G74)/2</f>
        <v/>
      </c>
      <c r="I74" s="31" t="n">
        <v>175636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oews_median</t>
        </is>
      </c>
    </row>
    <row r="75">
      <c r="A75" t="n">
        <v>9</v>
      </c>
      <c r="B75" t="inlineStr">
        <is>
          <t>key_person</t>
        </is>
      </c>
      <c r="C75" t="inlineStr">
        <is>
          <t>Vice President of Enterprise Sales</t>
        </is>
      </c>
      <c r="D75" t="inlineStr"/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180905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oews_median</t>
        </is>
      </c>
    </row>
    <row r="76">
      <c r="A76" t="n">
        <v>10</v>
      </c>
      <c r="B76" t="inlineStr">
        <is>
          <t>key_person</t>
        </is>
      </c>
      <c r="C76" t="inlineStr">
        <is>
          <t>Vice President of Enterprise Sales</t>
        </is>
      </c>
      <c r="D76" t="inlineStr"/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180905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oews_median</t>
        </is>
      </c>
    </row>
    <row r="77">
      <c r="A77" t="n">
        <v>11</v>
      </c>
      <c r="B77" t="inlineStr">
        <is>
          <t>key_person</t>
        </is>
      </c>
      <c r="C77" t="inlineStr">
        <is>
          <t>Vice President of Enterprise Sales</t>
        </is>
      </c>
      <c r="D77" t="inlineStr"/>
      <c r="E77" s="29" t="n">
        <v>1</v>
      </c>
      <c r="F77" s="29" t="n">
        <v>0</v>
      </c>
      <c r="G77" s="30">
        <f>E77+F77</f>
        <v/>
      </c>
      <c r="H77" s="30">
        <f>(E77+G77)/2</f>
        <v/>
      </c>
      <c r="I77" s="31" t="n">
        <v>180905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oews_median</t>
        </is>
      </c>
    </row>
    <row r="78">
      <c r="A78" t="n">
        <v>12</v>
      </c>
      <c r="B78" t="inlineStr">
        <is>
          <t>key_person</t>
        </is>
      </c>
      <c r="C78" t="inlineStr">
        <is>
          <t>Vice President of Enterprise Sales</t>
        </is>
      </c>
      <c r="D78" t="inlineStr"/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180905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oews_median</t>
        </is>
      </c>
    </row>
    <row r="79">
      <c r="A79" t="n">
        <v>13</v>
      </c>
      <c r="B79" t="inlineStr">
        <is>
          <t>key_person</t>
        </is>
      </c>
      <c r="C79" t="inlineStr">
        <is>
          <t>Vice President of Enterprise Sales</t>
        </is>
      </c>
      <c r="D79" t="inlineStr"/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186332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oews_median</t>
        </is>
      </c>
    </row>
    <row r="80">
      <c r="A80" t="n">
        <v>14</v>
      </c>
      <c r="B80" t="inlineStr">
        <is>
          <t>key_person</t>
        </is>
      </c>
      <c r="C80" t="inlineStr">
        <is>
          <t>Vice President of Enterprise Sales</t>
        </is>
      </c>
      <c r="D80" t="inlineStr"/>
      <c r="E80" s="29" t="n">
        <v>1</v>
      </c>
      <c r="F80" s="29" t="n">
        <v>0</v>
      </c>
      <c r="G80" s="30">
        <f>E80+F80</f>
        <v/>
      </c>
      <c r="H80" s="30">
        <f>(E80+G80)/2</f>
        <v/>
      </c>
      <c r="I80" s="31" t="n">
        <v>186332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oews_median</t>
        </is>
      </c>
    </row>
    <row r="81">
      <c r="A81" t="n">
        <v>15</v>
      </c>
      <c r="B81" t="inlineStr">
        <is>
          <t>key_person</t>
        </is>
      </c>
      <c r="C81" t="inlineStr">
        <is>
          <t>Vice President of Enterprise Sales</t>
        </is>
      </c>
      <c r="D81" t="inlineStr"/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186332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oews_median</t>
        </is>
      </c>
    </row>
    <row r="82">
      <c r="A82" t="n">
        <v>16</v>
      </c>
      <c r="B82" t="inlineStr">
        <is>
          <t>key_person</t>
        </is>
      </c>
      <c r="C82" t="inlineStr">
        <is>
          <t>Vice President of Enterprise Sales</t>
        </is>
      </c>
      <c r="D82" t="inlineStr"/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186332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oews_median</t>
        </is>
      </c>
    </row>
    <row r="83">
      <c r="A83" t="n">
        <v>17</v>
      </c>
      <c r="B83" t="inlineStr">
        <is>
          <t>key_person</t>
        </is>
      </c>
      <c r="C83" t="inlineStr">
        <is>
          <t>Vice President of Enterprise Sales</t>
        </is>
      </c>
      <c r="D83" t="inlineStr"/>
      <c r="E83" s="29" t="n">
        <v>1</v>
      </c>
      <c r="F83" s="29" t="n">
        <v>0</v>
      </c>
      <c r="G83" s="30">
        <f>E83+F83</f>
        <v/>
      </c>
      <c r="H83" s="30">
        <f>(E83+G83)/2</f>
        <v/>
      </c>
      <c r="I83" s="31" t="n">
        <v>191922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oews_median</t>
        </is>
      </c>
    </row>
    <row r="84">
      <c r="A84" t="n">
        <v>18</v>
      </c>
      <c r="B84" t="inlineStr">
        <is>
          <t>key_person</t>
        </is>
      </c>
      <c r="C84" t="inlineStr">
        <is>
          <t>Vice President of Enterprise Sales</t>
        </is>
      </c>
      <c r="D84" t="inlineStr"/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191922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oews_median</t>
        </is>
      </c>
    </row>
    <row r="85">
      <c r="A85" t="n">
        <v>19</v>
      </c>
      <c r="B85" t="inlineStr">
        <is>
          <t>key_person</t>
        </is>
      </c>
      <c r="C85" t="inlineStr">
        <is>
          <t>Vice President of Enterprise Sales</t>
        </is>
      </c>
      <c r="D85" t="inlineStr"/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191922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oews_median</t>
        </is>
      </c>
    </row>
    <row r="86">
      <c r="A86" t="n">
        <v>20</v>
      </c>
      <c r="B86" t="inlineStr">
        <is>
          <t>key_person</t>
        </is>
      </c>
      <c r="C86" t="inlineStr">
        <is>
          <t>Vice President of Enterprise Sales</t>
        </is>
      </c>
      <c r="D86" t="inlineStr"/>
      <c r="E86" s="29" t="n">
        <v>1</v>
      </c>
      <c r="F86" s="29" t="n">
        <v>0</v>
      </c>
      <c r="G86" s="30">
        <f>E86+F86</f>
        <v/>
      </c>
      <c r="H86" s="30">
        <f>(E86+G86)/2</f>
        <v/>
      </c>
      <c r="I86" s="31" t="n">
        <v>191922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oews_median</t>
        </is>
      </c>
    </row>
    <row r="87">
      <c r="A87" t="n">
        <v>1</v>
      </c>
      <c r="B87" t="inlineStr">
        <is>
          <t>supporting_staff</t>
        </is>
      </c>
      <c r="C87" t="inlineStr">
        <is>
          <t>Accountants and Auditors</t>
        </is>
      </c>
      <c r="D87" t="inlineStr">
        <is>
          <t>Accountants and Auditors</t>
        </is>
      </c>
      <c r="E87" s="29" t="n">
        <v>0.5</v>
      </c>
      <c r="F87" s="29" t="n">
        <v>0</v>
      </c>
      <c r="G87" s="30">
        <f>E87+F87</f>
        <v/>
      </c>
      <c r="H87" s="30">
        <f>(E87+G87)/2</f>
        <v/>
      </c>
      <c r="I87" s="31" t="n">
        <v>128238</v>
      </c>
      <c r="J87" s="32" t="n">
        <v>0.22</v>
      </c>
      <c r="K87" s="33">
        <f>H87*I87/4</f>
        <v/>
      </c>
      <c r="L87" s="33">
        <f>K87*J87</f>
        <v/>
      </c>
      <c r="M87" s="33">
        <f>K87+L87</f>
        <v/>
      </c>
      <c r="N87" t="inlineStr">
        <is>
          <t>oews_title_catalog:oews_median</t>
        </is>
      </c>
    </row>
    <row r="88">
      <c r="A88" t="n">
        <v>1</v>
      </c>
      <c r="B88" t="inlineStr">
        <is>
          <t>supporting_staff</t>
        </is>
      </c>
      <c r="C88" t="inlineStr">
        <is>
          <t>Customer Service Representatives</t>
        </is>
      </c>
      <c r="D88" t="inlineStr">
        <is>
          <t>Customer Service Representatives</t>
        </is>
      </c>
      <c r="E88" s="29" t="n">
        <v>1</v>
      </c>
      <c r="F88" s="29" t="n">
        <v>0</v>
      </c>
      <c r="G88" s="30">
        <f>E88+F88</f>
        <v/>
      </c>
      <c r="H88" s="30">
        <f>(E88+G88)/2</f>
        <v/>
      </c>
      <c r="I88" s="31" t="n">
        <v>70962</v>
      </c>
      <c r="J88" s="32" t="n">
        <v>0.22</v>
      </c>
      <c r="K88" s="33">
        <f>H88*I88/4</f>
        <v/>
      </c>
      <c r="L88" s="33">
        <f>K88*J88</f>
        <v/>
      </c>
      <c r="M88" s="33">
        <f>K88+L88</f>
        <v/>
      </c>
      <c r="N88" t="inlineStr">
        <is>
          <t>oews_title_catalog:oews_median</t>
        </is>
      </c>
    </row>
    <row r="89">
      <c r="A89" t="n">
        <v>1</v>
      </c>
      <c r="B89" t="inlineStr">
        <is>
          <t>supporting_staff</t>
        </is>
      </c>
      <c r="C89" t="inlineStr">
        <is>
          <t>Human Resources Specialists</t>
        </is>
      </c>
      <c r="D89" t="inlineStr">
        <is>
          <t>Human Resources Specialists</t>
        </is>
      </c>
      <c r="E89" s="29" t="n">
        <v>0.5</v>
      </c>
      <c r="F89" s="29" t="n">
        <v>0</v>
      </c>
      <c r="G89" s="30">
        <f>E89+F89</f>
        <v/>
      </c>
      <c r="H89" s="30">
        <f>(E89+G89)/2</f>
        <v/>
      </c>
      <c r="I89" s="31" t="n">
        <v>133862</v>
      </c>
      <c r="J89" s="32" t="n">
        <v>0.22</v>
      </c>
      <c r="K89" s="33">
        <f>H89*I89/4</f>
        <v/>
      </c>
      <c r="L89" s="33">
        <f>K89*J89</f>
        <v/>
      </c>
      <c r="M89" s="33">
        <f>K89+L89</f>
        <v/>
      </c>
      <c r="N89" t="inlineStr">
        <is>
          <t>oews_title_catalog:oews_median</t>
        </is>
      </c>
    </row>
    <row r="90">
      <c r="A90" t="n">
        <v>1</v>
      </c>
      <c r="B90" t="inlineStr">
        <is>
          <t>supporting_staff</t>
        </is>
      </c>
      <c r="C90" t="inlineStr">
        <is>
          <t>Software Developers</t>
        </is>
      </c>
      <c r="D90" t="inlineStr">
        <is>
          <t>Software Developers</t>
        </is>
      </c>
      <c r="E90" s="29" t="n">
        <v>3</v>
      </c>
      <c r="F90" s="29" t="n">
        <v>0</v>
      </c>
      <c r="G90" s="30">
        <f>E90+F90</f>
        <v/>
      </c>
      <c r="H90" s="30">
        <f>(E90+G90)/2</f>
        <v/>
      </c>
      <c r="I90" s="31" t="n">
        <v>187488</v>
      </c>
      <c r="J90" s="32" t="n">
        <v>0.22</v>
      </c>
      <c r="K90" s="33">
        <f>H90*I90/4</f>
        <v/>
      </c>
      <c r="L90" s="33">
        <f>K90*J90</f>
        <v/>
      </c>
      <c r="M90" s="33">
        <f>K90+L90</f>
        <v/>
      </c>
      <c r="N90" t="inlineStr">
        <is>
          <t>oews_title_catalog:oews_median</t>
        </is>
      </c>
    </row>
    <row r="91">
      <c r="A91" t="n">
        <v>2</v>
      </c>
      <c r="B91" t="inlineStr">
        <is>
          <t>supporting_staff</t>
        </is>
      </c>
      <c r="C91" t="inlineStr">
        <is>
          <t>Accountants and Auditors</t>
        </is>
      </c>
      <c r="D91" t="inlineStr">
        <is>
          <t>Accountants and Auditors</t>
        </is>
      </c>
      <c r="E91" s="29" t="n">
        <v>0.5</v>
      </c>
      <c r="F91" s="29" t="n">
        <v>0</v>
      </c>
      <c r="G91" s="30">
        <f>E91+F91</f>
        <v/>
      </c>
      <c r="H91" s="30">
        <f>(E91+G91)/2</f>
        <v/>
      </c>
      <c r="I91" s="31" t="n">
        <v>128238</v>
      </c>
      <c r="J91" s="32" t="n">
        <v>0.22</v>
      </c>
      <c r="K91" s="33">
        <f>H91*I91/4</f>
        <v/>
      </c>
      <c r="L91" s="33">
        <f>K91*J91</f>
        <v/>
      </c>
      <c r="M91" s="33">
        <f>K91+L91</f>
        <v/>
      </c>
      <c r="N91" t="inlineStr">
        <is>
          <t>oews_title_catalog:oews_median</t>
        </is>
      </c>
    </row>
    <row r="92">
      <c r="A92" t="n">
        <v>2</v>
      </c>
      <c r="B92" t="inlineStr">
        <is>
          <t>supporting_staff</t>
        </is>
      </c>
      <c r="C92" t="inlineStr">
        <is>
          <t>Customer Service Representatives</t>
        </is>
      </c>
      <c r="D92" t="inlineStr">
        <is>
          <t>Customer Service Representatives</t>
        </is>
      </c>
      <c r="E92" s="29" t="n">
        <v>1</v>
      </c>
      <c r="F92" s="29" t="n">
        <v>0</v>
      </c>
      <c r="G92" s="30">
        <f>E92+F92</f>
        <v/>
      </c>
      <c r="H92" s="30">
        <f>(E92+G92)/2</f>
        <v/>
      </c>
      <c r="I92" s="31" t="n">
        <v>70962</v>
      </c>
      <c r="J92" s="32" t="n">
        <v>0.22</v>
      </c>
      <c r="K92" s="33">
        <f>H92*I92/4</f>
        <v/>
      </c>
      <c r="L92" s="33">
        <f>K92*J92</f>
        <v/>
      </c>
      <c r="M92" s="33">
        <f>K92+L92</f>
        <v/>
      </c>
      <c r="N92" t="inlineStr">
        <is>
          <t>oews_title_catalog:oews_median</t>
        </is>
      </c>
    </row>
    <row r="93">
      <c r="A93" t="n">
        <v>2</v>
      </c>
      <c r="B93" t="inlineStr">
        <is>
          <t>supporting_staff</t>
        </is>
      </c>
      <c r="C93" t="inlineStr">
        <is>
          <t>Human Resources Specialists</t>
        </is>
      </c>
      <c r="D93" t="inlineStr">
        <is>
          <t>Human Resources Specialists</t>
        </is>
      </c>
      <c r="E93" s="29" t="n">
        <v>0.5</v>
      </c>
      <c r="F93" s="29" t="n">
        <v>0</v>
      </c>
      <c r="G93" s="30">
        <f>E93+F93</f>
        <v/>
      </c>
      <c r="H93" s="30">
        <f>(E93+G93)/2</f>
        <v/>
      </c>
      <c r="I93" s="31" t="n">
        <v>133862</v>
      </c>
      <c r="J93" s="32" t="n">
        <v>0.22</v>
      </c>
      <c r="K93" s="33">
        <f>H93*I93/4</f>
        <v/>
      </c>
      <c r="L93" s="33">
        <f>K93*J93</f>
        <v/>
      </c>
      <c r="M93" s="33">
        <f>K93+L93</f>
        <v/>
      </c>
      <c r="N93" t="inlineStr">
        <is>
          <t>oews_title_catalog:oews_median</t>
        </is>
      </c>
    </row>
    <row r="94">
      <c r="A94" t="n">
        <v>2</v>
      </c>
      <c r="B94" t="inlineStr">
        <is>
          <t>supporting_staff</t>
        </is>
      </c>
      <c r="C94" t="inlineStr">
        <is>
          <t>Software Developers</t>
        </is>
      </c>
      <c r="D94" t="inlineStr">
        <is>
          <t>Software Developers</t>
        </is>
      </c>
      <c r="E94" s="29" t="n">
        <v>3</v>
      </c>
      <c r="F94" s="29" t="n">
        <v>0</v>
      </c>
      <c r="G94" s="30">
        <f>E94+F94</f>
        <v/>
      </c>
      <c r="H94" s="30">
        <f>(E94+G94)/2</f>
        <v/>
      </c>
      <c r="I94" s="31" t="n">
        <v>187488</v>
      </c>
      <c r="J94" s="32" t="n">
        <v>0.22</v>
      </c>
      <c r="K94" s="33">
        <f>H94*I94/4</f>
        <v/>
      </c>
      <c r="L94" s="33">
        <f>K94*J94</f>
        <v/>
      </c>
      <c r="M94" s="33">
        <f>K94+L94</f>
        <v/>
      </c>
      <c r="N94" t="inlineStr">
        <is>
          <t>oews_title_catalog:oews_median</t>
        </is>
      </c>
    </row>
    <row r="95">
      <c r="A95" t="n">
        <v>3</v>
      </c>
      <c r="B95" t="inlineStr">
        <is>
          <t>supporting_staff</t>
        </is>
      </c>
      <c r="C95" t="inlineStr">
        <is>
          <t>Accountants and Auditors</t>
        </is>
      </c>
      <c r="D95" t="inlineStr">
        <is>
          <t>Accountants and Auditors</t>
        </is>
      </c>
      <c r="E95" s="29" t="n">
        <v>0.5</v>
      </c>
      <c r="F95" s="29" t="n">
        <v>0</v>
      </c>
      <c r="G95" s="30">
        <f>E95+F95</f>
        <v/>
      </c>
      <c r="H95" s="30">
        <f>(E95+G95)/2</f>
        <v/>
      </c>
      <c r="I95" s="31" t="n">
        <v>128238</v>
      </c>
      <c r="J95" s="32" t="n">
        <v>0.22</v>
      </c>
      <c r="K95" s="33">
        <f>H95*I95/4</f>
        <v/>
      </c>
      <c r="L95" s="33">
        <f>K95*J95</f>
        <v/>
      </c>
      <c r="M95" s="33">
        <f>K95+L95</f>
        <v/>
      </c>
      <c r="N95" t="inlineStr">
        <is>
          <t>oews_title_catalog:oews_median</t>
        </is>
      </c>
    </row>
    <row r="96">
      <c r="A96" t="n">
        <v>3</v>
      </c>
      <c r="B96" t="inlineStr">
        <is>
          <t>supporting_staff</t>
        </is>
      </c>
      <c r="C96" t="inlineStr">
        <is>
          <t>Customer Service Representatives</t>
        </is>
      </c>
      <c r="D96" t="inlineStr">
        <is>
          <t>Customer Service Representatives</t>
        </is>
      </c>
      <c r="E96" s="29" t="n">
        <v>1</v>
      </c>
      <c r="F96" s="29" t="n">
        <v>0</v>
      </c>
      <c r="G96" s="30">
        <f>E96+F96</f>
        <v/>
      </c>
      <c r="H96" s="30">
        <f>(E96+G96)/2</f>
        <v/>
      </c>
      <c r="I96" s="31" t="n">
        <v>70962</v>
      </c>
      <c r="J96" s="32" t="n">
        <v>0.22</v>
      </c>
      <c r="K96" s="33">
        <f>H96*I96/4</f>
        <v/>
      </c>
      <c r="L96" s="33">
        <f>K96*J96</f>
        <v/>
      </c>
      <c r="M96" s="33">
        <f>K96+L96</f>
        <v/>
      </c>
      <c r="N96" t="inlineStr">
        <is>
          <t>oews_title_catalog:oews_median</t>
        </is>
      </c>
    </row>
    <row r="97">
      <c r="A97" t="n">
        <v>3</v>
      </c>
      <c r="B97" t="inlineStr">
        <is>
          <t>supporting_staff</t>
        </is>
      </c>
      <c r="C97" t="inlineStr">
        <is>
          <t>Human Resources Specialists</t>
        </is>
      </c>
      <c r="D97" t="inlineStr">
        <is>
          <t>Human Resources Specialists</t>
        </is>
      </c>
      <c r="E97" s="29" t="n">
        <v>0.5</v>
      </c>
      <c r="F97" s="29" t="n">
        <v>0</v>
      </c>
      <c r="G97" s="30">
        <f>E97+F97</f>
        <v/>
      </c>
      <c r="H97" s="30">
        <f>(E97+G97)/2</f>
        <v/>
      </c>
      <c r="I97" s="31" t="n">
        <v>133862</v>
      </c>
      <c r="J97" s="32" t="n">
        <v>0.22</v>
      </c>
      <c r="K97" s="33">
        <f>H97*I97/4</f>
        <v/>
      </c>
      <c r="L97" s="33">
        <f>K97*J97</f>
        <v/>
      </c>
      <c r="M97" s="33">
        <f>K97+L97</f>
        <v/>
      </c>
      <c r="N97" t="inlineStr">
        <is>
          <t>oews_title_catalog:oews_median</t>
        </is>
      </c>
    </row>
    <row r="98">
      <c r="A98" t="n">
        <v>3</v>
      </c>
      <c r="B98" t="inlineStr">
        <is>
          <t>supporting_staff</t>
        </is>
      </c>
      <c r="C98" t="inlineStr">
        <is>
          <t>Software Developers</t>
        </is>
      </c>
      <c r="D98" t="inlineStr">
        <is>
          <t>Software Developers</t>
        </is>
      </c>
      <c r="E98" s="29" t="n">
        <v>3</v>
      </c>
      <c r="F98" s="29" t="n">
        <v>0</v>
      </c>
      <c r="G98" s="30">
        <f>E98+F98</f>
        <v/>
      </c>
      <c r="H98" s="30">
        <f>(E98+G98)/2</f>
        <v/>
      </c>
      <c r="I98" s="31" t="n">
        <v>187488</v>
      </c>
      <c r="J98" s="32" t="n">
        <v>0.22</v>
      </c>
      <c r="K98" s="33">
        <f>H98*I98/4</f>
        <v/>
      </c>
      <c r="L98" s="33">
        <f>K98*J98</f>
        <v/>
      </c>
      <c r="M98" s="33">
        <f>K98+L98</f>
        <v/>
      </c>
      <c r="N98" t="inlineStr">
        <is>
          <t>oews_title_catalog:oews_median</t>
        </is>
      </c>
    </row>
    <row r="99">
      <c r="A99" t="n">
        <v>4</v>
      </c>
      <c r="B99" t="inlineStr">
        <is>
          <t>supporting_staff</t>
        </is>
      </c>
      <c r="C99" t="inlineStr">
        <is>
          <t>Accountants and Auditors</t>
        </is>
      </c>
      <c r="D99" t="inlineStr">
        <is>
          <t>Accountants and Auditors</t>
        </is>
      </c>
      <c r="E99" s="29" t="n">
        <v>0.5</v>
      </c>
      <c r="F99" s="29" t="n">
        <v>0</v>
      </c>
      <c r="G99" s="30">
        <f>E99+F99</f>
        <v/>
      </c>
      <c r="H99" s="30">
        <f>(E99+G99)/2</f>
        <v/>
      </c>
      <c r="I99" s="31" t="n">
        <v>128238</v>
      </c>
      <c r="J99" s="32" t="n">
        <v>0.22</v>
      </c>
      <c r="K99" s="33">
        <f>H99*I99/4</f>
        <v/>
      </c>
      <c r="L99" s="33">
        <f>K99*J99</f>
        <v/>
      </c>
      <c r="M99" s="33">
        <f>K99+L99</f>
        <v/>
      </c>
      <c r="N99" t="inlineStr">
        <is>
          <t>oews_title_catalog:oews_median</t>
        </is>
      </c>
    </row>
    <row r="100">
      <c r="A100" t="n">
        <v>4</v>
      </c>
      <c r="B100" t="inlineStr">
        <is>
          <t>supporting_staff</t>
        </is>
      </c>
      <c r="C100" t="inlineStr">
        <is>
          <t>Customer Service Representatives</t>
        </is>
      </c>
      <c r="D100" t="inlineStr">
        <is>
          <t>Customer Service Representatives</t>
        </is>
      </c>
      <c r="E100" s="29" t="n">
        <v>1</v>
      </c>
      <c r="F100" s="29" t="n">
        <v>0</v>
      </c>
      <c r="G100" s="30">
        <f>E100+F100</f>
        <v/>
      </c>
      <c r="H100" s="30">
        <f>(E100+G100)/2</f>
        <v/>
      </c>
      <c r="I100" s="31" t="n">
        <v>70962</v>
      </c>
      <c r="J100" s="32" t="n">
        <v>0.22</v>
      </c>
      <c r="K100" s="33">
        <f>H100*I100/4</f>
        <v/>
      </c>
      <c r="L100" s="33">
        <f>K100*J100</f>
        <v/>
      </c>
      <c r="M100" s="33">
        <f>K100+L100</f>
        <v/>
      </c>
      <c r="N100" t="inlineStr">
        <is>
          <t>oews_title_catalog:oews_median</t>
        </is>
      </c>
    </row>
    <row r="101">
      <c r="A101" t="n">
        <v>4</v>
      </c>
      <c r="B101" t="inlineStr">
        <is>
          <t>supporting_staff</t>
        </is>
      </c>
      <c r="C101" t="inlineStr">
        <is>
          <t>Human Resources Specialists</t>
        </is>
      </c>
      <c r="D101" t="inlineStr">
        <is>
          <t>Human Resources Specialists</t>
        </is>
      </c>
      <c r="E101" s="29" t="n">
        <v>0.5</v>
      </c>
      <c r="F101" s="29" t="n">
        <v>0</v>
      </c>
      <c r="G101" s="30">
        <f>E101+F101</f>
        <v/>
      </c>
      <c r="H101" s="30">
        <f>(E101+G101)/2</f>
        <v/>
      </c>
      <c r="I101" s="31" t="n">
        <v>133862</v>
      </c>
      <c r="J101" s="32" t="n">
        <v>0.22</v>
      </c>
      <c r="K101" s="33">
        <f>H101*I101/4</f>
        <v/>
      </c>
      <c r="L101" s="33">
        <f>K101*J101</f>
        <v/>
      </c>
      <c r="M101" s="33">
        <f>K101+L101</f>
        <v/>
      </c>
      <c r="N101" t="inlineStr">
        <is>
          <t>oews_title_catalog:oews_median</t>
        </is>
      </c>
    </row>
    <row r="102">
      <c r="A102" t="n">
        <v>4</v>
      </c>
      <c r="B102" t="inlineStr">
        <is>
          <t>supporting_staff</t>
        </is>
      </c>
      <c r="C102" t="inlineStr">
        <is>
          <t>Software Developers</t>
        </is>
      </c>
      <c r="D102" t="inlineStr">
        <is>
          <t>Software Developers</t>
        </is>
      </c>
      <c r="E102" s="29" t="n">
        <v>3</v>
      </c>
      <c r="F102" s="29" t="n">
        <v>0</v>
      </c>
      <c r="G102" s="30">
        <f>E102+F102</f>
        <v/>
      </c>
      <c r="H102" s="30">
        <f>(E102+G102)/2</f>
        <v/>
      </c>
      <c r="I102" s="31" t="n">
        <v>187488</v>
      </c>
      <c r="J102" s="32" t="n">
        <v>0.22</v>
      </c>
      <c r="K102" s="33">
        <f>H102*I102/4</f>
        <v/>
      </c>
      <c r="L102" s="33">
        <f>K102*J102</f>
        <v/>
      </c>
      <c r="M102" s="33">
        <f>K102+L102</f>
        <v/>
      </c>
      <c r="N102" t="inlineStr">
        <is>
          <t>oews_title_catalog:oews_median</t>
        </is>
      </c>
    </row>
    <row r="103">
      <c r="A103" t="n">
        <v>5</v>
      </c>
      <c r="B103" t="inlineStr">
        <is>
          <t>supporting_staff</t>
        </is>
      </c>
      <c r="C103" t="inlineStr">
        <is>
          <t>Accountants and Auditors</t>
        </is>
      </c>
      <c r="D103" t="inlineStr">
        <is>
          <t>Accountants and Auditors</t>
        </is>
      </c>
      <c r="E103" s="29" t="n">
        <v>0.5</v>
      </c>
      <c r="F103" s="29" t="n">
        <v>0</v>
      </c>
      <c r="G103" s="30">
        <f>E103+F103</f>
        <v/>
      </c>
      <c r="H103" s="30">
        <f>(E103+G103)/2</f>
        <v/>
      </c>
      <c r="I103" s="31" t="n">
        <v>132085</v>
      </c>
      <c r="J103" s="32" t="n">
        <v>0.22</v>
      </c>
      <c r="K103" s="33">
        <f>H103*I103/4</f>
        <v/>
      </c>
      <c r="L103" s="33">
        <f>K103*J103</f>
        <v/>
      </c>
      <c r="M103" s="33">
        <f>K103+L103</f>
        <v/>
      </c>
      <c r="N103" t="inlineStr">
        <is>
          <t>oews_title_catalog:oews_median</t>
        </is>
      </c>
    </row>
    <row r="104">
      <c r="A104" t="n">
        <v>5</v>
      </c>
      <c r="B104" t="inlineStr">
        <is>
          <t>supporting_staff</t>
        </is>
      </c>
      <c r="C104" t="inlineStr">
        <is>
          <t>Customer Service Representatives</t>
        </is>
      </c>
      <c r="D104" t="inlineStr">
        <is>
          <t>Customer Service Representatives</t>
        </is>
      </c>
      <c r="E104" s="29" t="n">
        <v>1</v>
      </c>
      <c r="F104" s="29" t="n">
        <v>0</v>
      </c>
      <c r="G104" s="30">
        <f>E104+F104</f>
        <v/>
      </c>
      <c r="H104" s="30">
        <f>(E104+G104)/2</f>
        <v/>
      </c>
      <c r="I104" s="31" t="n">
        <v>73091</v>
      </c>
      <c r="J104" s="32" t="n">
        <v>0.22</v>
      </c>
      <c r="K104" s="33">
        <f>H104*I104/4</f>
        <v/>
      </c>
      <c r="L104" s="33">
        <f>K104*J104</f>
        <v/>
      </c>
      <c r="M104" s="33">
        <f>K104+L104</f>
        <v/>
      </c>
      <c r="N104" t="inlineStr">
        <is>
          <t>oews_title_catalog:oews_median</t>
        </is>
      </c>
    </row>
    <row r="105">
      <c r="A105" t="n">
        <v>5</v>
      </c>
      <c r="B105" t="inlineStr">
        <is>
          <t>supporting_staff</t>
        </is>
      </c>
      <c r="C105" t="inlineStr">
        <is>
          <t>Human Resources Specialists</t>
        </is>
      </c>
      <c r="D105" t="inlineStr">
        <is>
          <t>Human Resources Specialists</t>
        </is>
      </c>
      <c r="E105" s="29" t="n">
        <v>0.5</v>
      </c>
      <c r="F105" s="29" t="n">
        <v>0</v>
      </c>
      <c r="G105" s="30">
        <f>E105+F105</f>
        <v/>
      </c>
      <c r="H105" s="30">
        <f>(E105+G105)/2</f>
        <v/>
      </c>
      <c r="I105" s="31" t="n">
        <v>137878</v>
      </c>
      <c r="J105" s="32" t="n">
        <v>0.22</v>
      </c>
      <c r="K105" s="33">
        <f>H105*I105/4</f>
        <v/>
      </c>
      <c r="L105" s="33">
        <f>K105*J105</f>
        <v/>
      </c>
      <c r="M105" s="33">
        <f>K105+L105</f>
        <v/>
      </c>
      <c r="N105" t="inlineStr">
        <is>
          <t>oews_title_catalog:oews_median</t>
        </is>
      </c>
    </row>
    <row r="106">
      <c r="A106" t="n">
        <v>5</v>
      </c>
      <c r="B106" t="inlineStr">
        <is>
          <t>supporting_staff</t>
        </is>
      </c>
      <c r="C106" t="inlineStr">
        <is>
          <t>Software Developers</t>
        </is>
      </c>
      <c r="D106" t="inlineStr">
        <is>
          <t>Software Developers</t>
        </is>
      </c>
      <c r="E106" s="29" t="n">
        <v>3</v>
      </c>
      <c r="F106" s="29" t="n">
        <v>0</v>
      </c>
      <c r="G106" s="30">
        <f>E106+F106</f>
        <v/>
      </c>
      <c r="H106" s="30">
        <f>(E106+G106)/2</f>
        <v/>
      </c>
      <c r="I106" s="31" t="n">
        <v>193112</v>
      </c>
      <c r="J106" s="32" t="n">
        <v>0.22</v>
      </c>
      <c r="K106" s="33">
        <f>H106*I106/4</f>
        <v/>
      </c>
      <c r="L106" s="33">
        <f>K106*J106</f>
        <v/>
      </c>
      <c r="M106" s="33">
        <f>K106+L106</f>
        <v/>
      </c>
      <c r="N106" t="inlineStr">
        <is>
          <t>oews_title_catalog:oews_median</t>
        </is>
      </c>
    </row>
    <row r="107">
      <c r="A107" t="n">
        <v>6</v>
      </c>
      <c r="B107" t="inlineStr">
        <is>
          <t>supporting_staff</t>
        </is>
      </c>
      <c r="C107" t="inlineStr">
        <is>
          <t>Accountants and Auditors</t>
        </is>
      </c>
      <c r="D107" t="inlineStr">
        <is>
          <t>Accountants and Auditors</t>
        </is>
      </c>
      <c r="E107" s="29" t="n">
        <v>0.5</v>
      </c>
      <c r="F107" s="29" t="n">
        <v>0</v>
      </c>
      <c r="G107" s="30">
        <f>E107+F107</f>
        <v/>
      </c>
      <c r="H107" s="30">
        <f>(E107+G107)/2</f>
        <v/>
      </c>
      <c r="I107" s="31" t="n">
        <v>132085</v>
      </c>
      <c r="J107" s="32" t="n">
        <v>0.22</v>
      </c>
      <c r="K107" s="33">
        <f>H107*I107/4</f>
        <v/>
      </c>
      <c r="L107" s="33">
        <f>K107*J107</f>
        <v/>
      </c>
      <c r="M107" s="33">
        <f>K107+L107</f>
        <v/>
      </c>
      <c r="N107" t="inlineStr">
        <is>
          <t>oews_title_catalog:oews_median</t>
        </is>
      </c>
    </row>
    <row r="108">
      <c r="A108" t="n">
        <v>6</v>
      </c>
      <c r="B108" t="inlineStr">
        <is>
          <t>supporting_staff</t>
        </is>
      </c>
      <c r="C108" t="inlineStr">
        <is>
          <t>Customer Service Representatives</t>
        </is>
      </c>
      <c r="D108" t="inlineStr">
        <is>
          <t>Customer Service Representatives</t>
        </is>
      </c>
      <c r="E108" s="29" t="n">
        <v>1</v>
      </c>
      <c r="F108" s="29" t="n">
        <v>0</v>
      </c>
      <c r="G108" s="30">
        <f>E108+F108</f>
        <v/>
      </c>
      <c r="H108" s="30">
        <f>(E108+G108)/2</f>
        <v/>
      </c>
      <c r="I108" s="31" t="n">
        <v>73091</v>
      </c>
      <c r="J108" s="32" t="n">
        <v>0.22</v>
      </c>
      <c r="K108" s="33">
        <f>H108*I108/4</f>
        <v/>
      </c>
      <c r="L108" s="33">
        <f>K108*J108</f>
        <v/>
      </c>
      <c r="M108" s="33">
        <f>K108+L108</f>
        <v/>
      </c>
      <c r="N108" t="inlineStr">
        <is>
          <t>oews_title_catalog:oews_median</t>
        </is>
      </c>
    </row>
    <row r="109">
      <c r="A109" t="n">
        <v>6</v>
      </c>
      <c r="B109" t="inlineStr">
        <is>
          <t>supporting_staff</t>
        </is>
      </c>
      <c r="C109" t="inlineStr">
        <is>
          <t>Human Resources Specialists</t>
        </is>
      </c>
      <c r="D109" t="inlineStr">
        <is>
          <t>Human Resources Specialists</t>
        </is>
      </c>
      <c r="E109" s="29" t="n">
        <v>0.5</v>
      </c>
      <c r="F109" s="29" t="n">
        <v>0</v>
      </c>
      <c r="G109" s="30">
        <f>E109+F109</f>
        <v/>
      </c>
      <c r="H109" s="30">
        <f>(E109+G109)/2</f>
        <v/>
      </c>
      <c r="I109" s="31" t="n">
        <v>137878</v>
      </c>
      <c r="J109" s="32" t="n">
        <v>0.22</v>
      </c>
      <c r="K109" s="33">
        <f>H109*I109/4</f>
        <v/>
      </c>
      <c r="L109" s="33">
        <f>K109*J109</f>
        <v/>
      </c>
      <c r="M109" s="33">
        <f>K109+L109</f>
        <v/>
      </c>
      <c r="N109" t="inlineStr">
        <is>
          <t>oews_title_catalog:oews_median</t>
        </is>
      </c>
    </row>
    <row r="110">
      <c r="A110" t="n">
        <v>6</v>
      </c>
      <c r="B110" t="inlineStr">
        <is>
          <t>supporting_staff</t>
        </is>
      </c>
      <c r="C110" t="inlineStr">
        <is>
          <t>Software Developers</t>
        </is>
      </c>
      <c r="D110" t="inlineStr">
        <is>
          <t>Software Developers</t>
        </is>
      </c>
      <c r="E110" s="29" t="n">
        <v>3</v>
      </c>
      <c r="F110" s="29" t="n">
        <v>0</v>
      </c>
      <c r="G110" s="30">
        <f>E110+F110</f>
        <v/>
      </c>
      <c r="H110" s="30">
        <f>(E110+G110)/2</f>
        <v/>
      </c>
      <c r="I110" s="31" t="n">
        <v>193112</v>
      </c>
      <c r="J110" s="32" t="n">
        <v>0.22</v>
      </c>
      <c r="K110" s="33">
        <f>H110*I110/4</f>
        <v/>
      </c>
      <c r="L110" s="33">
        <f>K110*J110</f>
        <v/>
      </c>
      <c r="M110" s="33">
        <f>K110+L110</f>
        <v/>
      </c>
      <c r="N110" t="inlineStr">
        <is>
          <t>oews_title_catalog:oews_median</t>
        </is>
      </c>
    </row>
    <row r="111">
      <c r="A111" t="n">
        <v>7</v>
      </c>
      <c r="B111" t="inlineStr">
        <is>
          <t>supporting_staff</t>
        </is>
      </c>
      <c r="C111" t="inlineStr">
        <is>
          <t>Accountants and Auditors</t>
        </is>
      </c>
      <c r="D111" t="inlineStr">
        <is>
          <t>Accountants and Auditors</t>
        </is>
      </c>
      <c r="E111" s="29" t="n">
        <v>0.5</v>
      </c>
      <c r="F111" s="29" t="n">
        <v>0</v>
      </c>
      <c r="G111" s="30">
        <f>E111+F111</f>
        <v/>
      </c>
      <c r="H111" s="30">
        <f>(E111+G111)/2</f>
        <v/>
      </c>
      <c r="I111" s="31" t="n">
        <v>132085</v>
      </c>
      <c r="J111" s="32" t="n">
        <v>0.22</v>
      </c>
      <c r="K111" s="33">
        <f>H111*I111/4</f>
        <v/>
      </c>
      <c r="L111" s="33">
        <f>K111*J111</f>
        <v/>
      </c>
      <c r="M111" s="33">
        <f>K111+L111</f>
        <v/>
      </c>
      <c r="N111" t="inlineStr">
        <is>
          <t>oews_title_catalog:oews_median</t>
        </is>
      </c>
    </row>
    <row r="112">
      <c r="A112" t="n">
        <v>7</v>
      </c>
      <c r="B112" t="inlineStr">
        <is>
          <t>supporting_staff</t>
        </is>
      </c>
      <c r="C112" t="inlineStr">
        <is>
          <t>Customer Service Representatives</t>
        </is>
      </c>
      <c r="D112" t="inlineStr">
        <is>
          <t>Customer Service Representatives</t>
        </is>
      </c>
      <c r="E112" s="29" t="n">
        <v>1</v>
      </c>
      <c r="F112" s="29" t="n">
        <v>0</v>
      </c>
      <c r="G112" s="30">
        <f>E112+F112</f>
        <v/>
      </c>
      <c r="H112" s="30">
        <f>(E112+G112)/2</f>
        <v/>
      </c>
      <c r="I112" s="31" t="n">
        <v>73091</v>
      </c>
      <c r="J112" s="32" t="n">
        <v>0.22</v>
      </c>
      <c r="K112" s="33">
        <f>H112*I112/4</f>
        <v/>
      </c>
      <c r="L112" s="33">
        <f>K112*J112</f>
        <v/>
      </c>
      <c r="M112" s="33">
        <f>K112+L112</f>
        <v/>
      </c>
      <c r="N112" t="inlineStr">
        <is>
          <t>oews_title_catalog:oews_median</t>
        </is>
      </c>
    </row>
    <row r="113">
      <c r="A113" t="n">
        <v>7</v>
      </c>
      <c r="B113" t="inlineStr">
        <is>
          <t>supporting_staff</t>
        </is>
      </c>
      <c r="C113" t="inlineStr">
        <is>
          <t>Human Resources Specialists</t>
        </is>
      </c>
      <c r="D113" t="inlineStr">
        <is>
          <t>Human Resources Specialists</t>
        </is>
      </c>
      <c r="E113" s="29" t="n">
        <v>0.5</v>
      </c>
      <c r="F113" s="29" t="n">
        <v>0</v>
      </c>
      <c r="G113" s="30">
        <f>E113+F113</f>
        <v/>
      </c>
      <c r="H113" s="30">
        <f>(E113+G113)/2</f>
        <v/>
      </c>
      <c r="I113" s="31" t="n">
        <v>137878</v>
      </c>
      <c r="J113" s="32" t="n">
        <v>0.22</v>
      </c>
      <c r="K113" s="33">
        <f>H113*I113/4</f>
        <v/>
      </c>
      <c r="L113" s="33">
        <f>K113*J113</f>
        <v/>
      </c>
      <c r="M113" s="33">
        <f>K113+L113</f>
        <v/>
      </c>
      <c r="N113" t="inlineStr">
        <is>
          <t>oews_title_catalog:oews_median</t>
        </is>
      </c>
    </row>
    <row r="114">
      <c r="A114" t="n">
        <v>7</v>
      </c>
      <c r="B114" t="inlineStr">
        <is>
          <t>supporting_staff</t>
        </is>
      </c>
      <c r="C114" t="inlineStr">
        <is>
          <t>Software Developers</t>
        </is>
      </c>
      <c r="D114" t="inlineStr">
        <is>
          <t>Software Developers</t>
        </is>
      </c>
      <c r="E114" s="29" t="n">
        <v>3</v>
      </c>
      <c r="F114" s="29" t="n">
        <v>0</v>
      </c>
      <c r="G114" s="30">
        <f>E114+F114</f>
        <v/>
      </c>
      <c r="H114" s="30">
        <f>(E114+G114)/2</f>
        <v/>
      </c>
      <c r="I114" s="31" t="n">
        <v>193112</v>
      </c>
      <c r="J114" s="32" t="n">
        <v>0.22</v>
      </c>
      <c r="K114" s="33">
        <f>H114*I114/4</f>
        <v/>
      </c>
      <c r="L114" s="33">
        <f>K114*J114</f>
        <v/>
      </c>
      <c r="M114" s="33">
        <f>K114+L114</f>
        <v/>
      </c>
      <c r="N114" t="inlineStr">
        <is>
          <t>oews_title_catalog:oews_median</t>
        </is>
      </c>
    </row>
    <row r="115">
      <c r="A115" t="n">
        <v>8</v>
      </c>
      <c r="B115" t="inlineStr">
        <is>
          <t>supporting_staff</t>
        </is>
      </c>
      <c r="C115" t="inlineStr">
        <is>
          <t>Accountants and Auditors</t>
        </is>
      </c>
      <c r="D115" t="inlineStr">
        <is>
          <t>Accountants and Auditors</t>
        </is>
      </c>
      <c r="E115" s="29" t="n">
        <v>0.5</v>
      </c>
      <c r="F115" s="29" t="n">
        <v>0</v>
      </c>
      <c r="G115" s="30">
        <f>E115+F115</f>
        <v/>
      </c>
      <c r="H115" s="30">
        <f>(E115+G115)/2</f>
        <v/>
      </c>
      <c r="I115" s="31" t="n">
        <v>132085</v>
      </c>
      <c r="J115" s="32" t="n">
        <v>0.22</v>
      </c>
      <c r="K115" s="33">
        <f>H115*I115/4</f>
        <v/>
      </c>
      <c r="L115" s="33">
        <f>K115*J115</f>
        <v/>
      </c>
      <c r="M115" s="33">
        <f>K115+L115</f>
        <v/>
      </c>
      <c r="N115" t="inlineStr">
        <is>
          <t>oews_title_catalog:oews_median</t>
        </is>
      </c>
    </row>
    <row r="116">
      <c r="A116" t="n">
        <v>8</v>
      </c>
      <c r="B116" t="inlineStr">
        <is>
          <t>supporting_staff</t>
        </is>
      </c>
      <c r="C116" t="inlineStr">
        <is>
          <t>Customer Service Representatives</t>
        </is>
      </c>
      <c r="D116" t="inlineStr">
        <is>
          <t>Customer Service Representatives</t>
        </is>
      </c>
      <c r="E116" s="29" t="n">
        <v>1</v>
      </c>
      <c r="F116" s="29" t="n">
        <v>0</v>
      </c>
      <c r="G116" s="30">
        <f>E116+F116</f>
        <v/>
      </c>
      <c r="H116" s="30">
        <f>(E116+G116)/2</f>
        <v/>
      </c>
      <c r="I116" s="31" t="n">
        <v>73091</v>
      </c>
      <c r="J116" s="32" t="n">
        <v>0.22</v>
      </c>
      <c r="K116" s="33">
        <f>H116*I116/4</f>
        <v/>
      </c>
      <c r="L116" s="33">
        <f>K116*J116</f>
        <v/>
      </c>
      <c r="M116" s="33">
        <f>K116+L116</f>
        <v/>
      </c>
      <c r="N116" t="inlineStr">
        <is>
          <t>oews_title_catalog:oews_median</t>
        </is>
      </c>
    </row>
    <row r="117">
      <c r="A117" t="n">
        <v>8</v>
      </c>
      <c r="B117" t="inlineStr">
        <is>
          <t>supporting_staff</t>
        </is>
      </c>
      <c r="C117" t="inlineStr">
        <is>
          <t>Human Resources Specialists</t>
        </is>
      </c>
      <c r="D117" t="inlineStr">
        <is>
          <t>Human Resources Specialists</t>
        </is>
      </c>
      <c r="E117" s="29" t="n">
        <v>0.5</v>
      </c>
      <c r="F117" s="29" t="n">
        <v>0</v>
      </c>
      <c r="G117" s="30">
        <f>E117+F117</f>
        <v/>
      </c>
      <c r="H117" s="30">
        <f>(E117+G117)/2</f>
        <v/>
      </c>
      <c r="I117" s="31" t="n">
        <v>137878</v>
      </c>
      <c r="J117" s="32" t="n">
        <v>0.22</v>
      </c>
      <c r="K117" s="33">
        <f>H117*I117/4</f>
        <v/>
      </c>
      <c r="L117" s="33">
        <f>K117*J117</f>
        <v/>
      </c>
      <c r="M117" s="33">
        <f>K117+L117</f>
        <v/>
      </c>
      <c r="N117" t="inlineStr">
        <is>
          <t>oews_title_catalog:oews_median</t>
        </is>
      </c>
    </row>
    <row r="118">
      <c r="A118" t="n">
        <v>8</v>
      </c>
      <c r="B118" t="inlineStr">
        <is>
          <t>supporting_staff</t>
        </is>
      </c>
      <c r="C118" t="inlineStr">
        <is>
          <t>Software Developers</t>
        </is>
      </c>
      <c r="D118" t="inlineStr">
        <is>
          <t>Software Developers</t>
        </is>
      </c>
      <c r="E118" s="29" t="n">
        <v>3</v>
      </c>
      <c r="F118" s="29" t="n">
        <v>0</v>
      </c>
      <c r="G118" s="30">
        <f>E118+F118</f>
        <v/>
      </c>
      <c r="H118" s="30">
        <f>(E118+G118)/2</f>
        <v/>
      </c>
      <c r="I118" s="31" t="n">
        <v>193112</v>
      </c>
      <c r="J118" s="32" t="n">
        <v>0.22</v>
      </c>
      <c r="K118" s="33">
        <f>H118*I118/4</f>
        <v/>
      </c>
      <c r="L118" s="33">
        <f>K118*J118</f>
        <v/>
      </c>
      <c r="M118" s="33">
        <f>K118+L118</f>
        <v/>
      </c>
      <c r="N118" t="inlineStr">
        <is>
          <t>oews_title_catalog:oews_median</t>
        </is>
      </c>
    </row>
    <row r="119">
      <c r="A119" t="n">
        <v>9</v>
      </c>
      <c r="B119" t="inlineStr">
        <is>
          <t>supporting_staff</t>
        </is>
      </c>
      <c r="C119" t="inlineStr">
        <is>
          <t>Accountants and Auditors</t>
        </is>
      </c>
      <c r="D119" t="inlineStr">
        <is>
          <t>Accountants and Auditors</t>
        </is>
      </c>
      <c r="E119" s="29" t="n">
        <v>0.5</v>
      </c>
      <c r="F119" s="29" t="n">
        <v>0</v>
      </c>
      <c r="G119" s="30">
        <f>E119+F119</f>
        <v/>
      </c>
      <c r="H119" s="30">
        <f>(E119+G119)/2</f>
        <v/>
      </c>
      <c r="I119" s="31" t="n">
        <v>136047</v>
      </c>
      <c r="J119" s="32" t="n">
        <v>0.22</v>
      </c>
      <c r="K119" s="33">
        <f>H119*I119/4</f>
        <v/>
      </c>
      <c r="L119" s="33">
        <f>K119*J119</f>
        <v/>
      </c>
      <c r="M119" s="33">
        <f>K119+L119</f>
        <v/>
      </c>
      <c r="N119" t="inlineStr">
        <is>
          <t>oews_title_catalog:oews_median</t>
        </is>
      </c>
    </row>
    <row r="120">
      <c r="A120" t="n">
        <v>9</v>
      </c>
      <c r="B120" t="inlineStr">
        <is>
          <t>supporting_staff</t>
        </is>
      </c>
      <c r="C120" t="inlineStr">
        <is>
          <t>Customer Service Representatives</t>
        </is>
      </c>
      <c r="D120" t="inlineStr">
        <is>
          <t>Customer Service Representatives</t>
        </is>
      </c>
      <c r="E120" s="29" t="n">
        <v>1</v>
      </c>
      <c r="F120" s="29" t="n">
        <v>0</v>
      </c>
      <c r="G120" s="30">
        <f>E120+F120</f>
        <v/>
      </c>
      <c r="H120" s="30">
        <f>(E120+G120)/2</f>
        <v/>
      </c>
      <c r="I120" s="31" t="n">
        <v>75284</v>
      </c>
      <c r="J120" s="32" t="n">
        <v>0.22</v>
      </c>
      <c r="K120" s="33">
        <f>H120*I120/4</f>
        <v/>
      </c>
      <c r="L120" s="33">
        <f>K120*J120</f>
        <v/>
      </c>
      <c r="M120" s="33">
        <f>K120+L120</f>
        <v/>
      </c>
      <c r="N120" t="inlineStr">
        <is>
          <t>oews_title_catalog:oews_median</t>
        </is>
      </c>
    </row>
    <row r="121">
      <c r="A121" t="n">
        <v>9</v>
      </c>
      <c r="B121" t="inlineStr">
        <is>
          <t>supporting_staff</t>
        </is>
      </c>
      <c r="C121" t="inlineStr">
        <is>
          <t>Human Resources Specialists</t>
        </is>
      </c>
      <c r="D121" t="inlineStr">
        <is>
          <t>Human Resources Specialists</t>
        </is>
      </c>
      <c r="E121" s="29" t="n">
        <v>0.5</v>
      </c>
      <c r="F121" s="29" t="n">
        <v>0</v>
      </c>
      <c r="G121" s="30">
        <f>E121+F121</f>
        <v/>
      </c>
      <c r="H121" s="30">
        <f>(E121+G121)/2</f>
        <v/>
      </c>
      <c r="I121" s="31" t="n">
        <v>142015</v>
      </c>
      <c r="J121" s="32" t="n">
        <v>0.22</v>
      </c>
      <c r="K121" s="33">
        <f>H121*I121/4</f>
        <v/>
      </c>
      <c r="L121" s="33">
        <f>K121*J121</f>
        <v/>
      </c>
      <c r="M121" s="33">
        <f>K121+L121</f>
        <v/>
      </c>
      <c r="N121" t="inlineStr">
        <is>
          <t>oews_title_catalog:oews_median</t>
        </is>
      </c>
    </row>
    <row r="122">
      <c r="A122" t="n">
        <v>9</v>
      </c>
      <c r="B122" t="inlineStr">
        <is>
          <t>supporting_staff</t>
        </is>
      </c>
      <c r="C122" t="inlineStr">
        <is>
          <t>Software Developers</t>
        </is>
      </c>
      <c r="D122" t="inlineStr">
        <is>
          <t>Software Developers</t>
        </is>
      </c>
      <c r="E122" s="29" t="n">
        <v>3</v>
      </c>
      <c r="F122" s="29" t="n">
        <v>0</v>
      </c>
      <c r="G122" s="30">
        <f>E122+F122</f>
        <v/>
      </c>
      <c r="H122" s="30">
        <f>(E122+G122)/2</f>
        <v/>
      </c>
      <c r="I122" s="31" t="n">
        <v>198905</v>
      </c>
      <c r="J122" s="32" t="n">
        <v>0.22</v>
      </c>
      <c r="K122" s="33">
        <f>H122*I122/4</f>
        <v/>
      </c>
      <c r="L122" s="33">
        <f>K122*J122</f>
        <v/>
      </c>
      <c r="M122" s="33">
        <f>K122+L122</f>
        <v/>
      </c>
      <c r="N122" t="inlineStr">
        <is>
          <t>oews_title_catalog:oews_median</t>
        </is>
      </c>
    </row>
    <row r="123">
      <c r="A123" t="n">
        <v>10</v>
      </c>
      <c r="B123" t="inlineStr">
        <is>
          <t>supporting_staff</t>
        </is>
      </c>
      <c r="C123" t="inlineStr">
        <is>
          <t>Accountants and Auditors</t>
        </is>
      </c>
      <c r="D123" t="inlineStr">
        <is>
          <t>Accountants and Auditors</t>
        </is>
      </c>
      <c r="E123" s="29" t="n">
        <v>0.5</v>
      </c>
      <c r="F123" s="29" t="n">
        <v>0</v>
      </c>
      <c r="G123" s="30">
        <f>E123+F123</f>
        <v/>
      </c>
      <c r="H123" s="30">
        <f>(E123+G123)/2</f>
        <v/>
      </c>
      <c r="I123" s="31" t="n">
        <v>136047</v>
      </c>
      <c r="J123" s="32" t="n">
        <v>0.22</v>
      </c>
      <c r="K123" s="33">
        <f>H123*I123/4</f>
        <v/>
      </c>
      <c r="L123" s="33">
        <f>K123*J123</f>
        <v/>
      </c>
      <c r="M123" s="33">
        <f>K123+L123</f>
        <v/>
      </c>
      <c r="N123" t="inlineStr">
        <is>
          <t>oews_title_catalog:oews_median</t>
        </is>
      </c>
    </row>
    <row r="124">
      <c r="A124" t="n">
        <v>10</v>
      </c>
      <c r="B124" t="inlineStr">
        <is>
          <t>supporting_staff</t>
        </is>
      </c>
      <c r="C124" t="inlineStr">
        <is>
          <t>Customer Service Representatives</t>
        </is>
      </c>
      <c r="D124" t="inlineStr">
        <is>
          <t>Customer Service Representatives</t>
        </is>
      </c>
      <c r="E124" s="29" t="n">
        <v>1</v>
      </c>
      <c r="F124" s="29" t="n">
        <v>0</v>
      </c>
      <c r="G124" s="30">
        <f>E124+F124</f>
        <v/>
      </c>
      <c r="H124" s="30">
        <f>(E124+G124)/2</f>
        <v/>
      </c>
      <c r="I124" s="31" t="n">
        <v>75284</v>
      </c>
      <c r="J124" s="32" t="n">
        <v>0.22</v>
      </c>
      <c r="K124" s="33">
        <f>H124*I124/4</f>
        <v/>
      </c>
      <c r="L124" s="33">
        <f>K124*J124</f>
        <v/>
      </c>
      <c r="M124" s="33">
        <f>K124+L124</f>
        <v/>
      </c>
      <c r="N124" t="inlineStr">
        <is>
          <t>oews_title_catalog:oews_median</t>
        </is>
      </c>
    </row>
    <row r="125">
      <c r="A125" t="n">
        <v>10</v>
      </c>
      <c r="B125" t="inlineStr">
        <is>
          <t>supporting_staff</t>
        </is>
      </c>
      <c r="C125" t="inlineStr">
        <is>
          <t>Human Resources Specialists</t>
        </is>
      </c>
      <c r="D125" t="inlineStr">
        <is>
          <t>Human Resources Specialists</t>
        </is>
      </c>
      <c r="E125" s="29" t="n">
        <v>0.5</v>
      </c>
      <c r="F125" s="29" t="n">
        <v>0</v>
      </c>
      <c r="G125" s="30">
        <f>E125+F125</f>
        <v/>
      </c>
      <c r="H125" s="30">
        <f>(E125+G125)/2</f>
        <v/>
      </c>
      <c r="I125" s="31" t="n">
        <v>142015</v>
      </c>
      <c r="J125" s="32" t="n">
        <v>0.22</v>
      </c>
      <c r="K125" s="33">
        <f>H125*I125/4</f>
        <v/>
      </c>
      <c r="L125" s="33">
        <f>K125*J125</f>
        <v/>
      </c>
      <c r="M125" s="33">
        <f>K125+L125</f>
        <v/>
      </c>
      <c r="N125" t="inlineStr">
        <is>
          <t>oews_title_catalog:oews_median</t>
        </is>
      </c>
    </row>
    <row r="126">
      <c r="A126" t="n">
        <v>10</v>
      </c>
      <c r="B126" t="inlineStr">
        <is>
          <t>supporting_staff</t>
        </is>
      </c>
      <c r="C126" t="inlineStr">
        <is>
          <t>Software Developers</t>
        </is>
      </c>
      <c r="D126" t="inlineStr">
        <is>
          <t>Software Developers</t>
        </is>
      </c>
      <c r="E126" s="29" t="n">
        <v>3</v>
      </c>
      <c r="F126" s="29" t="n">
        <v>0</v>
      </c>
      <c r="G126" s="30">
        <f>E126+F126</f>
        <v/>
      </c>
      <c r="H126" s="30">
        <f>(E126+G126)/2</f>
        <v/>
      </c>
      <c r="I126" s="31" t="n">
        <v>198905</v>
      </c>
      <c r="J126" s="32" t="n">
        <v>0.22</v>
      </c>
      <c r="K126" s="33">
        <f>H126*I126/4</f>
        <v/>
      </c>
      <c r="L126" s="33">
        <f>K126*J126</f>
        <v/>
      </c>
      <c r="M126" s="33">
        <f>K126+L126</f>
        <v/>
      </c>
      <c r="N126" t="inlineStr">
        <is>
          <t>oews_title_catalog:oews_median</t>
        </is>
      </c>
    </row>
    <row r="127">
      <c r="A127" t="n">
        <v>11</v>
      </c>
      <c r="B127" t="inlineStr">
        <is>
          <t>supporting_staff</t>
        </is>
      </c>
      <c r="C127" t="inlineStr">
        <is>
          <t>Accountants and Auditors</t>
        </is>
      </c>
      <c r="D127" t="inlineStr">
        <is>
          <t>Accountants and Auditors</t>
        </is>
      </c>
      <c r="E127" s="29" t="n">
        <v>0.5</v>
      </c>
      <c r="F127" s="29" t="n">
        <v>0</v>
      </c>
      <c r="G127" s="30">
        <f>E127+F127</f>
        <v/>
      </c>
      <c r="H127" s="30">
        <f>(E127+G127)/2</f>
        <v/>
      </c>
      <c r="I127" s="31" t="n">
        <v>136047</v>
      </c>
      <c r="J127" s="32" t="n">
        <v>0.22</v>
      </c>
      <c r="K127" s="33">
        <f>H127*I127/4</f>
        <v/>
      </c>
      <c r="L127" s="33">
        <f>K127*J127</f>
        <v/>
      </c>
      <c r="M127" s="33">
        <f>K127+L127</f>
        <v/>
      </c>
      <c r="N127" t="inlineStr">
        <is>
          <t>oews_title_catalog:oews_median</t>
        </is>
      </c>
    </row>
    <row r="128">
      <c r="A128" t="n">
        <v>11</v>
      </c>
      <c r="B128" t="inlineStr">
        <is>
          <t>supporting_staff</t>
        </is>
      </c>
      <c r="C128" t="inlineStr">
        <is>
          <t>Customer Service Representatives</t>
        </is>
      </c>
      <c r="D128" t="inlineStr">
        <is>
          <t>Customer Service Representatives</t>
        </is>
      </c>
      <c r="E128" s="29" t="n">
        <v>1</v>
      </c>
      <c r="F128" s="29" t="n">
        <v>0</v>
      </c>
      <c r="G128" s="30">
        <f>E128+F128</f>
        <v/>
      </c>
      <c r="H128" s="30">
        <f>(E128+G128)/2</f>
        <v/>
      </c>
      <c r="I128" s="31" t="n">
        <v>75284</v>
      </c>
      <c r="J128" s="32" t="n">
        <v>0.22</v>
      </c>
      <c r="K128" s="33">
        <f>H128*I128/4</f>
        <v/>
      </c>
      <c r="L128" s="33">
        <f>K128*J128</f>
        <v/>
      </c>
      <c r="M128" s="33">
        <f>K128+L128</f>
        <v/>
      </c>
      <c r="N128" t="inlineStr">
        <is>
          <t>oews_title_catalog:oews_median</t>
        </is>
      </c>
    </row>
    <row r="129">
      <c r="A129" t="n">
        <v>11</v>
      </c>
      <c r="B129" t="inlineStr">
        <is>
          <t>supporting_staff</t>
        </is>
      </c>
      <c r="C129" t="inlineStr">
        <is>
          <t>Human Resources Specialists</t>
        </is>
      </c>
      <c r="D129" t="inlineStr">
        <is>
          <t>Human Resources Specialists</t>
        </is>
      </c>
      <c r="E129" s="29" t="n">
        <v>0.5</v>
      </c>
      <c r="F129" s="29" t="n">
        <v>0</v>
      </c>
      <c r="G129" s="30">
        <f>E129+F129</f>
        <v/>
      </c>
      <c r="H129" s="30">
        <f>(E129+G129)/2</f>
        <v/>
      </c>
      <c r="I129" s="31" t="n">
        <v>142015</v>
      </c>
      <c r="J129" s="32" t="n">
        <v>0.22</v>
      </c>
      <c r="K129" s="33">
        <f>H129*I129/4</f>
        <v/>
      </c>
      <c r="L129" s="33">
        <f>K129*J129</f>
        <v/>
      </c>
      <c r="M129" s="33">
        <f>K129+L129</f>
        <v/>
      </c>
      <c r="N129" t="inlineStr">
        <is>
          <t>oews_title_catalog:oews_median</t>
        </is>
      </c>
    </row>
    <row r="130">
      <c r="A130" t="n">
        <v>11</v>
      </c>
      <c r="B130" t="inlineStr">
        <is>
          <t>supporting_staff</t>
        </is>
      </c>
      <c r="C130" t="inlineStr">
        <is>
          <t>Software Developers</t>
        </is>
      </c>
      <c r="D130" t="inlineStr">
        <is>
          <t>Software Developers</t>
        </is>
      </c>
      <c r="E130" s="29" t="n">
        <v>3</v>
      </c>
      <c r="F130" s="29" t="n">
        <v>0</v>
      </c>
      <c r="G130" s="30">
        <f>E130+F130</f>
        <v/>
      </c>
      <c r="H130" s="30">
        <f>(E130+G130)/2</f>
        <v/>
      </c>
      <c r="I130" s="31" t="n">
        <v>198905</v>
      </c>
      <c r="J130" s="32" t="n">
        <v>0.22</v>
      </c>
      <c r="K130" s="33">
        <f>H130*I130/4</f>
        <v/>
      </c>
      <c r="L130" s="33">
        <f>K130*J130</f>
        <v/>
      </c>
      <c r="M130" s="33">
        <f>K130+L130</f>
        <v/>
      </c>
      <c r="N130" t="inlineStr">
        <is>
          <t>oews_title_catalog:oews_median</t>
        </is>
      </c>
    </row>
    <row r="131">
      <c r="A131" t="n">
        <v>12</v>
      </c>
      <c r="B131" t="inlineStr">
        <is>
          <t>supporting_staff</t>
        </is>
      </c>
      <c r="C131" t="inlineStr">
        <is>
          <t>Accountants and Auditors</t>
        </is>
      </c>
      <c r="D131" t="inlineStr">
        <is>
          <t>Accountants and Auditors</t>
        </is>
      </c>
      <c r="E131" s="29" t="n">
        <v>0.5</v>
      </c>
      <c r="F131" s="29" t="n">
        <v>0</v>
      </c>
      <c r="G131" s="30">
        <f>E131+F131</f>
        <v/>
      </c>
      <c r="H131" s="30">
        <f>(E131+G131)/2</f>
        <v/>
      </c>
      <c r="I131" s="31" t="n">
        <v>136047</v>
      </c>
      <c r="J131" s="32" t="n">
        <v>0.22</v>
      </c>
      <c r="K131" s="33">
        <f>H131*I131/4</f>
        <v/>
      </c>
      <c r="L131" s="33">
        <f>K131*J131</f>
        <v/>
      </c>
      <c r="M131" s="33">
        <f>K131+L131</f>
        <v/>
      </c>
      <c r="N131" t="inlineStr">
        <is>
          <t>oews_title_catalog:oews_median</t>
        </is>
      </c>
    </row>
    <row r="132">
      <c r="A132" t="n">
        <v>12</v>
      </c>
      <c r="B132" t="inlineStr">
        <is>
          <t>supporting_staff</t>
        </is>
      </c>
      <c r="C132" t="inlineStr">
        <is>
          <t>Customer Service Representatives</t>
        </is>
      </c>
      <c r="D132" t="inlineStr">
        <is>
          <t>Customer Service Representatives</t>
        </is>
      </c>
      <c r="E132" s="29" t="n">
        <v>1</v>
      </c>
      <c r="F132" s="29" t="n">
        <v>0</v>
      </c>
      <c r="G132" s="30">
        <f>E132+F132</f>
        <v/>
      </c>
      <c r="H132" s="30">
        <f>(E132+G132)/2</f>
        <v/>
      </c>
      <c r="I132" s="31" t="n">
        <v>75284</v>
      </c>
      <c r="J132" s="32" t="n">
        <v>0.22</v>
      </c>
      <c r="K132" s="33">
        <f>H132*I132/4</f>
        <v/>
      </c>
      <c r="L132" s="33">
        <f>K132*J132</f>
        <v/>
      </c>
      <c r="M132" s="33">
        <f>K132+L132</f>
        <v/>
      </c>
      <c r="N132" t="inlineStr">
        <is>
          <t>oews_title_catalog:oews_median</t>
        </is>
      </c>
    </row>
    <row r="133">
      <c r="A133" t="n">
        <v>12</v>
      </c>
      <c r="B133" t="inlineStr">
        <is>
          <t>supporting_staff</t>
        </is>
      </c>
      <c r="C133" t="inlineStr">
        <is>
          <t>Human Resources Specialists</t>
        </is>
      </c>
      <c r="D133" t="inlineStr">
        <is>
          <t>Human Resources Specialists</t>
        </is>
      </c>
      <c r="E133" s="29" t="n">
        <v>0.5</v>
      </c>
      <c r="F133" s="29" t="n">
        <v>0</v>
      </c>
      <c r="G133" s="30">
        <f>E133+F133</f>
        <v/>
      </c>
      <c r="H133" s="30">
        <f>(E133+G133)/2</f>
        <v/>
      </c>
      <c r="I133" s="31" t="n">
        <v>142015</v>
      </c>
      <c r="J133" s="32" t="n">
        <v>0.22</v>
      </c>
      <c r="K133" s="33">
        <f>H133*I133/4</f>
        <v/>
      </c>
      <c r="L133" s="33">
        <f>K133*J133</f>
        <v/>
      </c>
      <c r="M133" s="33">
        <f>K133+L133</f>
        <v/>
      </c>
      <c r="N133" t="inlineStr">
        <is>
          <t>oews_title_catalog:oews_median</t>
        </is>
      </c>
    </row>
    <row r="134">
      <c r="A134" t="n">
        <v>12</v>
      </c>
      <c r="B134" t="inlineStr">
        <is>
          <t>supporting_staff</t>
        </is>
      </c>
      <c r="C134" t="inlineStr">
        <is>
          <t>Software Developers</t>
        </is>
      </c>
      <c r="D134" t="inlineStr">
        <is>
          <t>Software Developers</t>
        </is>
      </c>
      <c r="E134" s="29" t="n">
        <v>3</v>
      </c>
      <c r="F134" s="29" t="n">
        <v>0</v>
      </c>
      <c r="G134" s="30">
        <f>E134+F134</f>
        <v/>
      </c>
      <c r="H134" s="30">
        <f>(E134+G134)/2</f>
        <v/>
      </c>
      <c r="I134" s="31" t="n">
        <v>198905</v>
      </c>
      <c r="J134" s="32" t="n">
        <v>0.22</v>
      </c>
      <c r="K134" s="33">
        <f>H134*I134/4</f>
        <v/>
      </c>
      <c r="L134" s="33">
        <f>K134*J134</f>
        <v/>
      </c>
      <c r="M134" s="33">
        <f>K134+L134</f>
        <v/>
      </c>
      <c r="N134" t="inlineStr">
        <is>
          <t>oews_title_catalog:oews_median</t>
        </is>
      </c>
    </row>
    <row r="135">
      <c r="A135" t="n">
        <v>13</v>
      </c>
      <c r="B135" t="inlineStr">
        <is>
          <t>supporting_staff</t>
        </is>
      </c>
      <c r="C135" t="inlineStr">
        <is>
          <t>Accountants and Auditors</t>
        </is>
      </c>
      <c r="D135" t="inlineStr">
        <is>
          <t>Accountants and Auditors</t>
        </is>
      </c>
      <c r="E135" s="29" t="n">
        <v>0.5</v>
      </c>
      <c r="F135" s="29" t="n">
        <v>0</v>
      </c>
      <c r="G135" s="30">
        <f>E135+F135</f>
        <v/>
      </c>
      <c r="H135" s="30">
        <f>(E135+G135)/2</f>
        <v/>
      </c>
      <c r="I135" s="31" t="n">
        <v>140129</v>
      </c>
      <c r="J135" s="32" t="n">
        <v>0.22</v>
      </c>
      <c r="K135" s="33">
        <f>H135*I135/4</f>
        <v/>
      </c>
      <c r="L135" s="33">
        <f>K135*J135</f>
        <v/>
      </c>
      <c r="M135" s="33">
        <f>K135+L135</f>
        <v/>
      </c>
      <c r="N135" t="inlineStr">
        <is>
          <t>oews_title_catalog:oews_median</t>
        </is>
      </c>
    </row>
    <row r="136">
      <c r="A136" t="n">
        <v>13</v>
      </c>
      <c r="B136" t="inlineStr">
        <is>
          <t>supporting_staff</t>
        </is>
      </c>
      <c r="C136" t="inlineStr">
        <is>
          <t>Customer Service Representatives</t>
        </is>
      </c>
      <c r="D136" t="inlineStr">
        <is>
          <t>Customer Service Representatives</t>
        </is>
      </c>
      <c r="E136" s="29" t="n">
        <v>1</v>
      </c>
      <c r="F136" s="29" t="n">
        <v>0</v>
      </c>
      <c r="G136" s="30">
        <f>E136+F136</f>
        <v/>
      </c>
      <c r="H136" s="30">
        <f>(E136+G136)/2</f>
        <v/>
      </c>
      <c r="I136" s="31" t="n">
        <v>77543</v>
      </c>
      <c r="J136" s="32" t="n">
        <v>0.22</v>
      </c>
      <c r="K136" s="33">
        <f>H136*I136/4</f>
        <v/>
      </c>
      <c r="L136" s="33">
        <f>K136*J136</f>
        <v/>
      </c>
      <c r="M136" s="33">
        <f>K136+L136</f>
        <v/>
      </c>
      <c r="N136" t="inlineStr">
        <is>
          <t>oews_title_catalog:oews_median</t>
        </is>
      </c>
    </row>
    <row r="137">
      <c r="A137" t="n">
        <v>13</v>
      </c>
      <c r="B137" t="inlineStr">
        <is>
          <t>supporting_staff</t>
        </is>
      </c>
      <c r="C137" t="inlineStr">
        <is>
          <t>Human Resources Specialists</t>
        </is>
      </c>
      <c r="D137" t="inlineStr">
        <is>
          <t>Human Resources Specialists</t>
        </is>
      </c>
      <c r="E137" s="29" t="n">
        <v>0.5</v>
      </c>
      <c r="F137" s="29" t="n">
        <v>0</v>
      </c>
      <c r="G137" s="30">
        <f>E137+F137</f>
        <v/>
      </c>
      <c r="H137" s="30">
        <f>(E137+G137)/2</f>
        <v/>
      </c>
      <c r="I137" s="31" t="n">
        <v>146275</v>
      </c>
      <c r="J137" s="32" t="n">
        <v>0.22</v>
      </c>
      <c r="K137" s="33">
        <f>H137*I137/4</f>
        <v/>
      </c>
      <c r="L137" s="33">
        <f>K137*J137</f>
        <v/>
      </c>
      <c r="M137" s="33">
        <f>K137+L137</f>
        <v/>
      </c>
      <c r="N137" t="inlineStr">
        <is>
          <t>oews_title_catalog:oews_median</t>
        </is>
      </c>
    </row>
    <row r="138">
      <c r="A138" t="n">
        <v>13</v>
      </c>
      <c r="B138" t="inlineStr">
        <is>
          <t>supporting_staff</t>
        </is>
      </c>
      <c r="C138" t="inlineStr">
        <is>
          <t>Software Developers</t>
        </is>
      </c>
      <c r="D138" t="inlineStr">
        <is>
          <t>Software Developers</t>
        </is>
      </c>
      <c r="E138" s="29" t="n">
        <v>3</v>
      </c>
      <c r="F138" s="29" t="n">
        <v>0</v>
      </c>
      <c r="G138" s="30">
        <f>E138+F138</f>
        <v/>
      </c>
      <c r="H138" s="30">
        <f>(E138+G138)/2</f>
        <v/>
      </c>
      <c r="I138" s="31" t="n">
        <v>204873</v>
      </c>
      <c r="J138" s="32" t="n">
        <v>0.22</v>
      </c>
      <c r="K138" s="33">
        <f>H138*I138/4</f>
        <v/>
      </c>
      <c r="L138" s="33">
        <f>K138*J138</f>
        <v/>
      </c>
      <c r="M138" s="33">
        <f>K138+L138</f>
        <v/>
      </c>
      <c r="N138" t="inlineStr">
        <is>
          <t>oews_title_catalog:oews_median</t>
        </is>
      </c>
    </row>
    <row r="139">
      <c r="A139" t="n">
        <v>14</v>
      </c>
      <c r="B139" t="inlineStr">
        <is>
          <t>supporting_staff</t>
        </is>
      </c>
      <c r="C139" t="inlineStr">
        <is>
          <t>Accountants and Auditors</t>
        </is>
      </c>
      <c r="D139" t="inlineStr">
        <is>
          <t>Accountants and Auditors</t>
        </is>
      </c>
      <c r="E139" s="29" t="n">
        <v>0.5</v>
      </c>
      <c r="F139" s="29" t="n">
        <v>0</v>
      </c>
      <c r="G139" s="30">
        <f>E139+F139</f>
        <v/>
      </c>
      <c r="H139" s="30">
        <f>(E139+G139)/2</f>
        <v/>
      </c>
      <c r="I139" s="31" t="n">
        <v>140129</v>
      </c>
      <c r="J139" s="32" t="n">
        <v>0.22</v>
      </c>
      <c r="K139" s="33">
        <f>H139*I139/4</f>
        <v/>
      </c>
      <c r="L139" s="33">
        <f>K139*J139</f>
        <v/>
      </c>
      <c r="M139" s="33">
        <f>K139+L139</f>
        <v/>
      </c>
      <c r="N139" t="inlineStr">
        <is>
          <t>oews_title_catalog:oews_median</t>
        </is>
      </c>
    </row>
    <row r="140">
      <c r="A140" t="n">
        <v>14</v>
      </c>
      <c r="B140" t="inlineStr">
        <is>
          <t>supporting_staff</t>
        </is>
      </c>
      <c r="C140" t="inlineStr">
        <is>
          <t>Customer Service Representatives</t>
        </is>
      </c>
      <c r="D140" t="inlineStr">
        <is>
          <t>Customer Service Representatives</t>
        </is>
      </c>
      <c r="E140" s="29" t="n">
        <v>1</v>
      </c>
      <c r="F140" s="29" t="n">
        <v>0</v>
      </c>
      <c r="G140" s="30">
        <f>E140+F140</f>
        <v/>
      </c>
      <c r="H140" s="30">
        <f>(E140+G140)/2</f>
        <v/>
      </c>
      <c r="I140" s="31" t="n">
        <v>77543</v>
      </c>
      <c r="J140" s="32" t="n">
        <v>0.22</v>
      </c>
      <c r="K140" s="33">
        <f>H140*I140/4</f>
        <v/>
      </c>
      <c r="L140" s="33">
        <f>K140*J140</f>
        <v/>
      </c>
      <c r="M140" s="33">
        <f>K140+L140</f>
        <v/>
      </c>
      <c r="N140" t="inlineStr">
        <is>
          <t>oews_title_catalog:oews_median</t>
        </is>
      </c>
    </row>
    <row r="141">
      <c r="A141" t="n">
        <v>14</v>
      </c>
      <c r="B141" t="inlineStr">
        <is>
          <t>supporting_staff</t>
        </is>
      </c>
      <c r="C141" t="inlineStr">
        <is>
          <t>Human Resources Specialists</t>
        </is>
      </c>
      <c r="D141" t="inlineStr">
        <is>
          <t>Human Resources Specialists</t>
        </is>
      </c>
      <c r="E141" s="29" t="n">
        <v>0.5</v>
      </c>
      <c r="F141" s="29" t="n">
        <v>0</v>
      </c>
      <c r="G141" s="30">
        <f>E141+F141</f>
        <v/>
      </c>
      <c r="H141" s="30">
        <f>(E141+G141)/2</f>
        <v/>
      </c>
      <c r="I141" s="31" t="n">
        <v>146275</v>
      </c>
      <c r="J141" s="32" t="n">
        <v>0.22</v>
      </c>
      <c r="K141" s="33">
        <f>H141*I141/4</f>
        <v/>
      </c>
      <c r="L141" s="33">
        <f>K141*J141</f>
        <v/>
      </c>
      <c r="M141" s="33">
        <f>K141+L141</f>
        <v/>
      </c>
      <c r="N141" t="inlineStr">
        <is>
          <t>oews_title_catalog:oews_median</t>
        </is>
      </c>
    </row>
    <row r="142">
      <c r="A142" t="n">
        <v>14</v>
      </c>
      <c r="B142" t="inlineStr">
        <is>
          <t>supporting_staff</t>
        </is>
      </c>
      <c r="C142" t="inlineStr">
        <is>
          <t>Software Developers</t>
        </is>
      </c>
      <c r="D142" t="inlineStr">
        <is>
          <t>Software Developers</t>
        </is>
      </c>
      <c r="E142" s="29" t="n">
        <v>3</v>
      </c>
      <c r="F142" s="29" t="n">
        <v>0</v>
      </c>
      <c r="G142" s="30">
        <f>E142+F142</f>
        <v/>
      </c>
      <c r="H142" s="30">
        <f>(E142+G142)/2</f>
        <v/>
      </c>
      <c r="I142" s="31" t="n">
        <v>204873</v>
      </c>
      <c r="J142" s="32" t="n">
        <v>0.22</v>
      </c>
      <c r="K142" s="33">
        <f>H142*I142/4</f>
        <v/>
      </c>
      <c r="L142" s="33">
        <f>K142*J142</f>
        <v/>
      </c>
      <c r="M142" s="33">
        <f>K142+L142</f>
        <v/>
      </c>
      <c r="N142" t="inlineStr">
        <is>
          <t>oews_title_catalog:oews_median</t>
        </is>
      </c>
    </row>
    <row r="143">
      <c r="A143" t="n">
        <v>15</v>
      </c>
      <c r="B143" t="inlineStr">
        <is>
          <t>supporting_staff</t>
        </is>
      </c>
      <c r="C143" t="inlineStr">
        <is>
          <t>Accountants and Auditors</t>
        </is>
      </c>
      <c r="D143" t="inlineStr">
        <is>
          <t>Accountants and Auditors</t>
        </is>
      </c>
      <c r="E143" s="29" t="n">
        <v>0.5</v>
      </c>
      <c r="F143" s="29" t="n">
        <v>0</v>
      </c>
      <c r="G143" s="30">
        <f>E143+F143</f>
        <v/>
      </c>
      <c r="H143" s="30">
        <f>(E143+G143)/2</f>
        <v/>
      </c>
      <c r="I143" s="31" t="n">
        <v>140129</v>
      </c>
      <c r="J143" s="32" t="n">
        <v>0.22</v>
      </c>
      <c r="K143" s="33">
        <f>H143*I143/4</f>
        <v/>
      </c>
      <c r="L143" s="33">
        <f>K143*J143</f>
        <v/>
      </c>
      <c r="M143" s="33">
        <f>K143+L143</f>
        <v/>
      </c>
      <c r="N143" t="inlineStr">
        <is>
          <t>oews_title_catalog:oews_median</t>
        </is>
      </c>
    </row>
    <row r="144">
      <c r="A144" t="n">
        <v>15</v>
      </c>
      <c r="B144" t="inlineStr">
        <is>
          <t>supporting_staff</t>
        </is>
      </c>
      <c r="C144" t="inlineStr">
        <is>
          <t>Customer Service Representatives</t>
        </is>
      </c>
      <c r="D144" t="inlineStr">
        <is>
          <t>Customer Service Representatives</t>
        </is>
      </c>
      <c r="E144" s="29" t="n">
        <v>1</v>
      </c>
      <c r="F144" s="29" t="n">
        <v>0</v>
      </c>
      <c r="G144" s="30">
        <f>E144+F144</f>
        <v/>
      </c>
      <c r="H144" s="30">
        <f>(E144+G144)/2</f>
        <v/>
      </c>
      <c r="I144" s="31" t="n">
        <v>77543</v>
      </c>
      <c r="J144" s="32" t="n">
        <v>0.22</v>
      </c>
      <c r="K144" s="33">
        <f>H144*I144/4</f>
        <v/>
      </c>
      <c r="L144" s="33">
        <f>K144*J144</f>
        <v/>
      </c>
      <c r="M144" s="33">
        <f>K144+L144</f>
        <v/>
      </c>
      <c r="N144" t="inlineStr">
        <is>
          <t>oews_title_catalog:oews_median</t>
        </is>
      </c>
    </row>
    <row r="145">
      <c r="A145" t="n">
        <v>15</v>
      </c>
      <c r="B145" t="inlineStr">
        <is>
          <t>supporting_staff</t>
        </is>
      </c>
      <c r="C145" t="inlineStr">
        <is>
          <t>Human Resources Specialists</t>
        </is>
      </c>
      <c r="D145" t="inlineStr">
        <is>
          <t>Human Resources Specialists</t>
        </is>
      </c>
      <c r="E145" s="29" t="n">
        <v>0.5</v>
      </c>
      <c r="F145" s="29" t="n">
        <v>0</v>
      </c>
      <c r="G145" s="30">
        <f>E145+F145</f>
        <v/>
      </c>
      <c r="H145" s="30">
        <f>(E145+G145)/2</f>
        <v/>
      </c>
      <c r="I145" s="31" t="n">
        <v>146275</v>
      </c>
      <c r="J145" s="32" t="n">
        <v>0.22</v>
      </c>
      <c r="K145" s="33">
        <f>H145*I145/4</f>
        <v/>
      </c>
      <c r="L145" s="33">
        <f>K145*J145</f>
        <v/>
      </c>
      <c r="M145" s="33">
        <f>K145+L145</f>
        <v/>
      </c>
      <c r="N145" t="inlineStr">
        <is>
          <t>oews_title_catalog:oews_median</t>
        </is>
      </c>
    </row>
    <row r="146">
      <c r="A146" t="n">
        <v>15</v>
      </c>
      <c r="B146" t="inlineStr">
        <is>
          <t>supporting_staff</t>
        </is>
      </c>
      <c r="C146" t="inlineStr">
        <is>
          <t>Software Developers</t>
        </is>
      </c>
      <c r="D146" t="inlineStr">
        <is>
          <t>Software Developers</t>
        </is>
      </c>
      <c r="E146" s="29" t="n">
        <v>3</v>
      </c>
      <c r="F146" s="29" t="n">
        <v>0</v>
      </c>
      <c r="G146" s="30">
        <f>E146+F146</f>
        <v/>
      </c>
      <c r="H146" s="30">
        <f>(E146+G146)/2</f>
        <v/>
      </c>
      <c r="I146" s="31" t="n">
        <v>204873</v>
      </c>
      <c r="J146" s="32" t="n">
        <v>0.22</v>
      </c>
      <c r="K146" s="33">
        <f>H146*I146/4</f>
        <v/>
      </c>
      <c r="L146" s="33">
        <f>K146*J146</f>
        <v/>
      </c>
      <c r="M146" s="33">
        <f>K146+L146</f>
        <v/>
      </c>
      <c r="N146" t="inlineStr">
        <is>
          <t>oews_title_catalog:oews_median</t>
        </is>
      </c>
    </row>
    <row r="147">
      <c r="A147" t="n">
        <v>16</v>
      </c>
      <c r="B147" t="inlineStr">
        <is>
          <t>supporting_staff</t>
        </is>
      </c>
      <c r="C147" t="inlineStr">
        <is>
          <t>Accountants and Auditors</t>
        </is>
      </c>
      <c r="D147" t="inlineStr">
        <is>
          <t>Accountants and Auditors</t>
        </is>
      </c>
      <c r="E147" s="29" t="n">
        <v>0.5</v>
      </c>
      <c r="F147" s="29" t="n">
        <v>0</v>
      </c>
      <c r="G147" s="30">
        <f>E147+F147</f>
        <v/>
      </c>
      <c r="H147" s="30">
        <f>(E147+G147)/2</f>
        <v/>
      </c>
      <c r="I147" s="31" t="n">
        <v>140129</v>
      </c>
      <c r="J147" s="32" t="n">
        <v>0.22</v>
      </c>
      <c r="K147" s="33">
        <f>H147*I147/4</f>
        <v/>
      </c>
      <c r="L147" s="33">
        <f>K147*J147</f>
        <v/>
      </c>
      <c r="M147" s="33">
        <f>K147+L147</f>
        <v/>
      </c>
      <c r="N147" t="inlineStr">
        <is>
          <t>oews_title_catalog:oews_median</t>
        </is>
      </c>
    </row>
    <row r="148">
      <c r="A148" t="n">
        <v>16</v>
      </c>
      <c r="B148" t="inlineStr">
        <is>
          <t>supporting_staff</t>
        </is>
      </c>
      <c r="C148" t="inlineStr">
        <is>
          <t>Customer Service Representatives</t>
        </is>
      </c>
      <c r="D148" t="inlineStr">
        <is>
          <t>Customer Service Representatives</t>
        </is>
      </c>
      <c r="E148" s="29" t="n">
        <v>1</v>
      </c>
      <c r="F148" s="29" t="n">
        <v>0</v>
      </c>
      <c r="G148" s="30">
        <f>E148+F148</f>
        <v/>
      </c>
      <c r="H148" s="30">
        <f>(E148+G148)/2</f>
        <v/>
      </c>
      <c r="I148" s="31" t="n">
        <v>77543</v>
      </c>
      <c r="J148" s="32" t="n">
        <v>0.22</v>
      </c>
      <c r="K148" s="33">
        <f>H148*I148/4</f>
        <v/>
      </c>
      <c r="L148" s="33">
        <f>K148*J148</f>
        <v/>
      </c>
      <c r="M148" s="33">
        <f>K148+L148</f>
        <v/>
      </c>
      <c r="N148" t="inlineStr">
        <is>
          <t>oews_title_catalog:oews_median</t>
        </is>
      </c>
    </row>
    <row r="149">
      <c r="A149" t="n">
        <v>16</v>
      </c>
      <c r="B149" t="inlineStr">
        <is>
          <t>supporting_staff</t>
        </is>
      </c>
      <c r="C149" t="inlineStr">
        <is>
          <t>Human Resources Specialists</t>
        </is>
      </c>
      <c r="D149" t="inlineStr">
        <is>
          <t>Human Resources Specialists</t>
        </is>
      </c>
      <c r="E149" s="29" t="n">
        <v>0.5</v>
      </c>
      <c r="F149" s="29" t="n">
        <v>0</v>
      </c>
      <c r="G149" s="30">
        <f>E149+F149</f>
        <v/>
      </c>
      <c r="H149" s="30">
        <f>(E149+G149)/2</f>
        <v/>
      </c>
      <c r="I149" s="31" t="n">
        <v>146275</v>
      </c>
      <c r="J149" s="32" t="n">
        <v>0.22</v>
      </c>
      <c r="K149" s="33">
        <f>H149*I149/4</f>
        <v/>
      </c>
      <c r="L149" s="33">
        <f>K149*J149</f>
        <v/>
      </c>
      <c r="M149" s="33">
        <f>K149+L149</f>
        <v/>
      </c>
      <c r="N149" t="inlineStr">
        <is>
          <t>oews_title_catalog:oews_median</t>
        </is>
      </c>
    </row>
    <row r="150">
      <c r="A150" t="n">
        <v>16</v>
      </c>
      <c r="B150" t="inlineStr">
        <is>
          <t>supporting_staff</t>
        </is>
      </c>
      <c r="C150" t="inlineStr">
        <is>
          <t>Software Developers</t>
        </is>
      </c>
      <c r="D150" t="inlineStr">
        <is>
          <t>Software Developers</t>
        </is>
      </c>
      <c r="E150" s="29" t="n">
        <v>3</v>
      </c>
      <c r="F150" s="29" t="n">
        <v>0</v>
      </c>
      <c r="G150" s="30">
        <f>E150+F150</f>
        <v/>
      </c>
      <c r="H150" s="30">
        <f>(E150+G150)/2</f>
        <v/>
      </c>
      <c r="I150" s="31" t="n">
        <v>204873</v>
      </c>
      <c r="J150" s="32" t="n">
        <v>0.22</v>
      </c>
      <c r="K150" s="33">
        <f>H150*I150/4</f>
        <v/>
      </c>
      <c r="L150" s="33">
        <f>K150*J150</f>
        <v/>
      </c>
      <c r="M150" s="33">
        <f>K150+L150</f>
        <v/>
      </c>
      <c r="N150" t="inlineStr">
        <is>
          <t>oews_title_catalog:oews_median</t>
        </is>
      </c>
    </row>
    <row r="151">
      <c r="A151" t="n">
        <v>17</v>
      </c>
      <c r="B151" t="inlineStr">
        <is>
          <t>supporting_staff</t>
        </is>
      </c>
      <c r="C151" t="inlineStr">
        <is>
          <t>Accountants and Auditors</t>
        </is>
      </c>
      <c r="D151" t="inlineStr">
        <is>
          <t>Accountants and Auditors</t>
        </is>
      </c>
      <c r="E151" s="29" t="n">
        <v>0.5</v>
      </c>
      <c r="F151" s="29" t="n">
        <v>0</v>
      </c>
      <c r="G151" s="30">
        <f>E151+F151</f>
        <v/>
      </c>
      <c r="H151" s="30">
        <f>(E151+G151)/2</f>
        <v/>
      </c>
      <c r="I151" s="31" t="n">
        <v>144332</v>
      </c>
      <c r="J151" s="32" t="n">
        <v>0.22</v>
      </c>
      <c r="K151" s="33">
        <f>H151*I151/4</f>
        <v/>
      </c>
      <c r="L151" s="33">
        <f>K151*J151</f>
        <v/>
      </c>
      <c r="M151" s="33">
        <f>K151+L151</f>
        <v/>
      </c>
      <c r="N151" t="inlineStr">
        <is>
          <t>oews_title_catalog:oews_median</t>
        </is>
      </c>
    </row>
    <row r="152">
      <c r="A152" t="n">
        <v>17</v>
      </c>
      <c r="B152" t="inlineStr">
        <is>
          <t>supporting_staff</t>
        </is>
      </c>
      <c r="C152" t="inlineStr">
        <is>
          <t>Customer Service Representatives</t>
        </is>
      </c>
      <c r="D152" t="inlineStr">
        <is>
          <t>Customer Service Representatives</t>
        </is>
      </c>
      <c r="E152" s="29" t="n">
        <v>1</v>
      </c>
      <c r="F152" s="29" t="n">
        <v>0</v>
      </c>
      <c r="G152" s="30">
        <f>E152+F152</f>
        <v/>
      </c>
      <c r="H152" s="30">
        <f>(E152+G152)/2</f>
        <v/>
      </c>
      <c r="I152" s="31" t="n">
        <v>79869</v>
      </c>
      <c r="J152" s="32" t="n">
        <v>0.22</v>
      </c>
      <c r="K152" s="33">
        <f>H152*I152/4</f>
        <v/>
      </c>
      <c r="L152" s="33">
        <f>K152*J152</f>
        <v/>
      </c>
      <c r="M152" s="33">
        <f>K152+L152</f>
        <v/>
      </c>
      <c r="N152" t="inlineStr">
        <is>
          <t>oews_title_catalog:oews_median</t>
        </is>
      </c>
    </row>
    <row r="153">
      <c r="A153" t="n">
        <v>17</v>
      </c>
      <c r="B153" t="inlineStr">
        <is>
          <t>supporting_staff</t>
        </is>
      </c>
      <c r="C153" t="inlineStr">
        <is>
          <t>Human Resources Specialists</t>
        </is>
      </c>
      <c r="D153" t="inlineStr">
        <is>
          <t>Human Resources Specialists</t>
        </is>
      </c>
      <c r="E153" s="29" t="n">
        <v>0.5</v>
      </c>
      <c r="F153" s="29" t="n">
        <v>0</v>
      </c>
      <c r="G153" s="30">
        <f>E153+F153</f>
        <v/>
      </c>
      <c r="H153" s="30">
        <f>(E153+G153)/2</f>
        <v/>
      </c>
      <c r="I153" s="31" t="n">
        <v>150663</v>
      </c>
      <c r="J153" s="32" t="n">
        <v>0.22</v>
      </c>
      <c r="K153" s="33">
        <f>H153*I153/4</f>
        <v/>
      </c>
      <c r="L153" s="33">
        <f>K153*J153</f>
        <v/>
      </c>
      <c r="M153" s="33">
        <f>K153+L153</f>
        <v/>
      </c>
      <c r="N153" t="inlineStr">
        <is>
          <t>oews_title_catalog:oews_median</t>
        </is>
      </c>
    </row>
    <row r="154">
      <c r="A154" t="n">
        <v>17</v>
      </c>
      <c r="B154" t="inlineStr">
        <is>
          <t>supporting_staff</t>
        </is>
      </c>
      <c r="C154" t="inlineStr">
        <is>
          <t>Software Developers</t>
        </is>
      </c>
      <c r="D154" t="inlineStr">
        <is>
          <t>Software Developers</t>
        </is>
      </c>
      <c r="E154" s="29" t="n">
        <v>3</v>
      </c>
      <c r="F154" s="29" t="n">
        <v>0</v>
      </c>
      <c r="G154" s="30">
        <f>E154+F154</f>
        <v/>
      </c>
      <c r="H154" s="30">
        <f>(E154+G154)/2</f>
        <v/>
      </c>
      <c r="I154" s="31" t="n">
        <v>211019</v>
      </c>
      <c r="J154" s="32" t="n">
        <v>0.22</v>
      </c>
      <c r="K154" s="33">
        <f>H154*I154/4</f>
        <v/>
      </c>
      <c r="L154" s="33">
        <f>K154*J154</f>
        <v/>
      </c>
      <c r="M154" s="33">
        <f>K154+L154</f>
        <v/>
      </c>
      <c r="N154" t="inlineStr">
        <is>
          <t>oews_title_catalog:oews_median</t>
        </is>
      </c>
    </row>
    <row r="155">
      <c r="A155" t="n">
        <v>18</v>
      </c>
      <c r="B155" t="inlineStr">
        <is>
          <t>supporting_staff</t>
        </is>
      </c>
      <c r="C155" t="inlineStr">
        <is>
          <t>Accountants and Auditors</t>
        </is>
      </c>
      <c r="D155" t="inlineStr">
        <is>
          <t>Accountants and Auditors</t>
        </is>
      </c>
      <c r="E155" s="29" t="n">
        <v>0.5</v>
      </c>
      <c r="F155" s="29" t="n">
        <v>0</v>
      </c>
      <c r="G155" s="30">
        <f>E155+F155</f>
        <v/>
      </c>
      <c r="H155" s="30">
        <f>(E155+G155)/2</f>
        <v/>
      </c>
      <c r="I155" s="31" t="n">
        <v>144332</v>
      </c>
      <c r="J155" s="32" t="n">
        <v>0.22</v>
      </c>
      <c r="K155" s="33">
        <f>H155*I155/4</f>
        <v/>
      </c>
      <c r="L155" s="33">
        <f>K155*J155</f>
        <v/>
      </c>
      <c r="M155" s="33">
        <f>K155+L155</f>
        <v/>
      </c>
      <c r="N155" t="inlineStr">
        <is>
          <t>oews_title_catalog:oews_median</t>
        </is>
      </c>
    </row>
    <row r="156">
      <c r="A156" t="n">
        <v>18</v>
      </c>
      <c r="B156" t="inlineStr">
        <is>
          <t>supporting_staff</t>
        </is>
      </c>
      <c r="C156" t="inlineStr">
        <is>
          <t>Customer Service Representatives</t>
        </is>
      </c>
      <c r="D156" t="inlineStr">
        <is>
          <t>Customer Service Representatives</t>
        </is>
      </c>
      <c r="E156" s="29" t="n">
        <v>1</v>
      </c>
      <c r="F156" s="29" t="n">
        <v>0</v>
      </c>
      <c r="G156" s="30">
        <f>E156+F156</f>
        <v/>
      </c>
      <c r="H156" s="30">
        <f>(E156+G156)/2</f>
        <v/>
      </c>
      <c r="I156" s="31" t="n">
        <v>79869</v>
      </c>
      <c r="J156" s="32" t="n">
        <v>0.22</v>
      </c>
      <c r="K156" s="33">
        <f>H156*I156/4</f>
        <v/>
      </c>
      <c r="L156" s="33">
        <f>K156*J156</f>
        <v/>
      </c>
      <c r="M156" s="33">
        <f>K156+L156</f>
        <v/>
      </c>
      <c r="N156" t="inlineStr">
        <is>
          <t>oews_title_catalog:oews_median</t>
        </is>
      </c>
    </row>
    <row r="157">
      <c r="A157" t="n">
        <v>18</v>
      </c>
      <c r="B157" t="inlineStr">
        <is>
          <t>supporting_staff</t>
        </is>
      </c>
      <c r="C157" t="inlineStr">
        <is>
          <t>Human Resources Specialists</t>
        </is>
      </c>
      <c r="D157" t="inlineStr">
        <is>
          <t>Human Resources Specialists</t>
        </is>
      </c>
      <c r="E157" s="29" t="n">
        <v>0.5</v>
      </c>
      <c r="F157" s="29" t="n">
        <v>0</v>
      </c>
      <c r="G157" s="30">
        <f>E157+F157</f>
        <v/>
      </c>
      <c r="H157" s="30">
        <f>(E157+G157)/2</f>
        <v/>
      </c>
      <c r="I157" s="31" t="n">
        <v>150663</v>
      </c>
      <c r="J157" s="32" t="n">
        <v>0.22</v>
      </c>
      <c r="K157" s="33">
        <f>H157*I157/4</f>
        <v/>
      </c>
      <c r="L157" s="33">
        <f>K157*J157</f>
        <v/>
      </c>
      <c r="M157" s="33">
        <f>K157+L157</f>
        <v/>
      </c>
      <c r="N157" t="inlineStr">
        <is>
          <t>oews_title_catalog:oews_median</t>
        </is>
      </c>
    </row>
    <row r="158">
      <c r="A158" t="n">
        <v>18</v>
      </c>
      <c r="B158" t="inlineStr">
        <is>
          <t>supporting_staff</t>
        </is>
      </c>
      <c r="C158" t="inlineStr">
        <is>
          <t>Software Developers</t>
        </is>
      </c>
      <c r="D158" t="inlineStr">
        <is>
          <t>Software Developers</t>
        </is>
      </c>
      <c r="E158" s="29" t="n">
        <v>3</v>
      </c>
      <c r="F158" s="29" t="n">
        <v>0</v>
      </c>
      <c r="G158" s="30">
        <f>E158+F158</f>
        <v/>
      </c>
      <c r="H158" s="30">
        <f>(E158+G158)/2</f>
        <v/>
      </c>
      <c r="I158" s="31" t="n">
        <v>211019</v>
      </c>
      <c r="J158" s="32" t="n">
        <v>0.22</v>
      </c>
      <c r="K158" s="33">
        <f>H158*I158/4</f>
        <v/>
      </c>
      <c r="L158" s="33">
        <f>K158*J158</f>
        <v/>
      </c>
      <c r="M158" s="33">
        <f>K158+L158</f>
        <v/>
      </c>
      <c r="N158" t="inlineStr">
        <is>
          <t>oews_title_catalog:oews_median</t>
        </is>
      </c>
    </row>
    <row r="159">
      <c r="A159" t="n">
        <v>19</v>
      </c>
      <c r="B159" t="inlineStr">
        <is>
          <t>supporting_staff</t>
        </is>
      </c>
      <c r="C159" t="inlineStr">
        <is>
          <t>Accountants and Auditors</t>
        </is>
      </c>
      <c r="D159" t="inlineStr">
        <is>
          <t>Accountants and Auditors</t>
        </is>
      </c>
      <c r="E159" s="29" t="n">
        <v>0.5</v>
      </c>
      <c r="F159" s="29" t="n">
        <v>0</v>
      </c>
      <c r="G159" s="30">
        <f>E159+F159</f>
        <v/>
      </c>
      <c r="H159" s="30">
        <f>(E159+G159)/2</f>
        <v/>
      </c>
      <c r="I159" s="31" t="n">
        <v>144332</v>
      </c>
      <c r="J159" s="32" t="n">
        <v>0.22</v>
      </c>
      <c r="K159" s="33">
        <f>H159*I159/4</f>
        <v/>
      </c>
      <c r="L159" s="33">
        <f>K159*J159</f>
        <v/>
      </c>
      <c r="M159" s="33">
        <f>K159+L159</f>
        <v/>
      </c>
      <c r="N159" t="inlineStr">
        <is>
          <t>oews_title_catalog:oews_median</t>
        </is>
      </c>
    </row>
    <row r="160">
      <c r="A160" t="n">
        <v>19</v>
      </c>
      <c r="B160" t="inlineStr">
        <is>
          <t>supporting_staff</t>
        </is>
      </c>
      <c r="C160" t="inlineStr">
        <is>
          <t>Customer Service Representatives</t>
        </is>
      </c>
      <c r="D160" t="inlineStr">
        <is>
          <t>Customer Service Representatives</t>
        </is>
      </c>
      <c r="E160" s="29" t="n">
        <v>1</v>
      </c>
      <c r="F160" s="29" t="n">
        <v>0</v>
      </c>
      <c r="G160" s="30">
        <f>E160+F160</f>
        <v/>
      </c>
      <c r="H160" s="30">
        <f>(E160+G160)/2</f>
        <v/>
      </c>
      <c r="I160" s="31" t="n">
        <v>79869</v>
      </c>
      <c r="J160" s="32" t="n">
        <v>0.22</v>
      </c>
      <c r="K160" s="33">
        <f>H160*I160/4</f>
        <v/>
      </c>
      <c r="L160" s="33">
        <f>K160*J160</f>
        <v/>
      </c>
      <c r="M160" s="33">
        <f>K160+L160</f>
        <v/>
      </c>
      <c r="N160" t="inlineStr">
        <is>
          <t>oews_title_catalog:oews_median</t>
        </is>
      </c>
    </row>
    <row r="161">
      <c r="A161" t="n">
        <v>19</v>
      </c>
      <c r="B161" t="inlineStr">
        <is>
          <t>supporting_staff</t>
        </is>
      </c>
      <c r="C161" t="inlineStr">
        <is>
          <t>Human Resources Specialists</t>
        </is>
      </c>
      <c r="D161" t="inlineStr">
        <is>
          <t>Human Resources Specialists</t>
        </is>
      </c>
      <c r="E161" s="29" t="n">
        <v>0.5</v>
      </c>
      <c r="F161" s="29" t="n">
        <v>0</v>
      </c>
      <c r="G161" s="30">
        <f>E161+F161</f>
        <v/>
      </c>
      <c r="H161" s="30">
        <f>(E161+G161)/2</f>
        <v/>
      </c>
      <c r="I161" s="31" t="n">
        <v>150663</v>
      </c>
      <c r="J161" s="32" t="n">
        <v>0.22</v>
      </c>
      <c r="K161" s="33">
        <f>H161*I161/4</f>
        <v/>
      </c>
      <c r="L161" s="33">
        <f>K161*J161</f>
        <v/>
      </c>
      <c r="M161" s="33">
        <f>K161+L161</f>
        <v/>
      </c>
      <c r="N161" t="inlineStr">
        <is>
          <t>oews_title_catalog:oews_median</t>
        </is>
      </c>
    </row>
    <row r="162">
      <c r="A162" t="n">
        <v>19</v>
      </c>
      <c r="B162" t="inlineStr">
        <is>
          <t>supporting_staff</t>
        </is>
      </c>
      <c r="C162" t="inlineStr">
        <is>
          <t>Software Developers</t>
        </is>
      </c>
      <c r="D162" t="inlineStr">
        <is>
          <t>Software Developers</t>
        </is>
      </c>
      <c r="E162" s="29" t="n">
        <v>3</v>
      </c>
      <c r="F162" s="29" t="n">
        <v>0</v>
      </c>
      <c r="G162" s="30">
        <f>E162+F162</f>
        <v/>
      </c>
      <c r="H162" s="30">
        <f>(E162+G162)/2</f>
        <v/>
      </c>
      <c r="I162" s="31" t="n">
        <v>211019</v>
      </c>
      <c r="J162" s="32" t="n">
        <v>0.22</v>
      </c>
      <c r="K162" s="33">
        <f>H162*I162/4</f>
        <v/>
      </c>
      <c r="L162" s="33">
        <f>K162*J162</f>
        <v/>
      </c>
      <c r="M162" s="33">
        <f>K162+L162</f>
        <v/>
      </c>
      <c r="N162" t="inlineStr">
        <is>
          <t>oews_title_catalog:oews_median</t>
        </is>
      </c>
    </row>
    <row r="163">
      <c r="A163" t="n">
        <v>20</v>
      </c>
      <c r="B163" t="inlineStr">
        <is>
          <t>supporting_staff</t>
        </is>
      </c>
      <c r="C163" t="inlineStr">
        <is>
          <t>Accountants and Auditors</t>
        </is>
      </c>
      <c r="D163" t="inlineStr">
        <is>
          <t>Accountants and Auditors</t>
        </is>
      </c>
      <c r="E163" s="29" t="n">
        <v>0.5</v>
      </c>
      <c r="F163" s="29" t="n">
        <v>0</v>
      </c>
      <c r="G163" s="30">
        <f>E163+F163</f>
        <v/>
      </c>
      <c r="H163" s="30">
        <f>(E163+G163)/2</f>
        <v/>
      </c>
      <c r="I163" s="31" t="n">
        <v>144332</v>
      </c>
      <c r="J163" s="32" t="n">
        <v>0.22</v>
      </c>
      <c r="K163" s="33">
        <f>H163*I163/4</f>
        <v/>
      </c>
      <c r="L163" s="33">
        <f>K163*J163</f>
        <v/>
      </c>
      <c r="M163" s="33">
        <f>K163+L163</f>
        <v/>
      </c>
      <c r="N163" t="inlineStr">
        <is>
          <t>oews_title_catalog:oews_median</t>
        </is>
      </c>
    </row>
    <row r="164">
      <c r="A164" t="n">
        <v>20</v>
      </c>
      <c r="B164" t="inlineStr">
        <is>
          <t>supporting_staff</t>
        </is>
      </c>
      <c r="C164" t="inlineStr">
        <is>
          <t>Customer Service Representatives</t>
        </is>
      </c>
      <c r="D164" t="inlineStr">
        <is>
          <t>Customer Service Representatives</t>
        </is>
      </c>
      <c r="E164" s="29" t="n">
        <v>1</v>
      </c>
      <c r="F164" s="29" t="n">
        <v>0</v>
      </c>
      <c r="G164" s="30">
        <f>E164+F164</f>
        <v/>
      </c>
      <c r="H164" s="30">
        <f>(E164+G164)/2</f>
        <v/>
      </c>
      <c r="I164" s="31" t="n">
        <v>79869</v>
      </c>
      <c r="J164" s="32" t="n">
        <v>0.22</v>
      </c>
      <c r="K164" s="33">
        <f>H164*I164/4</f>
        <v/>
      </c>
      <c r="L164" s="33">
        <f>K164*J164</f>
        <v/>
      </c>
      <c r="M164" s="33">
        <f>K164+L164</f>
        <v/>
      </c>
      <c r="N164" t="inlineStr">
        <is>
          <t>oews_title_catalog:oews_median</t>
        </is>
      </c>
    </row>
    <row r="165">
      <c r="A165" t="n">
        <v>20</v>
      </c>
      <c r="B165" t="inlineStr">
        <is>
          <t>supporting_staff</t>
        </is>
      </c>
      <c r="C165" t="inlineStr">
        <is>
          <t>Human Resources Specialists</t>
        </is>
      </c>
      <c r="D165" t="inlineStr">
        <is>
          <t>Human Resources Specialists</t>
        </is>
      </c>
      <c r="E165" s="29" t="n">
        <v>0.5</v>
      </c>
      <c r="F165" s="29" t="n">
        <v>0</v>
      </c>
      <c r="G165" s="30">
        <f>E165+F165</f>
        <v/>
      </c>
      <c r="H165" s="30">
        <f>(E165+G165)/2</f>
        <v/>
      </c>
      <c r="I165" s="31" t="n">
        <v>150663</v>
      </c>
      <c r="J165" s="32" t="n">
        <v>0.22</v>
      </c>
      <c r="K165" s="33">
        <f>H165*I165/4</f>
        <v/>
      </c>
      <c r="L165" s="33">
        <f>K165*J165</f>
        <v/>
      </c>
      <c r="M165" s="33">
        <f>K165+L165</f>
        <v/>
      </c>
      <c r="N165" t="inlineStr">
        <is>
          <t>oews_title_catalog:oews_median</t>
        </is>
      </c>
    </row>
    <row r="166">
      <c r="A166" t="n">
        <v>20</v>
      </c>
      <c r="B166" t="inlineStr">
        <is>
          <t>supporting_staff</t>
        </is>
      </c>
      <c r="C166" t="inlineStr">
        <is>
          <t>Software Developers</t>
        </is>
      </c>
      <c r="D166" t="inlineStr">
        <is>
          <t>Software Developers</t>
        </is>
      </c>
      <c r="E166" s="29" t="n">
        <v>3</v>
      </c>
      <c r="F166" s="29" t="n">
        <v>0</v>
      </c>
      <c r="G166" s="30">
        <f>E166+F166</f>
        <v/>
      </c>
      <c r="H166" s="30">
        <f>(E166+G166)/2</f>
        <v/>
      </c>
      <c r="I166" s="31" t="n">
        <v>211019</v>
      </c>
      <c r="J166" s="32" t="n">
        <v>0.22</v>
      </c>
      <c r="K166" s="33">
        <f>H166*I166/4</f>
        <v/>
      </c>
      <c r="L166" s="33">
        <f>K166*J166</f>
        <v/>
      </c>
      <c r="M166" s="33">
        <f>K166+L166</f>
        <v/>
      </c>
      <c r="N166" t="inlineStr">
        <is>
          <t>oews_title_catalog:oews_median</t>
        </is>
      </c>
    </row>
  </sheetData>
  <autoFilter ref="A26:N16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300000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15000</v>
      </c>
      <c r="E9" s="11" t="n">
        <v>15000</v>
      </c>
      <c r="F9" s="11" t="n">
        <v>15000</v>
      </c>
      <c r="G9" s="11" t="n">
        <v>15000</v>
      </c>
      <c r="H9" s="11" t="n">
        <v>15000</v>
      </c>
      <c r="I9" s="11" t="n">
        <v>15000</v>
      </c>
      <c r="J9" s="11" t="n">
        <v>60252</v>
      </c>
      <c r="K9" s="11" t="n">
        <v>83560</v>
      </c>
      <c r="L9" s="11" t="n">
        <v>66188</v>
      </c>
      <c r="M9" s="11" t="n">
        <v>15000</v>
      </c>
      <c r="N9" s="11" t="n">
        <v>15000</v>
      </c>
      <c r="O9" s="11" t="n">
        <v>15000</v>
      </c>
      <c r="P9" s="11" t="n">
        <v>15000</v>
      </c>
      <c r="Q9" s="11" t="n">
        <v>15000</v>
      </c>
      <c r="R9" s="11" t="n">
        <v>15000</v>
      </c>
      <c r="S9" s="11" t="n">
        <v>15000</v>
      </c>
      <c r="T9" s="11" t="n">
        <v>15000</v>
      </c>
      <c r="U9" s="11" t="n">
        <v>15000</v>
      </c>
      <c r="V9" s="11" t="n">
        <v>15000</v>
      </c>
      <c r="W9" s="11" t="n">
        <v>15000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0.026875</v>
      </c>
      <c r="E12" s="13" t="n">
        <v>0.026875</v>
      </c>
      <c r="F12" s="13" t="n">
        <v>0.026875</v>
      </c>
      <c r="G12" s="13" t="n">
        <v>0.026875</v>
      </c>
      <c r="H12" s="13" t="n">
        <v>0.026875</v>
      </c>
      <c r="I12" s="13" t="n">
        <v>0.026875</v>
      </c>
      <c r="J12" s="13" t="n">
        <v>0.026875</v>
      </c>
      <c r="K12" s="13" t="n">
        <v>0.026875</v>
      </c>
      <c r="L12" s="13" t="n">
        <v>0.026875</v>
      </c>
      <c r="M12" s="13" t="n">
        <v>0.026875</v>
      </c>
      <c r="N12" s="13" t="n">
        <v>0.026875</v>
      </c>
      <c r="O12" s="13" t="n">
        <v>0.026875</v>
      </c>
      <c r="P12" s="13" t="n">
        <v>0.026875</v>
      </c>
      <c r="Q12" s="13" t="n">
        <v>0.026875</v>
      </c>
      <c r="R12" s="13" t="n">
        <v>0.026875</v>
      </c>
      <c r="S12" s="13" t="n">
        <v>0.026875</v>
      </c>
      <c r="T12" s="13" t="n">
        <v>0.026875</v>
      </c>
      <c r="U12" s="13" t="n">
        <v>0.026875</v>
      </c>
      <c r="V12" s="13" t="n">
        <v>0.026875</v>
      </c>
      <c r="W12" s="13" t="n">
        <v>0.026875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150000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802.8</v>
      </c>
      <c r="E8" s="35" t="n">
        <v>806.881435</v>
      </c>
      <c r="F8" s="35" t="n">
        <v>810.76899</v>
      </c>
      <c r="G8" s="35" t="n">
        <v>814.460421</v>
      </c>
      <c r="H8" s="35" t="n">
        <v>817.9536419999999</v>
      </c>
      <c r="I8" s="35" t="n">
        <v>821.246723</v>
      </c>
      <c r="J8" s="35" t="n">
        <v>824.337896</v>
      </c>
      <c r="K8" s="35" t="n">
        <v>827.224727</v>
      </c>
      <c r="L8" s="35" t="n">
        <v>829.905763</v>
      </c>
      <c r="M8" s="35" t="n">
        <v>832.378882</v>
      </c>
      <c r="N8" s="35" t="n">
        <v>834.642952</v>
      </c>
      <c r="O8" s="35" t="n">
        <v>836.695339</v>
      </c>
      <c r="P8" s="35" t="n">
        <v>838.535232</v>
      </c>
      <c r="Q8" s="35" t="n">
        <v>840.160314</v>
      </c>
      <c r="R8" s="35" t="n">
        <v>841.569263</v>
      </c>
      <c r="S8" s="35" t="n">
        <v>842.760925</v>
      </c>
      <c r="T8" s="35" t="n">
        <v>843.733471</v>
      </c>
      <c r="U8" s="35" t="n">
        <v>844.485237</v>
      </c>
      <c r="V8" s="35" t="n">
        <v>845.014729</v>
      </c>
      <c r="W8" s="35" t="n">
        <v>845.32147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0.000268</v>
      </c>
      <c r="E10" s="13" t="n">
        <v>0.000534</v>
      </c>
      <c r="F10" s="13" t="n">
        <v>0.000799</v>
      </c>
      <c r="G10" s="13" t="n">
        <v>0.001063</v>
      </c>
      <c r="H10" s="13" t="n">
        <v>0.001326</v>
      </c>
      <c r="I10" s="13" t="n">
        <v>0.001588</v>
      </c>
      <c r="J10" s="13" t="n">
        <v>0.00185</v>
      </c>
      <c r="K10" s="13" t="n">
        <v>0.002111</v>
      </c>
      <c r="L10" s="13" t="n">
        <v>0.002372</v>
      </c>
      <c r="M10" s="13" t="n">
        <v>0.002632</v>
      </c>
      <c r="N10" s="13" t="n">
        <v>0.002893</v>
      </c>
      <c r="O10" s="13" t="n">
        <v>0.003153</v>
      </c>
      <c r="P10" s="13" t="n">
        <v>0.003414</v>
      </c>
      <c r="Q10" s="13" t="n">
        <v>0.003675</v>
      </c>
      <c r="R10" s="13" t="n">
        <v>0.003936</v>
      </c>
      <c r="S10" s="13" t="n">
        <v>0.004198</v>
      </c>
      <c r="T10" s="13" t="n">
        <v>0.004461</v>
      </c>
      <c r="U10" s="13" t="n">
        <v>0.004725</v>
      </c>
      <c r="V10" s="13" t="n">
        <v>0.004989</v>
      </c>
      <c r="W10" s="13" t="n">
        <v>0.005255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30</v>
      </c>
      <c r="E7" s="9" t="n">
        <v>30</v>
      </c>
      <c r="F7" s="9" t="n">
        <v>30</v>
      </c>
      <c r="G7" s="9" t="n">
        <v>30</v>
      </c>
      <c r="H7" s="9" t="n">
        <v>30</v>
      </c>
      <c r="I7" s="9" t="n">
        <v>30</v>
      </c>
      <c r="J7" s="9" t="n">
        <v>30</v>
      </c>
      <c r="K7" s="9" t="n">
        <v>30</v>
      </c>
      <c r="L7" s="9" t="n">
        <v>30</v>
      </c>
      <c r="M7" s="9" t="n">
        <v>30</v>
      </c>
      <c r="N7" s="9" t="n">
        <v>30</v>
      </c>
      <c r="O7" s="9" t="n">
        <v>30</v>
      </c>
      <c r="P7" s="9" t="n">
        <v>30</v>
      </c>
      <c r="Q7" s="9" t="n">
        <v>30</v>
      </c>
      <c r="R7" s="9" t="n">
        <v>30</v>
      </c>
      <c r="S7" s="9" t="n">
        <v>30</v>
      </c>
      <c r="T7" s="9" t="n">
        <v>30</v>
      </c>
      <c r="U7" s="9" t="n">
        <v>30</v>
      </c>
      <c r="V7" s="9" t="n">
        <v>30</v>
      </c>
      <c r="W7" s="9" t="n">
        <v>30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45</v>
      </c>
      <c r="E9" s="9" t="n">
        <v>45</v>
      </c>
      <c r="F9" s="9" t="n">
        <v>45</v>
      </c>
      <c r="G9" s="9" t="n">
        <v>45</v>
      </c>
      <c r="H9" s="9" t="n">
        <v>45</v>
      </c>
      <c r="I9" s="9" t="n">
        <v>45</v>
      </c>
      <c r="J9" s="9" t="n">
        <v>45</v>
      </c>
      <c r="K9" s="9" t="n">
        <v>45</v>
      </c>
      <c r="L9" s="9" t="n">
        <v>45</v>
      </c>
      <c r="M9" s="9" t="n">
        <v>45</v>
      </c>
      <c r="N9" s="9" t="n">
        <v>45</v>
      </c>
      <c r="O9" s="9" t="n">
        <v>45</v>
      </c>
      <c r="P9" s="9" t="n">
        <v>45</v>
      </c>
      <c r="Q9" s="9" t="n">
        <v>45</v>
      </c>
      <c r="R9" s="9" t="n">
        <v>45</v>
      </c>
      <c r="S9" s="9" t="n">
        <v>45</v>
      </c>
      <c r="T9" s="9" t="n">
        <v>45</v>
      </c>
      <c r="U9" s="9" t="n">
        <v>45</v>
      </c>
      <c r="V9" s="9" t="n">
        <v>45</v>
      </c>
      <c r="W9" s="9" t="n">
        <v>45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0.05</v>
      </c>
      <c r="E10" s="13" t="n">
        <v>0.05</v>
      </c>
      <c r="F10" s="13" t="n">
        <v>0.05</v>
      </c>
      <c r="G10" s="13" t="n">
        <v>0.05</v>
      </c>
      <c r="H10" s="13" t="n">
        <v>0.05</v>
      </c>
      <c r="I10" s="13" t="n">
        <v>0.05</v>
      </c>
      <c r="J10" s="13" t="n">
        <v>0.05</v>
      </c>
      <c r="K10" s="13" t="n">
        <v>0.05</v>
      </c>
      <c r="L10" s="13" t="n">
        <v>0.05</v>
      </c>
      <c r="M10" s="13" t="n">
        <v>0.05</v>
      </c>
      <c r="N10" s="13" t="n">
        <v>0.05</v>
      </c>
      <c r="O10" s="13" t="n">
        <v>0.05</v>
      </c>
      <c r="P10" s="13" t="n">
        <v>0.05</v>
      </c>
      <c r="Q10" s="13" t="n">
        <v>0.05</v>
      </c>
      <c r="R10" s="13" t="n">
        <v>0.05</v>
      </c>
      <c r="S10" s="13" t="n">
        <v>0.05</v>
      </c>
      <c r="T10" s="13" t="n">
        <v>0.05</v>
      </c>
      <c r="U10" s="13" t="n">
        <v>0.05</v>
      </c>
      <c r="V10" s="13" t="n">
        <v>0.05</v>
      </c>
      <c r="W10" s="13" t="n">
        <v>0.05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0.15</v>
      </c>
      <c r="E11" s="13" t="n">
        <v>0.15</v>
      </c>
      <c r="F11" s="13" t="n">
        <v>0.15</v>
      </c>
      <c r="G11" s="13" t="n">
        <v>0.15</v>
      </c>
      <c r="H11" s="13" t="n">
        <v>0.15</v>
      </c>
      <c r="I11" s="13" t="n">
        <v>0.15</v>
      </c>
      <c r="J11" s="13" t="n">
        <v>0.15</v>
      </c>
      <c r="K11" s="13" t="n">
        <v>0.15</v>
      </c>
      <c r="L11" s="13" t="n">
        <v>0.15</v>
      </c>
      <c r="M11" s="13" t="n">
        <v>0.15</v>
      </c>
      <c r="N11" s="13" t="n">
        <v>0.15</v>
      </c>
      <c r="O11" s="13" t="n">
        <v>0.15</v>
      </c>
      <c r="P11" s="13" t="n">
        <v>0.15</v>
      </c>
      <c r="Q11" s="13" t="n">
        <v>0.15</v>
      </c>
      <c r="R11" s="13" t="n">
        <v>0.15</v>
      </c>
      <c r="S11" s="13" t="n">
        <v>0.15</v>
      </c>
      <c r="T11" s="13" t="n">
        <v>0.15</v>
      </c>
      <c r="U11" s="13" t="n">
        <v>0.15</v>
      </c>
      <c r="V11" s="13" t="n">
        <v>0.15</v>
      </c>
      <c r="W11" s="13" t="n">
        <v>0.15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250000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100000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20000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1200000</v>
      </c>
      <c r="D7" s="11" t="n">
        <v>1301324</v>
      </c>
      <c r="E7" s="11" t="n">
        <v>1314861</v>
      </c>
      <c r="F7" s="11" t="n">
        <v>1314861</v>
      </c>
      <c r="G7" s="11" t="n">
        <v>1314861</v>
      </c>
      <c r="H7" s="11" t="n">
        <v>1314861</v>
      </c>
      <c r="I7" s="11" t="n">
        <v>1314861</v>
      </c>
      <c r="J7" s="11" t="n">
        <v>1314861</v>
      </c>
      <c r="K7" s="11" t="n">
        <v>1314861</v>
      </c>
      <c r="L7" s="11" t="n">
        <v>1314861</v>
      </c>
      <c r="M7" s="11" t="n">
        <v>1314861</v>
      </c>
      <c r="N7" s="11" t="n">
        <v>1314861</v>
      </c>
      <c r="O7" s="11" t="n">
        <v>1314861</v>
      </c>
      <c r="P7" s="11" t="n">
        <v>1314861</v>
      </c>
      <c r="Q7" s="11" t="n">
        <v>1314861</v>
      </c>
      <c r="R7" s="11" t="n">
        <v>1314861</v>
      </c>
      <c r="S7" s="11" t="n">
        <v>1314861</v>
      </c>
      <c r="T7" s="11" t="n">
        <v>1314861</v>
      </c>
      <c r="U7" s="11" t="n">
        <v>1314861</v>
      </c>
      <c r="V7" s="11" t="n">
        <v>1314861</v>
      </c>
      <c r="W7" s="11" t="n">
        <v>1314861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45249</v>
      </c>
      <c r="K9" s="11" t="n">
        <v>68561</v>
      </c>
      <c r="L9" s="11" t="n">
        <v>105311</v>
      </c>
      <c r="M9" s="11" t="n">
        <v>204786</v>
      </c>
      <c r="N9" s="11" t="n">
        <v>235071</v>
      </c>
      <c r="O9" s="11" t="n">
        <v>261027</v>
      </c>
      <c r="P9" s="11" t="n">
        <v>264641</v>
      </c>
      <c r="Q9" s="11" t="n">
        <v>282586</v>
      </c>
      <c r="R9" s="11" t="n">
        <v>297375</v>
      </c>
      <c r="S9" s="11" t="n">
        <v>316980</v>
      </c>
      <c r="T9" s="11" t="n">
        <v>320997</v>
      </c>
      <c r="U9" s="11" t="n">
        <v>339541</v>
      </c>
      <c r="V9" s="11" t="n">
        <v>354603</v>
      </c>
      <c r="W9" s="11" t="n">
        <v>375753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24000</v>
      </c>
      <c r="D12" s="11" t="n">
        <v>24000</v>
      </c>
      <c r="E12" s="11" t="n">
        <v>24000</v>
      </c>
      <c r="F12" s="11" t="n">
        <v>24000</v>
      </c>
      <c r="G12" s="11" t="n">
        <v>24000</v>
      </c>
      <c r="H12" s="11" t="n">
        <v>24000</v>
      </c>
      <c r="I12" s="11" t="n">
        <v>24000</v>
      </c>
      <c r="J12" s="11" t="n">
        <v>24000</v>
      </c>
      <c r="K12" s="11" t="n">
        <v>24000</v>
      </c>
      <c r="L12" s="11" t="n">
        <v>24000</v>
      </c>
      <c r="M12" s="11" t="n">
        <v>24000</v>
      </c>
      <c r="N12" s="11" t="n">
        <v>24000</v>
      </c>
      <c r="O12" s="11" t="n">
        <v>24000</v>
      </c>
      <c r="P12" s="11" t="n">
        <v>24000</v>
      </c>
      <c r="Q12" s="11" t="n">
        <v>24000</v>
      </c>
      <c r="R12" s="11" t="n">
        <v>24000</v>
      </c>
      <c r="S12" s="11" t="n">
        <v>24000</v>
      </c>
      <c r="T12" s="11" t="n">
        <v>24000</v>
      </c>
      <c r="U12" s="11" t="n">
        <v>24000</v>
      </c>
      <c r="V12" s="11" t="n">
        <v>24000</v>
      </c>
      <c r="W12" s="11" t="n">
        <v>24000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software / SaaS / unit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software / SaaS / unit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software / SaaS / unit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software / SaaS / unit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0.261719</v>
      </c>
      <c r="D12" s="14" t="n">
        <v>0.25</v>
      </c>
      <c r="E12" s="14" t="n">
        <v>0.247</v>
      </c>
      <c r="F12" s="14" t="n">
        <v>0.244</v>
      </c>
      <c r="G12" s="14" t="n">
        <v>0.241</v>
      </c>
      <c r="H12" s="14" t="n">
        <v>0.238</v>
      </c>
      <c r="I12" s="14" t="n">
        <v>0.235</v>
      </c>
      <c r="J12" s="14" t="n">
        <v>0.232</v>
      </c>
      <c r="K12" s="14" t="n">
        <v>0.229</v>
      </c>
      <c r="L12" s="14" t="n">
        <v>0.226</v>
      </c>
      <c r="M12" s="14" t="n">
        <v>0.223</v>
      </c>
      <c r="N12" s="14" t="n">
        <v>0.22</v>
      </c>
      <c r="O12" s="14" t="n">
        <v>0.2177777777777778</v>
      </c>
      <c r="P12" s="14" t="n">
        <v>0.2155555555555556</v>
      </c>
      <c r="Q12" s="14" t="n">
        <v>0.2133333333333334</v>
      </c>
      <c r="R12" s="14" t="n">
        <v>0.2111111111111111</v>
      </c>
      <c r="S12" s="14" t="n">
        <v>0.2088888888888889</v>
      </c>
      <c r="T12" s="14" t="n">
        <v>0.2066666666666667</v>
      </c>
      <c r="U12" s="14" t="n">
        <v>0.2044444444444444</v>
      </c>
      <c r="V12" s="14" t="n">
        <v>0.2022222222222222</v>
      </c>
      <c r="W12" s="14" t="n">
        <v>0.2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0.18</v>
      </c>
      <c r="D13" s="14" t="n">
        <v>0.14</v>
      </c>
      <c r="E13" s="14" t="n">
        <v>0.136</v>
      </c>
      <c r="F13" s="14" t="n">
        <v>0.132</v>
      </c>
      <c r="G13" s="14" t="n">
        <v>0.128</v>
      </c>
      <c r="H13" s="14" t="n">
        <v>0.124</v>
      </c>
      <c r="I13" s="14" t="n">
        <v>0.12</v>
      </c>
      <c r="J13" s="14" t="n">
        <v>0.116</v>
      </c>
      <c r="K13" s="14" t="n">
        <v>0.112</v>
      </c>
      <c r="L13" s="14" t="n">
        <v>0.108</v>
      </c>
      <c r="M13" s="14" t="n">
        <v>0.104</v>
      </c>
      <c r="N13" s="14" t="n">
        <v>0.1</v>
      </c>
      <c r="O13" s="14" t="n">
        <v>0.09777777777777778</v>
      </c>
      <c r="P13" s="14" t="n">
        <v>0.09555555555555556</v>
      </c>
      <c r="Q13" s="14" t="n">
        <v>0.09333333333333335</v>
      </c>
      <c r="R13" s="14" t="n">
        <v>0.09111111111111111</v>
      </c>
      <c r="S13" s="14" t="n">
        <v>0.08888888888888889</v>
      </c>
      <c r="T13" s="14" t="n">
        <v>0.08666666666666667</v>
      </c>
      <c r="U13" s="14" t="n">
        <v>0.08444444444444445</v>
      </c>
      <c r="V13" s="14" t="n">
        <v>0.08222222222222222</v>
      </c>
      <c r="W13" s="14" t="n">
        <v>0.08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0.1</v>
      </c>
      <c r="E14" s="14" t="n">
        <v>0.098</v>
      </c>
      <c r="F14" s="14" t="n">
        <v>0.09600000000000002</v>
      </c>
      <c r="G14" s="14" t="n">
        <v>0.094</v>
      </c>
      <c r="H14" s="14" t="n">
        <v>0.092</v>
      </c>
      <c r="I14" s="14" t="n">
        <v>0.09</v>
      </c>
      <c r="J14" s="14" t="n">
        <v>0.08800000000000001</v>
      </c>
      <c r="K14" s="14" t="n">
        <v>0.08599999999999999</v>
      </c>
      <c r="L14" s="14" t="n">
        <v>0.08399999999999999</v>
      </c>
      <c r="M14" s="14" t="n">
        <v>0.082</v>
      </c>
      <c r="N14" s="14" t="n">
        <v>0.08</v>
      </c>
      <c r="O14" s="14" t="n">
        <v>0.07888888888888888</v>
      </c>
      <c r="P14" s="14" t="n">
        <v>0.07777777777777778</v>
      </c>
      <c r="Q14" s="14" t="n">
        <v>0.07666666666666667</v>
      </c>
      <c r="R14" s="14" t="n">
        <v>0.07555555555555556</v>
      </c>
      <c r="S14" s="14" t="n">
        <v>0.07444444444444445</v>
      </c>
      <c r="T14" s="14" t="n">
        <v>0.07333333333333333</v>
      </c>
      <c r="U14" s="14" t="n">
        <v>0.07222222222222223</v>
      </c>
      <c r="V14" s="14" t="n">
        <v>0.07111111111111112</v>
      </c>
      <c r="W14" s="14" t="n">
        <v>0.07000000000000001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183375.625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0.000395</v>
      </c>
      <c r="D17" s="14" t="n">
        <v>0.14</v>
      </c>
      <c r="E17" s="14" t="n">
        <v>0.136</v>
      </c>
      <c r="F17" s="14" t="n">
        <v>0.132</v>
      </c>
      <c r="G17" s="14" t="n">
        <v>0.128</v>
      </c>
      <c r="H17" s="14" t="n">
        <v>0.124</v>
      </c>
      <c r="I17" s="14" t="n">
        <v>0.12</v>
      </c>
      <c r="J17" s="14" t="n">
        <v>0.116</v>
      </c>
      <c r="K17" s="14" t="n">
        <v>0.112</v>
      </c>
      <c r="L17" s="14" t="n">
        <v>0.108</v>
      </c>
      <c r="M17" s="14" t="n">
        <v>0.104</v>
      </c>
      <c r="N17" s="14" t="n">
        <v>0.1</v>
      </c>
      <c r="O17" s="14" t="n">
        <v>0.09777777777777778</v>
      </c>
      <c r="P17" s="14" t="n">
        <v>0.09555555555555556</v>
      </c>
      <c r="Q17" s="14" t="n">
        <v>0.09333333333333335</v>
      </c>
      <c r="R17" s="14" t="n">
        <v>0.09111111111111111</v>
      </c>
      <c r="S17" s="14" t="n">
        <v>0.08888888888888889</v>
      </c>
      <c r="T17" s="14" t="n">
        <v>0.08666666666666667</v>
      </c>
      <c r="U17" s="14" t="n">
        <v>0.08444444444444445</v>
      </c>
      <c r="V17" s="14" t="n">
        <v>0.08222222222222222</v>
      </c>
      <c r="W17" s="14" t="n">
        <v>0.08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0.161361</v>
      </c>
      <c r="D22" s="14" t="n">
        <v>0.161361</v>
      </c>
      <c r="E22" s="14" t="n">
        <v>0.161361</v>
      </c>
      <c r="F22" s="14" t="n">
        <v>0.161361</v>
      </c>
      <c r="G22" s="14" t="n">
        <v>0.161361</v>
      </c>
      <c r="H22" s="14" t="n">
        <v>0.161361</v>
      </c>
      <c r="I22" s="14" t="n">
        <v>0.161361</v>
      </c>
      <c r="J22" s="14" t="n">
        <v>0.161361</v>
      </c>
      <c r="K22" s="14" t="n">
        <v>0.161361</v>
      </c>
      <c r="L22" s="14" t="n">
        <v>0.161361</v>
      </c>
      <c r="M22" s="14" t="n">
        <v>0.161361</v>
      </c>
      <c r="N22" s="14" t="n">
        <v>0.161361</v>
      </c>
      <c r="O22" s="14" t="n">
        <v>0.161361</v>
      </c>
      <c r="P22" s="14" t="n">
        <v>0.161361</v>
      </c>
      <c r="Q22" s="14" t="n">
        <v>0.161361</v>
      </c>
      <c r="R22" s="14" t="n">
        <v>0.161361</v>
      </c>
      <c r="S22" s="14" t="n">
        <v>0.161361</v>
      </c>
      <c r="T22" s="14" t="n">
        <v>0.161361</v>
      </c>
      <c r="U22" s="14" t="n">
        <v>0.161361</v>
      </c>
      <c r="V22" s="14" t="n">
        <v>0.161361</v>
      </c>
      <c r="W22" s="14" t="n">
        <v>0.161361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2100000</v>
      </c>
      <c r="D7" s="31" t="n">
        <v>1120000</v>
      </c>
      <c r="E7" s="31" t="n">
        <v>1153824</v>
      </c>
      <c r="F7" s="31" t="n">
        <v>1188096</v>
      </c>
      <c r="G7" s="31" t="n">
        <v>1222816</v>
      </c>
      <c r="H7" s="31" t="n">
        <v>1257984</v>
      </c>
      <c r="I7" s="31" t="n">
        <v>1293600</v>
      </c>
      <c r="J7" s="31" t="n">
        <v>1329664</v>
      </c>
      <c r="K7" s="31" t="n">
        <v>1366176</v>
      </c>
      <c r="L7" s="31" t="n">
        <v>1403136</v>
      </c>
      <c r="M7" s="31" t="n">
        <v>1440544</v>
      </c>
      <c r="N7" s="31" t="n">
        <v>1478400</v>
      </c>
      <c r="O7" s="31" t="n">
        <v>1493333.333318</v>
      </c>
      <c r="P7" s="31" t="n">
        <v>1508266.666637</v>
      </c>
      <c r="Q7" s="31" t="n">
        <v>1523200.000022</v>
      </c>
      <c r="R7" s="31" t="n">
        <v>1538133.333341</v>
      </c>
      <c r="S7" s="31" t="n">
        <v>1553066.666659</v>
      </c>
      <c r="T7" s="31" t="n">
        <v>1567999.999978</v>
      </c>
      <c r="U7" s="31" t="n">
        <v>1582933.333363</v>
      </c>
      <c r="V7" s="31" t="n">
        <v>1597866.666682</v>
      </c>
      <c r="W7" s="31" t="n">
        <v>1612800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549609.9</v>
      </c>
      <c r="D8" s="31" t="n">
        <v>280000</v>
      </c>
      <c r="E8" s="31" t="n">
        <v>284994.528</v>
      </c>
      <c r="F8" s="31" t="n">
        <v>289895.424</v>
      </c>
      <c r="G8" s="31" t="n">
        <v>294698.656</v>
      </c>
      <c r="H8" s="31" t="n">
        <v>299400.192</v>
      </c>
      <c r="I8" s="31" t="n">
        <v>303996</v>
      </c>
      <c r="J8" s="31" t="n">
        <v>308482.048</v>
      </c>
      <c r="K8" s="31" t="n">
        <v>312854.304</v>
      </c>
      <c r="L8" s="31" t="n">
        <v>317108.736</v>
      </c>
      <c r="M8" s="31" t="n">
        <v>321241.312</v>
      </c>
      <c r="N8" s="31" t="n">
        <v>325248</v>
      </c>
      <c r="O8" s="31" t="n">
        <v>325214.814812</v>
      </c>
      <c r="P8" s="31" t="n">
        <v>325115.259253</v>
      </c>
      <c r="Q8" s="31" t="n">
        <v>324949.333338</v>
      </c>
      <c r="R8" s="31" t="n">
        <v>324717.037039</v>
      </c>
      <c r="S8" s="31" t="n">
        <v>324418.370369</v>
      </c>
      <c r="T8" s="31" t="n">
        <v>324053.333329</v>
      </c>
      <c r="U8" s="31" t="n">
        <v>323621.925932</v>
      </c>
      <c r="V8" s="31" t="n">
        <v>323124.148151</v>
      </c>
      <c r="W8" s="31" t="n">
        <v>322560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1550390.1</v>
      </c>
      <c r="D9" s="31" t="n">
        <v>840000</v>
      </c>
      <c r="E9" s="31" t="n">
        <v>868829.472</v>
      </c>
      <c r="F9" s="31" t="n">
        <v>898200.576</v>
      </c>
      <c r="G9" s="31" t="n">
        <v>928117.344</v>
      </c>
      <c r="H9" s="31" t="n">
        <v>958583.808</v>
      </c>
      <c r="I9" s="31" t="n">
        <v>989604</v>
      </c>
      <c r="J9" s="31" t="n">
        <v>1021181.952</v>
      </c>
      <c r="K9" s="31" t="n">
        <v>1053321.696</v>
      </c>
      <c r="L9" s="31" t="n">
        <v>1086027.264</v>
      </c>
      <c r="M9" s="31" t="n">
        <v>1119302.688</v>
      </c>
      <c r="N9" s="31" t="n">
        <v>1153152</v>
      </c>
      <c r="O9" s="31" t="n">
        <v>1168118.518507</v>
      </c>
      <c r="P9" s="31" t="n">
        <v>1183151.407384</v>
      </c>
      <c r="Q9" s="31" t="n">
        <v>1198250.666684</v>
      </c>
      <c r="R9" s="31" t="n">
        <v>1213416.296302</v>
      </c>
      <c r="S9" s="31" t="n">
        <v>1228648.29629</v>
      </c>
      <c r="T9" s="31" t="n">
        <v>1243946.666649</v>
      </c>
      <c r="U9" s="31" t="n">
        <v>1259311.407431</v>
      </c>
      <c r="V9" s="31" t="n">
        <v>1274742.51853</v>
      </c>
      <c r="W9" s="31" t="n">
        <v>1290240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378000</v>
      </c>
      <c r="D10" s="31" t="n">
        <v>156800</v>
      </c>
      <c r="E10" s="31" t="n">
        <v>156920.064</v>
      </c>
      <c r="F10" s="31" t="n">
        <v>156828.672</v>
      </c>
      <c r="G10" s="31" t="n">
        <v>156520.448</v>
      </c>
      <c r="H10" s="31" t="n">
        <v>155990.016</v>
      </c>
      <c r="I10" s="31" t="n">
        <v>155232</v>
      </c>
      <c r="J10" s="31" t="n">
        <v>154241.024</v>
      </c>
      <c r="K10" s="31" t="n">
        <v>153011.712</v>
      </c>
      <c r="L10" s="31" t="n">
        <v>151538.688</v>
      </c>
      <c r="M10" s="31" t="n">
        <v>149816.576</v>
      </c>
      <c r="N10" s="31" t="n">
        <v>147840</v>
      </c>
      <c r="O10" s="31" t="n">
        <v>146014.814813</v>
      </c>
      <c r="P10" s="31" t="n">
        <v>144123.259256</v>
      </c>
      <c r="Q10" s="31" t="n">
        <v>142165.333335</v>
      </c>
      <c r="R10" s="31" t="n">
        <v>140141.037038</v>
      </c>
      <c r="S10" s="31" t="n">
        <v>138050.37037</v>
      </c>
      <c r="T10" s="31" t="n">
        <v>135893.333331</v>
      </c>
      <c r="U10" s="31" t="n">
        <v>133669.925928</v>
      </c>
      <c r="V10" s="31" t="n">
        <v>131380.148149</v>
      </c>
      <c r="W10" s="31" t="n">
        <v>129024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112000</v>
      </c>
      <c r="E11" s="31" t="n">
        <v>113074.752</v>
      </c>
      <c r="F11" s="31" t="n">
        <v>114057.216</v>
      </c>
      <c r="G11" s="31" t="n">
        <v>114944.704</v>
      </c>
      <c r="H11" s="31" t="n">
        <v>115734.528</v>
      </c>
      <c r="I11" s="31" t="n">
        <v>116424</v>
      </c>
      <c r="J11" s="31" t="n">
        <v>117010.432</v>
      </c>
      <c r="K11" s="31" t="n">
        <v>117491.136</v>
      </c>
      <c r="L11" s="31" t="n">
        <v>117863.424</v>
      </c>
      <c r="M11" s="31" t="n">
        <v>118124.608</v>
      </c>
      <c r="N11" s="31" t="n">
        <v>118272</v>
      </c>
      <c r="O11" s="31" t="n">
        <v>117807.407406</v>
      </c>
      <c r="P11" s="31" t="n">
        <v>117309.629627</v>
      </c>
      <c r="Q11" s="31" t="n">
        <v>116778.666668</v>
      </c>
      <c r="R11" s="31" t="n">
        <v>116214.518519</v>
      </c>
      <c r="S11" s="31" t="n">
        <v>115617.185185</v>
      </c>
      <c r="T11" s="31" t="n">
        <v>114986.666665</v>
      </c>
      <c r="U11" s="31" t="n">
        <v>114322.962965</v>
      </c>
      <c r="V11" s="31" t="n">
        <v>113626.074075</v>
      </c>
      <c r="W11" s="31" t="n">
        <v>112896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24000</v>
      </c>
      <c r="D12" s="31" t="n">
        <v>24000</v>
      </c>
      <c r="E12" s="31" t="n">
        <v>24000</v>
      </c>
      <c r="F12" s="31" t="n">
        <v>24000</v>
      </c>
      <c r="G12" s="31" t="n">
        <v>24000</v>
      </c>
      <c r="H12" s="31" t="n">
        <v>24000</v>
      </c>
      <c r="I12" s="31" t="n">
        <v>24000</v>
      </c>
      <c r="J12" s="31" t="n">
        <v>24000</v>
      </c>
      <c r="K12" s="31" t="n">
        <v>24000</v>
      </c>
      <c r="L12" s="31" t="n">
        <v>24000</v>
      </c>
      <c r="M12" s="31" t="n">
        <v>24000</v>
      </c>
      <c r="N12" s="31" t="n">
        <v>24000</v>
      </c>
      <c r="O12" s="31" t="n">
        <v>24000</v>
      </c>
      <c r="P12" s="31" t="n">
        <v>24000</v>
      </c>
      <c r="Q12" s="31" t="n">
        <v>24000</v>
      </c>
      <c r="R12" s="31" t="n">
        <v>24000</v>
      </c>
      <c r="S12" s="31" t="n">
        <v>24000</v>
      </c>
      <c r="T12" s="31" t="n">
        <v>24000</v>
      </c>
      <c r="U12" s="31" t="n">
        <v>24000</v>
      </c>
      <c r="V12" s="31" t="n">
        <v>24000</v>
      </c>
      <c r="W12" s="31" t="n">
        <v>24000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183375.625</v>
      </c>
      <c r="D13" s="31" t="n">
        <v>395654</v>
      </c>
      <c r="E13" s="31" t="n">
        <v>395654</v>
      </c>
      <c r="F13" s="31" t="n">
        <v>395654</v>
      </c>
      <c r="G13" s="31" t="n">
        <v>395654</v>
      </c>
      <c r="H13" s="31" t="n">
        <v>407523</v>
      </c>
      <c r="I13" s="31" t="n">
        <v>407523</v>
      </c>
      <c r="J13" s="31" t="n">
        <v>407523</v>
      </c>
      <c r="K13" s="31" t="n">
        <v>407523</v>
      </c>
      <c r="L13" s="31" t="n">
        <v>419748</v>
      </c>
      <c r="M13" s="31" t="n">
        <v>419748</v>
      </c>
      <c r="N13" s="31" t="n">
        <v>419748</v>
      </c>
      <c r="O13" s="31" t="n">
        <v>419748</v>
      </c>
      <c r="P13" s="31" t="n">
        <v>432341</v>
      </c>
      <c r="Q13" s="31" t="n">
        <v>432341</v>
      </c>
      <c r="R13" s="31" t="n">
        <v>432341</v>
      </c>
      <c r="S13" s="31" t="n">
        <v>432341</v>
      </c>
      <c r="T13" s="31" t="n">
        <v>445311</v>
      </c>
      <c r="U13" s="31" t="n">
        <v>445311</v>
      </c>
      <c r="V13" s="31" t="n">
        <v>445311</v>
      </c>
      <c r="W13" s="31" t="n">
        <v>445311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829.5</v>
      </c>
      <c r="D14" s="31" t="n">
        <v>156800</v>
      </c>
      <c r="E14" s="31" t="n">
        <v>156920.064</v>
      </c>
      <c r="F14" s="31" t="n">
        <v>156828.672</v>
      </c>
      <c r="G14" s="31" t="n">
        <v>156520.448</v>
      </c>
      <c r="H14" s="31" t="n">
        <v>155990.016</v>
      </c>
      <c r="I14" s="31" t="n">
        <v>155232</v>
      </c>
      <c r="J14" s="31" t="n">
        <v>154241.024</v>
      </c>
      <c r="K14" s="31" t="n">
        <v>153011.712</v>
      </c>
      <c r="L14" s="31" t="n">
        <v>151538.688</v>
      </c>
      <c r="M14" s="31" t="n">
        <v>149816.576</v>
      </c>
      <c r="N14" s="31" t="n">
        <v>147840</v>
      </c>
      <c r="O14" s="31" t="n">
        <v>146014.814813</v>
      </c>
      <c r="P14" s="31" t="n">
        <v>144123.259256</v>
      </c>
      <c r="Q14" s="31" t="n">
        <v>142165.333335</v>
      </c>
      <c r="R14" s="31" t="n">
        <v>140141.037038</v>
      </c>
      <c r="S14" s="31" t="n">
        <v>138050.37037</v>
      </c>
      <c r="T14" s="31" t="n">
        <v>135893.333331</v>
      </c>
      <c r="U14" s="31" t="n">
        <v>133669.925928</v>
      </c>
      <c r="V14" s="31" t="n">
        <v>131380.148149</v>
      </c>
      <c r="W14" s="31" t="n">
        <v>129024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964184.975</v>
      </c>
      <c r="D15" s="31" t="n">
        <v>-5254</v>
      </c>
      <c r="E15" s="31" t="n">
        <v>22260.592</v>
      </c>
      <c r="F15" s="31" t="n">
        <v>50832.016</v>
      </c>
      <c r="G15" s="31" t="n">
        <v>80477.74400000001</v>
      </c>
      <c r="H15" s="31" t="n">
        <v>99346.24800000001</v>
      </c>
      <c r="I15" s="31" t="n">
        <v>131193</v>
      </c>
      <c r="J15" s="31" t="n">
        <v>164166.472</v>
      </c>
      <c r="K15" s="31" t="n">
        <v>198284.136</v>
      </c>
      <c r="L15" s="31" t="n">
        <v>221338.464</v>
      </c>
      <c r="M15" s="31" t="n">
        <v>257796.928</v>
      </c>
      <c r="N15" s="31" t="n">
        <v>295452</v>
      </c>
      <c r="O15" s="31" t="n">
        <v>314533.481474</v>
      </c>
      <c r="P15" s="31" t="n">
        <v>321254.259244</v>
      </c>
      <c r="Q15" s="31" t="n">
        <v>340800.333345</v>
      </c>
      <c r="R15" s="31" t="n">
        <v>360578.703708</v>
      </c>
      <c r="S15" s="31" t="n">
        <v>380589.370366</v>
      </c>
      <c r="T15" s="31" t="n">
        <v>387862.333321</v>
      </c>
      <c r="U15" s="31" t="n">
        <v>408337.592609</v>
      </c>
      <c r="V15" s="31" t="n">
        <v>429045.148157</v>
      </c>
      <c r="W15" s="31" t="n">
        <v>449985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7860.9375</v>
      </c>
      <c r="E16" s="31" t="n">
        <v>7457.8125</v>
      </c>
      <c r="F16" s="31" t="n">
        <v>7054.6875</v>
      </c>
      <c r="G16" s="31" t="n">
        <v>6651.5625</v>
      </c>
      <c r="H16" s="31" t="n">
        <v>6248.4375</v>
      </c>
      <c r="I16" s="31" t="n">
        <v>5845.3125</v>
      </c>
      <c r="J16" s="31" t="n">
        <v>4834.11375</v>
      </c>
      <c r="K16" s="31" t="n">
        <v>2901.64</v>
      </c>
      <c r="L16" s="31" t="n">
        <v>889.40125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40.2</v>
      </c>
      <c r="E17" s="31" t="n">
        <v>80.507228</v>
      </c>
      <c r="F17" s="31" t="n">
        <v>121.03969</v>
      </c>
      <c r="G17" s="31" t="n">
        <v>161.765962</v>
      </c>
      <c r="H17" s="31" t="n">
        <v>202.654434</v>
      </c>
      <c r="I17" s="31" t="n">
        <v>243.673355</v>
      </c>
      <c r="J17" s="31" t="n">
        <v>284.944901</v>
      </c>
      <c r="K17" s="31" t="n">
        <v>326.283894</v>
      </c>
      <c r="L17" s="31" t="n">
        <v>367.813242</v>
      </c>
      <c r="M17" s="31" t="n">
        <v>409.346266</v>
      </c>
      <c r="N17" s="31" t="n">
        <v>451.162567</v>
      </c>
      <c r="O17" s="31" t="n">
        <v>492.918611</v>
      </c>
      <c r="P17" s="31" t="n">
        <v>534.895232</v>
      </c>
      <c r="Q17" s="31" t="n">
        <v>576.903803</v>
      </c>
      <c r="R17" s="31" t="n">
        <v>618.911924</v>
      </c>
      <c r="S17" s="31" t="n">
        <v>661.044537</v>
      </c>
      <c r="T17" s="31" t="n">
        <v>703.268874</v>
      </c>
      <c r="U17" s="31" t="n">
        <v>745.551709</v>
      </c>
      <c r="V17" s="31" t="n">
        <v>787.701511</v>
      </c>
      <c r="W17" s="31" t="n">
        <v>830.000808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155581.851751</v>
      </c>
      <c r="D18" s="31" t="n">
        <v>0</v>
      </c>
      <c r="E18" s="31" t="n">
        <v>2375.600576</v>
      </c>
      <c r="F18" s="31" t="n">
        <v>7044.422419</v>
      </c>
      <c r="G18" s="31" t="n">
        <v>11886.563756</v>
      </c>
      <c r="H18" s="31" t="n">
        <v>14989.655278</v>
      </c>
      <c r="I18" s="31" t="n">
        <v>20186.908826</v>
      </c>
      <c r="J18" s="31" t="n">
        <v>25664.049665</v>
      </c>
      <c r="K18" s="31" t="n">
        <v>31474.465442</v>
      </c>
      <c r="L18" s="31" t="n">
        <v>35512.530502</v>
      </c>
      <c r="M18" s="31" t="n">
        <v>41532.317576</v>
      </c>
      <c r="N18" s="31" t="n">
        <v>47601.630129</v>
      </c>
      <c r="O18" s="31" t="n">
        <v>50673.899264</v>
      </c>
      <c r="P18" s="31" t="n">
        <v>51751.597296</v>
      </c>
      <c r="Q18" s="31" t="n">
        <v>54898.792814</v>
      </c>
      <c r="R18" s="31" t="n">
        <v>58083.471962</v>
      </c>
      <c r="S18" s="31" t="n">
        <v>61305.614584</v>
      </c>
      <c r="T18" s="31" t="n">
        <v>62472.373798</v>
      </c>
      <c r="U18" s="31" t="n">
        <v>65769.45931200001</v>
      </c>
      <c r="V18" s="31" t="n">
        <v>69104.049848</v>
      </c>
      <c r="W18" s="31" t="n">
        <v>72476.099825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808603.1232490001</v>
      </c>
      <c r="D19" s="31" t="n">
        <v>-13155.1375</v>
      </c>
      <c r="E19" s="31" t="n">
        <v>12346.671696</v>
      </c>
      <c r="F19" s="31" t="n">
        <v>36611.866391</v>
      </c>
      <c r="G19" s="31" t="n">
        <v>61777.851783</v>
      </c>
      <c r="H19" s="31" t="n">
        <v>77905.500788</v>
      </c>
      <c r="I19" s="31" t="n">
        <v>104917.105318</v>
      </c>
      <c r="J19" s="31" t="n">
        <v>133383.363684</v>
      </c>
      <c r="K19" s="31" t="n">
        <v>163581.746665</v>
      </c>
      <c r="L19" s="31" t="n">
        <v>184568.719007</v>
      </c>
      <c r="M19" s="31" t="n">
        <v>215855.264158</v>
      </c>
      <c r="N19" s="31" t="n">
        <v>247399.207304</v>
      </c>
      <c r="O19" s="31" t="n">
        <v>263366.663599</v>
      </c>
      <c r="P19" s="31" t="n">
        <v>268967.766715</v>
      </c>
      <c r="Q19" s="31" t="n">
        <v>285324.636728</v>
      </c>
      <c r="R19" s="31" t="n">
        <v>301876.319822</v>
      </c>
      <c r="S19" s="31" t="n">
        <v>318622.711245</v>
      </c>
      <c r="T19" s="31" t="n">
        <v>324686.690649</v>
      </c>
      <c r="U19" s="31" t="n">
        <v>341822.581589</v>
      </c>
      <c r="V19" s="31" t="n">
        <v>359153.396798</v>
      </c>
      <c r="W19" s="31" t="n">
        <v>376678.899367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250000</v>
      </c>
      <c r="D23" s="31" t="n">
        <v>562628.327717</v>
      </c>
      <c r="E23" s="31" t="n">
        <v>565781.607815</v>
      </c>
      <c r="F23" s="31" t="n">
        <v>579947.57708</v>
      </c>
      <c r="G23" s="31" t="n">
        <v>617928.740118</v>
      </c>
      <c r="H23" s="31" t="n">
        <v>677766.523375</v>
      </c>
      <c r="I23" s="31" t="n">
        <v>758649.44663</v>
      </c>
      <c r="J23" s="31" t="n">
        <v>776998.053128</v>
      </c>
      <c r="K23" s="31" t="n">
        <v>778594.043575</v>
      </c>
      <c r="L23" s="31" t="n">
        <v>787865.851809</v>
      </c>
      <c r="M23" s="31" t="n">
        <v>788497.700742</v>
      </c>
      <c r="N23" s="31" t="n">
        <v>788631.9494</v>
      </c>
      <c r="O23" s="31" t="n">
        <v>785865.96814</v>
      </c>
      <c r="P23" s="31" t="n">
        <v>791341.669511</v>
      </c>
      <c r="Q23" s="31" t="n">
        <v>788265.7453750001</v>
      </c>
      <c r="R23" s="31" t="n">
        <v>785036.024204</v>
      </c>
      <c r="S23" s="31" t="n">
        <v>781652.4657450001</v>
      </c>
      <c r="T23" s="31" t="n">
        <v>786757.780945</v>
      </c>
      <c r="U23" s="31" t="n">
        <v>783064.486971</v>
      </c>
      <c r="V23" s="31" t="n">
        <v>779214.087862</v>
      </c>
      <c r="W23" s="31" t="n">
        <v>775209.943533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100000</v>
      </c>
      <c r="D24" s="31" t="n">
        <v>365217.391304</v>
      </c>
      <c r="E24" s="31" t="n">
        <v>376246.956522</v>
      </c>
      <c r="F24" s="31" t="n">
        <v>396032</v>
      </c>
      <c r="G24" s="31" t="n">
        <v>403126.153846</v>
      </c>
      <c r="H24" s="31" t="n">
        <v>410212.173913</v>
      </c>
      <c r="I24" s="31" t="n">
        <v>421826.086957</v>
      </c>
      <c r="J24" s="31" t="n">
        <v>438350.769231</v>
      </c>
      <c r="K24" s="31" t="n">
        <v>450387.692308</v>
      </c>
      <c r="L24" s="31" t="n">
        <v>457544.347826</v>
      </c>
      <c r="M24" s="31" t="n">
        <v>469742.608696</v>
      </c>
      <c r="N24" s="31" t="n">
        <v>492800</v>
      </c>
      <c r="O24" s="31" t="n">
        <v>492307.692303</v>
      </c>
      <c r="P24" s="31" t="n">
        <v>491826.086947</v>
      </c>
      <c r="Q24" s="31" t="n">
        <v>496695.652181</v>
      </c>
      <c r="R24" s="31" t="n">
        <v>512711.111114</v>
      </c>
      <c r="S24" s="31" t="n">
        <v>511999.999998</v>
      </c>
      <c r="T24" s="31" t="n">
        <v>511304.347819</v>
      </c>
      <c r="U24" s="31" t="n">
        <v>516173.913053</v>
      </c>
      <c r="V24" s="31" t="n">
        <v>532622.222227</v>
      </c>
      <c r="W24" s="31" t="n">
        <v>531692.3076919999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350000</v>
      </c>
      <c r="D26" s="31" t="n">
        <v>983845.719022</v>
      </c>
      <c r="E26" s="31" t="n">
        <v>999719.764337</v>
      </c>
      <c r="F26" s="31" t="n">
        <v>1035384.37708</v>
      </c>
      <c r="G26" s="31" t="n">
        <v>1082195.693964</v>
      </c>
      <c r="H26" s="31" t="n">
        <v>1150877.897288</v>
      </c>
      <c r="I26" s="31" t="n">
        <v>1245155.533586</v>
      </c>
      <c r="J26" s="31" t="n">
        <v>1281832.022359</v>
      </c>
      <c r="K26" s="31" t="n">
        <v>1297290.535883</v>
      </c>
      <c r="L26" s="31" t="n">
        <v>1315566.999635</v>
      </c>
      <c r="M26" s="31" t="n">
        <v>1330267.509438</v>
      </c>
      <c r="N26" s="31" t="n">
        <v>1355351.9494</v>
      </c>
      <c r="O26" s="31" t="n">
        <v>1352840.327109</v>
      </c>
      <c r="P26" s="31" t="n">
        <v>1358581.08979</v>
      </c>
      <c r="Q26" s="31" t="n">
        <v>1361121.397557</v>
      </c>
      <c r="R26" s="31" t="n">
        <v>1374653.801984</v>
      </c>
      <c r="S26" s="31" t="n">
        <v>1371305.799076</v>
      </c>
      <c r="T26" s="31" t="n">
        <v>1376462.128763</v>
      </c>
      <c r="U26" s="31" t="n">
        <v>1378385.066692</v>
      </c>
      <c r="V26" s="31" t="n">
        <v>1391729.643424</v>
      </c>
      <c r="W26" s="31" t="n">
        <v>1387542.251226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150000</v>
      </c>
      <c r="D27" s="31" t="n">
        <v>150762.6</v>
      </c>
      <c r="E27" s="31" t="n">
        <v>151488.974207</v>
      </c>
      <c r="F27" s="31" t="n">
        <v>152178.703506</v>
      </c>
      <c r="G27" s="31" t="n">
        <v>152831.397965</v>
      </c>
      <c r="H27" s="31" t="n">
        <v>153446.697174</v>
      </c>
      <c r="I27" s="31" t="n">
        <v>154024.270542</v>
      </c>
      <c r="J27" s="31" t="n">
        <v>154563.663537</v>
      </c>
      <c r="K27" s="31" t="n">
        <v>155064.60437</v>
      </c>
      <c r="L27" s="31" t="n">
        <v>155526.696892</v>
      </c>
      <c r="M27" s="31" t="n">
        <v>155949.729508</v>
      </c>
      <c r="N27" s="31" t="n">
        <v>156333.209892</v>
      </c>
      <c r="O27" s="31" t="n">
        <v>156676.98662</v>
      </c>
      <c r="P27" s="31" t="n">
        <v>156980.62662</v>
      </c>
      <c r="Q27" s="31" t="n">
        <v>157243.883131</v>
      </c>
      <c r="R27" s="31" t="n">
        <v>157466.54047</v>
      </c>
      <c r="S27" s="31" t="n">
        <v>157648.256858</v>
      </c>
      <c r="T27" s="31" t="n">
        <v>157788.721455</v>
      </c>
      <c r="U27" s="31" t="n">
        <v>157887.654984</v>
      </c>
      <c r="V27" s="31" t="n">
        <v>157944.968202</v>
      </c>
      <c r="W27" s="31" t="n">
        <v>157960.288864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-40.2</v>
      </c>
      <c r="E28" s="31" t="n">
        <v>-120.707228</v>
      </c>
      <c r="F28" s="31" t="n">
        <v>-241.746919</v>
      </c>
      <c r="G28" s="31" t="n">
        <v>-403.512881</v>
      </c>
      <c r="H28" s="31" t="n">
        <v>-606.167314</v>
      </c>
      <c r="I28" s="31" t="n">
        <v>-849.840669</v>
      </c>
      <c r="J28" s="31" t="n">
        <v>-1134.78557</v>
      </c>
      <c r="K28" s="31" t="n">
        <v>-1461.069464</v>
      </c>
      <c r="L28" s="31" t="n">
        <v>-1828.882705</v>
      </c>
      <c r="M28" s="31" t="n">
        <v>-2238.228971</v>
      </c>
      <c r="N28" s="31" t="n">
        <v>-2689.391539</v>
      </c>
      <c r="O28" s="31" t="n">
        <v>-3182.31015</v>
      </c>
      <c r="P28" s="31" t="n">
        <v>-3717.205382</v>
      </c>
      <c r="Q28" s="31" t="n">
        <v>-4294.109185</v>
      </c>
      <c r="R28" s="31" t="n">
        <v>-4913.021109</v>
      </c>
      <c r="S28" s="31" t="n">
        <v>-5574.065646</v>
      </c>
      <c r="T28" s="31" t="n">
        <v>-6277.33452</v>
      </c>
      <c r="U28" s="31" t="n">
        <v>-7022.886228</v>
      </c>
      <c r="V28" s="31" t="n">
        <v>-7810.587739</v>
      </c>
      <c r="W28" s="31" t="n">
        <v>-8640.588546999999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500000</v>
      </c>
      <c r="D29" s="31" t="n">
        <v>1134608.319022</v>
      </c>
      <c r="E29" s="31" t="n">
        <v>1151208.738543</v>
      </c>
      <c r="F29" s="31" t="n">
        <v>1187563.080587</v>
      </c>
      <c r="G29" s="31" t="n">
        <v>1235027.09193</v>
      </c>
      <c r="H29" s="31" t="n">
        <v>1304324.594462</v>
      </c>
      <c r="I29" s="31" t="n">
        <v>1399179.804128</v>
      </c>
      <c r="J29" s="31" t="n">
        <v>1436395.685896</v>
      </c>
      <c r="K29" s="31" t="n">
        <v>1452355.140253</v>
      </c>
      <c r="L29" s="31" t="n">
        <v>1471093.696527</v>
      </c>
      <c r="M29" s="31" t="n">
        <v>1486217.238945</v>
      </c>
      <c r="N29" s="31" t="n">
        <v>1511685.159292</v>
      </c>
      <c r="O29" s="31" t="n">
        <v>1509517.313729</v>
      </c>
      <c r="P29" s="31" t="n">
        <v>1515561.71641</v>
      </c>
      <c r="Q29" s="31" t="n">
        <v>1518365.280688</v>
      </c>
      <c r="R29" s="31" t="n">
        <v>1532120.342454</v>
      </c>
      <c r="S29" s="31" t="n">
        <v>1528954.055934</v>
      </c>
      <c r="T29" s="31" t="n">
        <v>1534250.850218</v>
      </c>
      <c r="U29" s="31" t="n">
        <v>1536272.721676</v>
      </c>
      <c r="V29" s="31" t="n">
        <v>1549674.611626</v>
      </c>
      <c r="W29" s="31" t="n">
        <v>1545502.54009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20000</v>
      </c>
      <c r="D30" s="31" t="n">
        <v>413439.456522</v>
      </c>
      <c r="E30" s="31" t="n">
        <v>414082.604348</v>
      </c>
      <c r="F30" s="31" t="n">
        <v>423684.28</v>
      </c>
      <c r="G30" s="31" t="n">
        <v>419162.43956</v>
      </c>
      <c r="H30" s="31" t="n">
        <v>420279.241304</v>
      </c>
      <c r="I30" s="31" t="n">
        <v>419874.945652</v>
      </c>
      <c r="J30" s="31" t="n">
        <v>423798.863736</v>
      </c>
      <c r="K30" s="31" t="n">
        <v>422820.771429</v>
      </c>
      <c r="L30" s="31" t="n">
        <v>422945.608696</v>
      </c>
      <c r="M30" s="31" t="n">
        <v>421388.686957</v>
      </c>
      <c r="N30" s="31" t="n">
        <v>428850</v>
      </c>
      <c r="O30" s="31" t="n">
        <v>422102.49084</v>
      </c>
      <c r="P30" s="31" t="n">
        <v>421580.126808</v>
      </c>
      <c r="Q30" s="31" t="n">
        <v>419405.054351</v>
      </c>
      <c r="R30" s="31" t="n">
        <v>426418.796297</v>
      </c>
      <c r="S30" s="31" t="n">
        <v>419369.798534</v>
      </c>
      <c r="T30" s="31" t="n">
        <v>418736.902171</v>
      </c>
      <c r="U30" s="31" t="n">
        <v>416237.192033</v>
      </c>
      <c r="V30" s="31" t="n">
        <v>422848.685187</v>
      </c>
      <c r="W30" s="31" t="n">
        <v>415510.714286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56000</v>
      </c>
      <c r="E31" s="31" t="n">
        <v>57691.2</v>
      </c>
      <c r="F31" s="31" t="n">
        <v>59404.8</v>
      </c>
      <c r="G31" s="31" t="n">
        <v>61140.8</v>
      </c>
      <c r="H31" s="31" t="n">
        <v>62899.2</v>
      </c>
      <c r="I31" s="31" t="n">
        <v>64680</v>
      </c>
      <c r="J31" s="31" t="n">
        <v>66483.2</v>
      </c>
      <c r="K31" s="31" t="n">
        <v>68308.8</v>
      </c>
      <c r="L31" s="31" t="n">
        <v>70156.8</v>
      </c>
      <c r="M31" s="31" t="n">
        <v>72027.2</v>
      </c>
      <c r="N31" s="31" t="n">
        <v>73920</v>
      </c>
      <c r="O31" s="31" t="n">
        <v>74666.666666</v>
      </c>
      <c r="P31" s="31" t="n">
        <v>75413.33333199999</v>
      </c>
      <c r="Q31" s="31" t="n">
        <v>76160.00000099999</v>
      </c>
      <c r="R31" s="31" t="n">
        <v>76906.666667</v>
      </c>
      <c r="S31" s="31" t="n">
        <v>77653.333333</v>
      </c>
      <c r="T31" s="31" t="n">
        <v>78399.99999900001</v>
      </c>
      <c r="U31" s="31" t="n">
        <v>79146.66666800001</v>
      </c>
      <c r="V31" s="31" t="n">
        <v>79893.333334</v>
      </c>
      <c r="W31" s="31" t="n">
        <v>80640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60000</v>
      </c>
      <c r="E32" s="31" t="n">
        <v>60000</v>
      </c>
      <c r="F32" s="31" t="n">
        <v>105252</v>
      </c>
      <c r="G32" s="31" t="n">
        <v>173812</v>
      </c>
      <c r="H32" s="31" t="n">
        <v>225000</v>
      </c>
      <c r="I32" s="31" t="n">
        <v>210000</v>
      </c>
      <c r="J32" s="31" t="n">
        <v>149748</v>
      </c>
      <c r="K32" s="31" t="n">
        <v>66188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168000</v>
      </c>
      <c r="E33" s="31" t="n">
        <v>173073.6</v>
      </c>
      <c r="F33" s="31" t="n">
        <v>178214.4</v>
      </c>
      <c r="G33" s="31" t="n">
        <v>183422.4</v>
      </c>
      <c r="H33" s="31" t="n">
        <v>188697.6</v>
      </c>
      <c r="I33" s="31" t="n">
        <v>194040</v>
      </c>
      <c r="J33" s="31" t="n">
        <v>199449.6</v>
      </c>
      <c r="K33" s="31" t="n">
        <v>204926.4</v>
      </c>
      <c r="L33" s="31" t="n">
        <v>210470.4</v>
      </c>
      <c r="M33" s="31" t="n">
        <v>216081.6</v>
      </c>
      <c r="N33" s="31" t="n">
        <v>221760</v>
      </c>
      <c r="O33" s="31" t="n">
        <v>223999.999998</v>
      </c>
      <c r="P33" s="31" t="n">
        <v>226239.999996</v>
      </c>
      <c r="Q33" s="31" t="n">
        <v>228480.000003</v>
      </c>
      <c r="R33" s="31" t="n">
        <v>230720.000001</v>
      </c>
      <c r="S33" s="31" t="n">
        <v>232959.999999</v>
      </c>
      <c r="T33" s="31" t="n">
        <v>235199.999997</v>
      </c>
      <c r="U33" s="31" t="n">
        <v>237440.000004</v>
      </c>
      <c r="V33" s="31" t="n">
        <v>239680.000002</v>
      </c>
      <c r="W33" s="31" t="n">
        <v>241920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20000</v>
      </c>
      <c r="D34" s="31" t="n">
        <v>641439.456522</v>
      </c>
      <c r="E34" s="31" t="n">
        <v>647156.204348</v>
      </c>
      <c r="F34" s="31" t="n">
        <v>707150.6800000001</v>
      </c>
      <c r="G34" s="31" t="n">
        <v>776396.83956</v>
      </c>
      <c r="H34" s="31" t="n">
        <v>833976.841304</v>
      </c>
      <c r="I34" s="31" t="n">
        <v>823914.945652</v>
      </c>
      <c r="J34" s="31" t="n">
        <v>772996.463736</v>
      </c>
      <c r="K34" s="31" t="n">
        <v>693935.171429</v>
      </c>
      <c r="L34" s="31" t="n">
        <v>633416.008696</v>
      </c>
      <c r="M34" s="31" t="n">
        <v>637470.286957</v>
      </c>
      <c r="N34" s="31" t="n">
        <v>650610</v>
      </c>
      <c r="O34" s="31" t="n">
        <v>646102.490838</v>
      </c>
      <c r="P34" s="31" t="n">
        <v>647820.126803</v>
      </c>
      <c r="Q34" s="31" t="n">
        <v>647885.054354</v>
      </c>
      <c r="R34" s="31" t="n">
        <v>657138.796298</v>
      </c>
      <c r="S34" s="31" t="n">
        <v>652329.7985330001</v>
      </c>
      <c r="T34" s="31" t="n">
        <v>653936.902168</v>
      </c>
      <c r="U34" s="31" t="n">
        <v>653677.192037</v>
      </c>
      <c r="V34" s="31" t="n">
        <v>662528.685189</v>
      </c>
      <c r="W34" s="31" t="n">
        <v>657430.714286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300000</v>
      </c>
      <c r="D35" s="31" t="n">
        <v>225000</v>
      </c>
      <c r="E35" s="31" t="n">
        <v>210000</v>
      </c>
      <c r="F35" s="31" t="n">
        <v>149748</v>
      </c>
      <c r="G35" s="31" t="n">
        <v>66188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320000</v>
      </c>
      <c r="D36" s="31" t="n">
        <v>866439.456522</v>
      </c>
      <c r="E36" s="31" t="n">
        <v>857156.204348</v>
      </c>
      <c r="F36" s="31" t="n">
        <v>856898.6800000001</v>
      </c>
      <c r="G36" s="31" t="n">
        <v>842584.83956</v>
      </c>
      <c r="H36" s="31" t="n">
        <v>833976.841304</v>
      </c>
      <c r="I36" s="31" t="n">
        <v>823914.945652</v>
      </c>
      <c r="J36" s="31" t="n">
        <v>772996.463736</v>
      </c>
      <c r="K36" s="31" t="n">
        <v>693935.171429</v>
      </c>
      <c r="L36" s="31" t="n">
        <v>633416.008696</v>
      </c>
      <c r="M36" s="31" t="n">
        <v>637470.286957</v>
      </c>
      <c r="N36" s="31" t="n">
        <v>650610</v>
      </c>
      <c r="O36" s="31" t="n">
        <v>646102.490838</v>
      </c>
      <c r="P36" s="31" t="n">
        <v>647820.126803</v>
      </c>
      <c r="Q36" s="31" t="n">
        <v>647885.054354</v>
      </c>
      <c r="R36" s="31" t="n">
        <v>657138.796298</v>
      </c>
      <c r="S36" s="31" t="n">
        <v>652329.7985330001</v>
      </c>
      <c r="T36" s="31" t="n">
        <v>653936.902168</v>
      </c>
      <c r="U36" s="31" t="n">
        <v>653677.192037</v>
      </c>
      <c r="V36" s="31" t="n">
        <v>662528.685189</v>
      </c>
      <c r="W36" s="31" t="n">
        <v>657430.714286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1200000</v>
      </c>
      <c r="D37" s="31" t="n">
        <v>1301324</v>
      </c>
      <c r="E37" s="31" t="n">
        <v>1314861</v>
      </c>
      <c r="F37" s="31" t="n">
        <v>1314861</v>
      </c>
      <c r="G37" s="31" t="n">
        <v>1314861</v>
      </c>
      <c r="H37" s="31" t="n">
        <v>1314861</v>
      </c>
      <c r="I37" s="31" t="n">
        <v>1314861</v>
      </c>
      <c r="J37" s="31" t="n">
        <v>1314861</v>
      </c>
      <c r="K37" s="31" t="n">
        <v>1314861</v>
      </c>
      <c r="L37" s="31" t="n">
        <v>1314861</v>
      </c>
      <c r="M37" s="31" t="n">
        <v>1314861</v>
      </c>
      <c r="N37" s="31" t="n">
        <v>1314861</v>
      </c>
      <c r="O37" s="31" t="n">
        <v>1314861</v>
      </c>
      <c r="P37" s="31" t="n">
        <v>1314861</v>
      </c>
      <c r="Q37" s="31" t="n">
        <v>1314861</v>
      </c>
      <c r="R37" s="31" t="n">
        <v>1314861</v>
      </c>
      <c r="S37" s="31" t="n">
        <v>1314861</v>
      </c>
      <c r="T37" s="31" t="n">
        <v>1314861</v>
      </c>
      <c r="U37" s="31" t="n">
        <v>1314861</v>
      </c>
      <c r="V37" s="31" t="n">
        <v>1314861</v>
      </c>
      <c r="W37" s="31" t="n">
        <v>1314861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-1020000</v>
      </c>
      <c r="D38" s="31" t="n">
        <v>-1033155.1375</v>
      </c>
      <c r="E38" s="31" t="n">
        <v>-1020808.465804</v>
      </c>
      <c r="F38" s="31" t="n">
        <v>-984196.599413</v>
      </c>
      <c r="G38" s="31" t="n">
        <v>-922418.747631</v>
      </c>
      <c r="H38" s="31" t="n">
        <v>-844513.2468429999</v>
      </c>
      <c r="I38" s="31" t="n">
        <v>-739596.141524</v>
      </c>
      <c r="J38" s="31" t="n">
        <v>-651461.77784</v>
      </c>
      <c r="K38" s="31" t="n">
        <v>-556441.031176</v>
      </c>
      <c r="L38" s="31" t="n">
        <v>-477183.312169</v>
      </c>
      <c r="M38" s="31" t="n">
        <v>-466114.048011</v>
      </c>
      <c r="N38" s="31" t="n">
        <v>-453785.840708</v>
      </c>
      <c r="O38" s="31" t="n">
        <v>-451446.177109</v>
      </c>
      <c r="P38" s="31" t="n">
        <v>-447119.410394</v>
      </c>
      <c r="Q38" s="31" t="n">
        <v>-444380.773666</v>
      </c>
      <c r="R38" s="31" t="n">
        <v>-439879.453844</v>
      </c>
      <c r="S38" s="31" t="n">
        <v>-438236.742599</v>
      </c>
      <c r="T38" s="31" t="n">
        <v>-434547.05195</v>
      </c>
      <c r="U38" s="31" t="n">
        <v>-432265.470361</v>
      </c>
      <c r="V38" s="31" t="n">
        <v>-427715.073564</v>
      </c>
      <c r="W38" s="31" t="n">
        <v>-426789.174196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180000</v>
      </c>
      <c r="D40" s="31" t="n">
        <v>268168.8625</v>
      </c>
      <c r="E40" s="31" t="n">
        <v>294052.534196</v>
      </c>
      <c r="F40" s="31" t="n">
        <v>330664.400587</v>
      </c>
      <c r="G40" s="31" t="n">
        <v>392442.252369</v>
      </c>
      <c r="H40" s="31" t="n">
        <v>470347.753157</v>
      </c>
      <c r="I40" s="31" t="n">
        <v>575264.858476</v>
      </c>
      <c r="J40" s="31" t="n">
        <v>663399.22216</v>
      </c>
      <c r="K40" s="31" t="n">
        <v>758419.968824</v>
      </c>
      <c r="L40" s="31" t="n">
        <v>837677.687831</v>
      </c>
      <c r="M40" s="31" t="n">
        <v>848746.951989</v>
      </c>
      <c r="N40" s="31" t="n">
        <v>861075.159292</v>
      </c>
      <c r="O40" s="31" t="n">
        <v>863414.822891</v>
      </c>
      <c r="P40" s="31" t="n">
        <v>867741.589606</v>
      </c>
      <c r="Q40" s="31" t="n">
        <v>870480.226334</v>
      </c>
      <c r="R40" s="31" t="n">
        <v>874981.546156</v>
      </c>
      <c r="S40" s="31" t="n">
        <v>876624.257401</v>
      </c>
      <c r="T40" s="31" t="n">
        <v>880313.94805</v>
      </c>
      <c r="U40" s="31" t="n">
        <v>882595.529639</v>
      </c>
      <c r="V40" s="31" t="n">
        <v>887145.926436</v>
      </c>
      <c r="W40" s="31" t="n">
        <v>888071.825804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500000</v>
      </c>
      <c r="D41" s="31" t="n">
        <v>1134608.319022</v>
      </c>
      <c r="E41" s="31" t="n">
        <v>1151208.738543</v>
      </c>
      <c r="F41" s="31" t="n">
        <v>1187563.080587</v>
      </c>
      <c r="G41" s="31" t="n">
        <v>1235027.09193</v>
      </c>
      <c r="H41" s="31" t="n">
        <v>1304324.594462</v>
      </c>
      <c r="I41" s="31" t="n">
        <v>1399179.804128</v>
      </c>
      <c r="J41" s="31" t="n">
        <v>1436395.685896</v>
      </c>
      <c r="K41" s="31" t="n">
        <v>1452355.140253</v>
      </c>
      <c r="L41" s="31" t="n">
        <v>1471093.696527</v>
      </c>
      <c r="M41" s="31" t="n">
        <v>1486217.238945</v>
      </c>
      <c r="N41" s="31" t="n">
        <v>1511685.159292</v>
      </c>
      <c r="O41" s="31" t="n">
        <v>1509517.313729</v>
      </c>
      <c r="P41" s="31" t="n">
        <v>1515561.71641</v>
      </c>
      <c r="Q41" s="31" t="n">
        <v>1518365.280688</v>
      </c>
      <c r="R41" s="31" t="n">
        <v>1532120.342454</v>
      </c>
      <c r="S41" s="31" t="n">
        <v>1528954.055934</v>
      </c>
      <c r="T41" s="31" t="n">
        <v>1534250.850218</v>
      </c>
      <c r="U41" s="31" t="n">
        <v>1536272.721676</v>
      </c>
      <c r="V41" s="31" t="n">
        <v>1549674.611626</v>
      </c>
      <c r="W41" s="31" t="n">
        <v>1545502.54009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250000</v>
      </c>
      <c r="D45" s="31" t="n">
        <v>250000</v>
      </c>
      <c r="E45" s="31" t="n">
        <v>562628.327717</v>
      </c>
      <c r="F45" s="31" t="n">
        <v>565781.607815</v>
      </c>
      <c r="G45" s="31" t="n">
        <v>579947.57708</v>
      </c>
      <c r="H45" s="31" t="n">
        <v>617928.740118</v>
      </c>
      <c r="I45" s="31" t="n">
        <v>677766.523375</v>
      </c>
      <c r="J45" s="31" t="n">
        <v>758649.44663</v>
      </c>
      <c r="K45" s="31" t="n">
        <v>776998.053128</v>
      </c>
      <c r="L45" s="31" t="n">
        <v>778594.043575</v>
      </c>
      <c r="M45" s="31" t="n">
        <v>787865.851809</v>
      </c>
      <c r="N45" s="31" t="n">
        <v>788497.700742</v>
      </c>
      <c r="O45" s="31" t="n">
        <v>788631.9494</v>
      </c>
      <c r="P45" s="31" t="n">
        <v>785865.96814</v>
      </c>
      <c r="Q45" s="31" t="n">
        <v>791341.669511</v>
      </c>
      <c r="R45" s="31" t="n">
        <v>788265.7453750001</v>
      </c>
      <c r="S45" s="31" t="n">
        <v>785036.024204</v>
      </c>
      <c r="T45" s="31" t="n">
        <v>781652.4657450001</v>
      </c>
      <c r="U45" s="31" t="n">
        <v>786757.780945</v>
      </c>
      <c r="V45" s="31" t="n">
        <v>783064.486971</v>
      </c>
      <c r="W45" s="31" t="n">
        <v>779214.087862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808603.1232490001</v>
      </c>
      <c r="D46" s="31" t="n">
        <v>-13155.1375</v>
      </c>
      <c r="E46" s="31" t="n">
        <v>12346.671696</v>
      </c>
      <c r="F46" s="31" t="n">
        <v>36611.866391</v>
      </c>
      <c r="G46" s="31" t="n">
        <v>61777.851783</v>
      </c>
      <c r="H46" s="31" t="n">
        <v>77905.500788</v>
      </c>
      <c r="I46" s="31" t="n">
        <v>104917.105318</v>
      </c>
      <c r="J46" s="31" t="n">
        <v>133383.363684</v>
      </c>
      <c r="K46" s="31" t="n">
        <v>163581.746665</v>
      </c>
      <c r="L46" s="31" t="n">
        <v>184568.719007</v>
      </c>
      <c r="M46" s="31" t="n">
        <v>215855.264158</v>
      </c>
      <c r="N46" s="31" t="n">
        <v>247399.207304</v>
      </c>
      <c r="O46" s="31" t="n">
        <v>263366.663599</v>
      </c>
      <c r="P46" s="31" t="n">
        <v>268967.766715</v>
      </c>
      <c r="Q46" s="31" t="n">
        <v>285324.636728</v>
      </c>
      <c r="R46" s="31" t="n">
        <v>301876.319822</v>
      </c>
      <c r="S46" s="31" t="n">
        <v>318622.711245</v>
      </c>
      <c r="T46" s="31" t="n">
        <v>324686.690649</v>
      </c>
      <c r="U46" s="31" t="n">
        <v>341822.581589</v>
      </c>
      <c r="V46" s="31" t="n">
        <v>359153.396798</v>
      </c>
      <c r="W46" s="31" t="n">
        <v>376678.899367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40.2</v>
      </c>
      <c r="E47" s="31" t="n">
        <v>80.507228</v>
      </c>
      <c r="F47" s="31" t="n">
        <v>121.03969</v>
      </c>
      <c r="G47" s="31" t="n">
        <v>161.765962</v>
      </c>
      <c r="H47" s="31" t="n">
        <v>202.654434</v>
      </c>
      <c r="I47" s="31" t="n">
        <v>243.673355</v>
      </c>
      <c r="J47" s="31" t="n">
        <v>284.944901</v>
      </c>
      <c r="K47" s="31" t="n">
        <v>326.283894</v>
      </c>
      <c r="L47" s="31" t="n">
        <v>367.813242</v>
      </c>
      <c r="M47" s="31" t="n">
        <v>409.346266</v>
      </c>
      <c r="N47" s="31" t="n">
        <v>451.162567</v>
      </c>
      <c r="O47" s="31" t="n">
        <v>492.918611</v>
      </c>
      <c r="P47" s="31" t="n">
        <v>534.895232</v>
      </c>
      <c r="Q47" s="31" t="n">
        <v>576.903803</v>
      </c>
      <c r="R47" s="31" t="n">
        <v>618.911924</v>
      </c>
      <c r="S47" s="31" t="n">
        <v>661.044537</v>
      </c>
      <c r="T47" s="31" t="n">
        <v>703.268874</v>
      </c>
      <c r="U47" s="31" t="n">
        <v>745.551709</v>
      </c>
      <c r="V47" s="31" t="n">
        <v>787.701511</v>
      </c>
      <c r="W47" s="31" t="n">
        <v>830.000808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-321217.391304</v>
      </c>
      <c r="E48" s="31" t="n">
        <v>-12720.765217</v>
      </c>
      <c r="F48" s="31" t="n">
        <v>-21498.643478</v>
      </c>
      <c r="G48" s="31" t="n">
        <v>-8830.153845999999</v>
      </c>
      <c r="H48" s="31" t="n">
        <v>-8844.420066999999</v>
      </c>
      <c r="I48" s="31" t="n">
        <v>-13394.713043</v>
      </c>
      <c r="J48" s="31" t="n">
        <v>-18327.882274</v>
      </c>
      <c r="K48" s="31" t="n">
        <v>-13862.523077</v>
      </c>
      <c r="L48" s="31" t="n">
        <v>-9004.655518</v>
      </c>
      <c r="M48" s="31" t="n">
        <v>-14068.66087</v>
      </c>
      <c r="N48" s="31" t="n">
        <v>-24950.191304</v>
      </c>
      <c r="O48" s="31" t="n">
        <v>-254.358969</v>
      </c>
      <c r="P48" s="31" t="n">
        <v>-265.06131</v>
      </c>
      <c r="Q48" s="31" t="n">
        <v>-5616.231904</v>
      </c>
      <c r="R48" s="31" t="n">
        <v>-16762.125598</v>
      </c>
      <c r="S48" s="31" t="n">
        <v>-35.55555</v>
      </c>
      <c r="T48" s="31" t="n">
        <v>-51.014487</v>
      </c>
      <c r="U48" s="31" t="n">
        <v>-5616.231904</v>
      </c>
      <c r="V48" s="31" t="n">
        <v>-17194.97584</v>
      </c>
      <c r="W48" s="31" t="n">
        <v>183.247869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561439.456522</v>
      </c>
      <c r="E49" s="31" t="n">
        <v>5716.747826</v>
      </c>
      <c r="F49" s="31" t="n">
        <v>14742.475652</v>
      </c>
      <c r="G49" s="31" t="n">
        <v>686.1595600000001</v>
      </c>
      <c r="H49" s="31" t="n">
        <v>6392.001744</v>
      </c>
      <c r="I49" s="31" t="n">
        <v>4938.104348</v>
      </c>
      <c r="J49" s="31" t="n">
        <v>9333.518083999999</v>
      </c>
      <c r="K49" s="31" t="n">
        <v>4498.707692</v>
      </c>
      <c r="L49" s="31" t="n">
        <v>5668.837267</v>
      </c>
      <c r="M49" s="31" t="n">
        <v>4054.278261</v>
      </c>
      <c r="N49" s="31" t="n">
        <v>13139.713043</v>
      </c>
      <c r="O49" s="31" t="n">
        <v>-4507.509162</v>
      </c>
      <c r="P49" s="31" t="n">
        <v>1717.635965</v>
      </c>
      <c r="Q49" s="31" t="n">
        <v>64.92755099999999</v>
      </c>
      <c r="R49" s="31" t="n">
        <v>9253.741943999999</v>
      </c>
      <c r="S49" s="31" t="n">
        <v>-4808.997766</v>
      </c>
      <c r="T49" s="31" t="n">
        <v>1607.103635</v>
      </c>
      <c r="U49" s="31" t="n">
        <v>-259.710131</v>
      </c>
      <c r="V49" s="31" t="n">
        <v>8851.493151999999</v>
      </c>
      <c r="W49" s="31" t="n">
        <v>-5097.970903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227107.127717</v>
      </c>
      <c r="E50" s="31" t="n">
        <v>5423.161533</v>
      </c>
      <c r="F50" s="31" t="n">
        <v>29976.738255</v>
      </c>
      <c r="G50" s="31" t="n">
        <v>53795.623459</v>
      </c>
      <c r="H50" s="31" t="n">
        <v>75655.736899</v>
      </c>
      <c r="I50" s="31" t="n">
        <v>96704.16997800001</v>
      </c>
      <c r="J50" s="31" t="n">
        <v>124673.944394</v>
      </c>
      <c r="K50" s="31" t="n">
        <v>154544.215174</v>
      </c>
      <c r="L50" s="31" t="n">
        <v>181600.713997</v>
      </c>
      <c r="M50" s="31" t="n">
        <v>206250.227815</v>
      </c>
      <c r="N50" s="31" t="n">
        <v>236039.89161</v>
      </c>
      <c r="O50" s="31" t="n">
        <v>259097.714079</v>
      </c>
      <c r="P50" s="31" t="n">
        <v>270955.236603</v>
      </c>
      <c r="Q50" s="31" t="n">
        <v>280350.236178</v>
      </c>
      <c r="R50" s="31" t="n">
        <v>294986.848092</v>
      </c>
      <c r="S50" s="31" t="n">
        <v>314439.202467</v>
      </c>
      <c r="T50" s="31" t="n">
        <v>326946.048671</v>
      </c>
      <c r="U50" s="31" t="n">
        <v>336692.191263</v>
      </c>
      <c r="V50" s="31" t="n">
        <v>351597.615621</v>
      </c>
      <c r="W50" s="31" t="n">
        <v>372594.177141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802.8</v>
      </c>
      <c r="E51" s="31" t="n">
        <v>806.881435</v>
      </c>
      <c r="F51" s="31" t="n">
        <v>810.76899</v>
      </c>
      <c r="G51" s="31" t="n">
        <v>814.460421</v>
      </c>
      <c r="H51" s="31" t="n">
        <v>817.9536419999999</v>
      </c>
      <c r="I51" s="31" t="n">
        <v>821.246723</v>
      </c>
      <c r="J51" s="31" t="n">
        <v>824.337896</v>
      </c>
      <c r="K51" s="31" t="n">
        <v>827.224727</v>
      </c>
      <c r="L51" s="31" t="n">
        <v>829.905763</v>
      </c>
      <c r="M51" s="31" t="n">
        <v>832.378882</v>
      </c>
      <c r="N51" s="31" t="n">
        <v>834.642952</v>
      </c>
      <c r="O51" s="31" t="n">
        <v>836.695339</v>
      </c>
      <c r="P51" s="31" t="n">
        <v>838.535232</v>
      </c>
      <c r="Q51" s="31" t="n">
        <v>840.160314</v>
      </c>
      <c r="R51" s="31" t="n">
        <v>841.569263</v>
      </c>
      <c r="S51" s="31" t="n">
        <v>842.760925</v>
      </c>
      <c r="T51" s="31" t="n">
        <v>843.733471</v>
      </c>
      <c r="U51" s="31" t="n">
        <v>844.485237</v>
      </c>
      <c r="V51" s="31" t="n">
        <v>845.014729</v>
      </c>
      <c r="W51" s="31" t="n">
        <v>845.32147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-802.8</v>
      </c>
      <c r="E52" s="31" t="n">
        <v>-806.881435</v>
      </c>
      <c r="F52" s="31" t="n">
        <v>-810.76899</v>
      </c>
      <c r="G52" s="31" t="n">
        <v>-814.460421</v>
      </c>
      <c r="H52" s="31" t="n">
        <v>-817.9536419999999</v>
      </c>
      <c r="I52" s="31" t="n">
        <v>-821.246723</v>
      </c>
      <c r="J52" s="31" t="n">
        <v>-824.337896</v>
      </c>
      <c r="K52" s="31" t="n">
        <v>-827.224727</v>
      </c>
      <c r="L52" s="31" t="n">
        <v>-829.905763</v>
      </c>
      <c r="M52" s="31" t="n">
        <v>-832.378882</v>
      </c>
      <c r="N52" s="31" t="n">
        <v>-834.642952</v>
      </c>
      <c r="O52" s="31" t="n">
        <v>-836.695339</v>
      </c>
      <c r="P52" s="31" t="n">
        <v>-838.535232</v>
      </c>
      <c r="Q52" s="31" t="n">
        <v>-840.160314</v>
      </c>
      <c r="R52" s="31" t="n">
        <v>-841.569263</v>
      </c>
      <c r="S52" s="31" t="n">
        <v>-842.760925</v>
      </c>
      <c r="T52" s="31" t="n">
        <v>-843.733471</v>
      </c>
      <c r="U52" s="31" t="n">
        <v>-844.485237</v>
      </c>
      <c r="V52" s="31" t="n">
        <v>-845.014729</v>
      </c>
      <c r="W52" s="31" t="n">
        <v>-845.32147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-15000</v>
      </c>
      <c r="E54" s="31" t="n">
        <v>-15000</v>
      </c>
      <c r="F54" s="31" t="n">
        <v>-15000</v>
      </c>
      <c r="G54" s="31" t="n">
        <v>-15000</v>
      </c>
      <c r="H54" s="31" t="n">
        <v>-15000</v>
      </c>
      <c r="I54" s="31" t="n">
        <v>-15000</v>
      </c>
      <c r="J54" s="31" t="n">
        <v>-60252</v>
      </c>
      <c r="K54" s="31" t="n">
        <v>-83560</v>
      </c>
      <c r="L54" s="31" t="n">
        <v>-66188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101324</v>
      </c>
      <c r="E55" s="31" t="n">
        <v>13537</v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45249</v>
      </c>
      <c r="K56" s="31" t="n">
        <v>68561</v>
      </c>
      <c r="L56" s="31" t="n">
        <v>105311</v>
      </c>
      <c r="M56" s="31" t="n">
        <v>204786</v>
      </c>
      <c r="N56" s="31" t="n">
        <v>235071</v>
      </c>
      <c r="O56" s="31" t="n">
        <v>261027</v>
      </c>
      <c r="P56" s="31" t="n">
        <v>264641</v>
      </c>
      <c r="Q56" s="31" t="n">
        <v>282586</v>
      </c>
      <c r="R56" s="31" t="n">
        <v>297375</v>
      </c>
      <c r="S56" s="31" t="n">
        <v>316980</v>
      </c>
      <c r="T56" s="31" t="n">
        <v>320997</v>
      </c>
      <c r="U56" s="31" t="n">
        <v>339541</v>
      </c>
      <c r="V56" s="31" t="n">
        <v>354603</v>
      </c>
      <c r="W56" s="31" t="n">
        <v>375753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86324</v>
      </c>
      <c r="E57" s="31" t="n">
        <v>-1463</v>
      </c>
      <c r="F57" s="31" t="n">
        <v>-15000</v>
      </c>
      <c r="G57" s="31" t="n">
        <v>-15000</v>
      </c>
      <c r="H57" s="31" t="n">
        <v>-15000</v>
      </c>
      <c r="I57" s="31" t="n">
        <v>-15000</v>
      </c>
      <c r="J57" s="31" t="n">
        <v>-105501</v>
      </c>
      <c r="K57" s="31" t="n">
        <v>-152121</v>
      </c>
      <c r="L57" s="31" t="n">
        <v>-171499</v>
      </c>
      <c r="M57" s="31" t="n">
        <v>-204786</v>
      </c>
      <c r="N57" s="31" t="n">
        <v>-235071</v>
      </c>
      <c r="O57" s="31" t="n">
        <v>-261027</v>
      </c>
      <c r="P57" s="31" t="n">
        <v>-264641</v>
      </c>
      <c r="Q57" s="31" t="n">
        <v>-282586</v>
      </c>
      <c r="R57" s="31" t="n">
        <v>-297375</v>
      </c>
      <c r="S57" s="31" t="n">
        <v>-316980</v>
      </c>
      <c r="T57" s="31" t="n">
        <v>-320997</v>
      </c>
      <c r="U57" s="31" t="n">
        <v>-339541</v>
      </c>
      <c r="V57" s="31" t="n">
        <v>-354603</v>
      </c>
      <c r="W57" s="31" t="n">
        <v>-375753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312628.327717</v>
      </c>
      <c r="E58" s="31" t="n">
        <v>3153.280098</v>
      </c>
      <c r="F58" s="31" t="n">
        <v>14165.969265</v>
      </c>
      <c r="G58" s="31" t="n">
        <v>37981.163038</v>
      </c>
      <c r="H58" s="31" t="n">
        <v>59837.783257</v>
      </c>
      <c r="I58" s="31" t="n">
        <v>80882.923255</v>
      </c>
      <c r="J58" s="31" t="n">
        <v>18348.606498</v>
      </c>
      <c r="K58" s="31" t="n">
        <v>1595.990447</v>
      </c>
      <c r="L58" s="31" t="n">
        <v>9271.808234</v>
      </c>
      <c r="M58" s="31" t="n">
        <v>631.848933</v>
      </c>
      <c r="N58" s="31" t="n">
        <v>134.248658</v>
      </c>
      <c r="O58" s="31" t="n">
        <v>-2765.98126</v>
      </c>
      <c r="P58" s="31" t="n">
        <v>5475.701371</v>
      </c>
      <c r="Q58" s="31" t="n">
        <v>-3075.924136</v>
      </c>
      <c r="R58" s="31" t="n">
        <v>-3229.721171</v>
      </c>
      <c r="S58" s="31" t="n">
        <v>-3383.558458</v>
      </c>
      <c r="T58" s="31" t="n">
        <v>5105.3152</v>
      </c>
      <c r="U58" s="31" t="n">
        <v>-3693.293974</v>
      </c>
      <c r="V58" s="31" t="n">
        <v>-3850.399108</v>
      </c>
      <c r="W58" s="31" t="n">
        <v>-4004.144329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250000</v>
      </c>
      <c r="D59" s="31" t="n">
        <v>562628.327717</v>
      </c>
      <c r="E59" s="31" t="n">
        <v>565781.607815</v>
      </c>
      <c r="F59" s="31" t="n">
        <v>579947.57708</v>
      </c>
      <c r="G59" s="31" t="n">
        <v>617928.740118</v>
      </c>
      <c r="H59" s="31" t="n">
        <v>677766.523375</v>
      </c>
      <c r="I59" s="31" t="n">
        <v>758649.44663</v>
      </c>
      <c r="J59" s="31" t="n">
        <v>776998.053128</v>
      </c>
      <c r="K59" s="31" t="n">
        <v>778594.043575</v>
      </c>
      <c r="L59" s="31" t="n">
        <v>787865.851809</v>
      </c>
      <c r="M59" s="31" t="n">
        <v>788497.700742</v>
      </c>
      <c r="N59" s="31" t="n">
        <v>788631.9494</v>
      </c>
      <c r="O59" s="31" t="n">
        <v>785865.96814</v>
      </c>
      <c r="P59" s="31" t="n">
        <v>791341.669511</v>
      </c>
      <c r="Q59" s="31" t="n">
        <v>788265.7453750001</v>
      </c>
      <c r="R59" s="31" t="n">
        <v>785036.024204</v>
      </c>
      <c r="S59" s="31" t="n">
        <v>781652.4657450001</v>
      </c>
      <c r="T59" s="31" t="n">
        <v>786757.780945</v>
      </c>
      <c r="U59" s="31" t="n">
        <v>783064.486971</v>
      </c>
      <c r="V59" s="31" t="n">
        <v>779214.087862</v>
      </c>
      <c r="W59" s="31" t="n">
        <v>775209.943533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A27:N166</t>
        </is>
      </c>
      <c r="E16" s="39">
        <f>SUM(ABS('Payroll Schedule'!C15-SUMIFS('Payroll Schedule'!$G$27:$G$166,'Payroll Schedule'!$A$27:$A$166,0)),ABS('Payroll Schedule'!C16-SUMIFS('Payroll Schedule'!$H$27:$H$166,'Payroll Schedule'!$A$27:$A$166,0)),ABS('Payroll Schedule'!C17-SUMIFS('Payroll Schedule'!$M$27:$M$166,'Payroll Schedule'!$A$27:$A$166,0)),ABS('Payroll Schedule'!D15-SUMIFS('Payroll Schedule'!$G$27:$G$166,'Payroll Schedule'!$A$27:$A$166,1)),ABS('Payroll Schedule'!D16-SUMIFS('Payroll Schedule'!$H$27:$H$166,'Payroll Schedule'!$A$27:$A$166,1)),ABS('Payroll Schedule'!D17-SUMIFS('Payroll Schedule'!$M$27:$M$166,'Payroll Schedule'!$A$27:$A$166,1)),ABS('Payroll Schedule'!E15-SUMIFS('Payroll Schedule'!$G$27:$G$166,'Payroll Schedule'!$A$27:$A$166,2)),ABS('Payroll Schedule'!E16-SUMIFS('Payroll Schedule'!$H$27:$H$166,'Payroll Schedule'!$A$27:$A$166,2)),ABS('Payroll Schedule'!E17-SUMIFS('Payroll Schedule'!$M$27:$M$166,'Payroll Schedule'!$A$27:$A$166,2)),ABS('Payroll Schedule'!F15-SUMIFS('Payroll Schedule'!$G$27:$G$166,'Payroll Schedule'!$A$27:$A$166,3)),ABS('Payroll Schedule'!F16-SUMIFS('Payroll Schedule'!$H$27:$H$166,'Payroll Schedule'!$A$27:$A$166,3)),ABS('Payroll Schedule'!F17-SUMIFS('Payroll Schedule'!$M$27:$M$166,'Payroll Schedule'!$A$27:$A$166,3)),ABS('Payroll Schedule'!G15-SUMIFS('Payroll Schedule'!$G$27:$G$166,'Payroll Schedule'!$A$27:$A$166,4)),ABS('Payroll Schedule'!G16-SUMIFS('Payroll Schedule'!$H$27:$H$166,'Payroll Schedule'!$A$27:$A$166,4)),ABS('Payroll Schedule'!G17-SUMIFS('Payroll Schedule'!$M$27:$M$166,'Payroll Schedule'!$A$27:$A$166,4)),ABS('Payroll Schedule'!H15-SUMIFS('Payroll Schedule'!$G$27:$G$166,'Payroll Schedule'!$A$27:$A$166,5)),ABS('Payroll Schedule'!H16-SUMIFS('Payroll Schedule'!$H$27:$H$166,'Payroll Schedule'!$A$27:$A$166,5)),ABS('Payroll Schedule'!H17-SUMIFS('Payroll Schedule'!$M$27:$M$166,'Payroll Schedule'!$A$27:$A$166,5)),ABS('Payroll Schedule'!I15-SUMIFS('Payroll Schedule'!$G$27:$G$166,'Payroll Schedule'!$A$27:$A$166,6)),ABS('Payroll Schedule'!I16-SUMIFS('Payroll Schedule'!$H$27:$H$166,'Payroll Schedule'!$A$27:$A$166,6)),ABS('Payroll Schedule'!I17-SUMIFS('Payroll Schedule'!$M$27:$M$166,'Payroll Schedule'!$A$27:$A$166,6)),ABS('Payroll Schedule'!J15-SUMIFS('Payroll Schedule'!$G$27:$G$166,'Payroll Schedule'!$A$27:$A$166,7)),ABS('Payroll Schedule'!J16-SUMIFS('Payroll Schedule'!$H$27:$H$166,'Payroll Schedule'!$A$27:$A$166,7)),ABS('Payroll Schedule'!J17-SUMIFS('Payroll Schedule'!$M$27:$M$166,'Payroll Schedule'!$A$27:$A$166,7)),ABS('Payroll Schedule'!K15-SUMIFS('Payroll Schedule'!$G$27:$G$166,'Payroll Schedule'!$A$27:$A$166,8)),ABS('Payroll Schedule'!K16-SUMIFS('Payroll Schedule'!$H$27:$H$166,'Payroll Schedule'!$A$27:$A$166,8)),ABS('Payroll Schedule'!K17-SUMIFS('Payroll Schedule'!$M$27:$M$166,'Payroll Schedule'!$A$27:$A$166,8)),ABS('Payroll Schedule'!L15-SUMIFS('Payroll Schedule'!$G$27:$G$166,'Payroll Schedule'!$A$27:$A$166,9)),ABS('Payroll Schedule'!L16-SUMIFS('Payroll Schedule'!$H$27:$H$166,'Payroll Schedule'!$A$27:$A$166,9)),ABS('Payroll Schedule'!L17-SUMIFS('Payroll Schedule'!$M$27:$M$166,'Payroll Schedule'!$A$27:$A$166,9)),ABS('Payroll Schedule'!M15-SUMIFS('Payroll Schedule'!$G$27:$G$166,'Payroll Schedule'!$A$27:$A$166,10)),ABS('Payroll Schedule'!M16-SUMIFS('Payroll Schedule'!$H$27:$H$166,'Payroll Schedule'!$A$27:$A$166,10)),ABS('Payroll Schedule'!M17-SUMIFS('Payroll Schedule'!$M$27:$M$166,'Payroll Schedule'!$A$27:$A$166,10)),ABS('Payroll Schedule'!N15-SUMIFS('Payroll Schedule'!$G$27:$G$166,'Payroll Schedule'!$A$27:$A$166,11)),ABS('Payroll Schedule'!N16-SUMIFS('Payroll Schedule'!$H$27:$H$166,'Payroll Schedule'!$A$27:$A$166,11)),ABS('Payroll Schedule'!N17-SUMIFS('Payroll Schedule'!$M$27:$M$166,'Payroll Schedule'!$A$27:$A$166,11)),ABS('Payroll Schedule'!O15-SUMIFS('Payroll Schedule'!$G$27:$G$166,'Payroll Schedule'!$A$27:$A$166,12)),ABS('Payroll Schedule'!O16-SUMIFS('Payroll Schedule'!$H$27:$H$166,'Payroll Schedule'!$A$27:$A$166,12)),ABS('Payroll Schedule'!O17-SUMIFS('Payroll Schedule'!$M$27:$M$166,'Payroll Schedule'!$A$27:$A$166,12)),ABS('Payroll Schedule'!P15-SUMIFS('Payroll Schedule'!$G$27:$G$166,'Payroll Schedule'!$A$27:$A$166,13)),ABS('Payroll Schedule'!P16-SUMIFS('Payroll Schedule'!$H$27:$H$166,'Payroll Schedule'!$A$27:$A$166,13)),ABS('Payroll Schedule'!P17-SUMIFS('Payroll Schedule'!$M$27:$M$166,'Payroll Schedule'!$A$27:$A$166,13)),ABS('Payroll Schedule'!Q15-SUMIFS('Payroll Schedule'!$G$27:$G$166,'Payroll Schedule'!$A$27:$A$166,14)),ABS('Payroll Schedule'!Q16-SUMIFS('Payroll Schedule'!$H$27:$H$166,'Payroll Schedule'!$A$27:$A$166,14)),ABS('Payroll Schedule'!Q17-SUMIFS('Payroll Schedule'!$M$27:$M$166,'Payroll Schedule'!$A$27:$A$166,14)),ABS('Payroll Schedule'!R15-SUMIFS('Payroll Schedule'!$G$27:$G$166,'Payroll Schedule'!$A$27:$A$166,15)),ABS('Payroll Schedule'!R16-SUMIFS('Payroll Schedule'!$H$27:$H$166,'Payroll Schedule'!$A$27:$A$166,15)),ABS('Payroll Schedule'!R17-SUMIFS('Payroll Schedule'!$M$27:$M$166,'Payroll Schedule'!$A$27:$A$166,15)),ABS('Payroll Schedule'!S15-SUMIFS('Payroll Schedule'!$G$27:$G$166,'Payroll Schedule'!$A$27:$A$166,16)),ABS('Payroll Schedule'!S16-SUMIFS('Payroll Schedule'!$H$27:$H$166,'Payroll Schedule'!$A$27:$A$166,16)),ABS('Payroll Schedule'!S17-SUMIFS('Payroll Schedule'!$M$27:$M$166,'Payroll Schedule'!$A$27:$A$166,16)),ABS('Payroll Schedule'!T15-SUMIFS('Payroll Schedule'!$G$27:$G$166,'Payroll Schedule'!$A$27:$A$166,17)),ABS('Payroll Schedule'!T16-SUMIFS('Payroll Schedule'!$H$27:$H$166,'Payroll Schedule'!$A$27:$A$166,17)),ABS('Payroll Schedule'!T17-SUMIFS('Payroll Schedule'!$M$27:$M$166,'Payroll Schedule'!$A$27:$A$166,17)),ABS('Payroll Schedule'!U15-SUMIFS('Payroll Schedule'!$G$27:$G$166,'Payroll Schedule'!$A$27:$A$166,18)),ABS('Payroll Schedule'!U16-SUMIFS('Payroll Schedule'!$H$27:$H$166,'Payroll Schedule'!$A$27:$A$166,18)),ABS('Payroll Schedule'!U17-SUMIFS('Payroll Schedule'!$M$27:$M$166,'Payroll Schedule'!$A$27:$A$166,18)),ABS('Payroll Schedule'!V15-SUMIFS('Payroll Schedule'!$G$27:$G$166,'Payroll Schedule'!$A$27:$A$166,19)),ABS('Payroll Schedule'!V16-SUMIFS('Payroll Schedule'!$H$27:$H$166,'Payroll Schedule'!$A$27:$A$166,19)),ABS('Payroll Schedule'!V17-SUMIFS('Payroll Schedule'!$M$27:$M$166,'Payroll Schedule'!$A$27:$A$166,19)),ABS('Payroll Schedule'!W15-SUMIFS('Payroll Schedule'!$G$27:$G$166,'Payroll Schedule'!$A$27:$A$166,20)),ABS('Payroll Schedule'!W16-SUMIFS('Payroll Schedule'!$H$27:$H$166,'Payroll Schedule'!$A$27:$A$166,20)),ABS('Payroll Schedule'!W17-SUMIFS('Payroll Schedule'!$M$27:$M$166,'Payroll Schedule'!$A$27:$A$166,20)))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E27:H166</t>
        </is>
      </c>
      <c r="E18" s="39">
        <f>SUMPRODUCT(ABS('Payroll Schedule'!G27:G166-('Payroll Schedule'!E27:E166+'Payroll Schedule'!F27:F166)))+SUMPRODUCT(ABS('Payroll Schedule'!H27:H166-(('Payroll Schedule'!E27:E166+'Payroll Schedule'!G27:G166)/2)))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I27:M166</t>
        </is>
      </c>
      <c r="E19" s="39">
        <f>SUMPRODUCT(ABS('Payroll Schedule'!K27:K166-('Payroll Schedule'!H27:H166*'Payroll Schedule'!I27:I166/4)))+SUMPRODUCT(ABS('Payroll Schedule'!L27:L166-('Payroll Schedule'!K27:K166*'Payroll Schedule'!J27:J166)))+SUMPRODUCT(ABS('Payroll Schedule'!M27:M166-('Payroll Schedule'!K27:K166+'Payroll Schedule'!L27:L166)))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Schedule'!G27:G166</t>
        </is>
      </c>
      <c r="E61" s="39">
        <f>140</f>
        <v/>
      </c>
      <c r="F61" s="39" t="n">
        <v>140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Schedule'!H27:H166</t>
        </is>
      </c>
      <c r="E62" s="39">
        <f>140</f>
        <v/>
      </c>
      <c r="F62" s="39" t="n">
        <v>140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Schedule'!K27:K166</t>
        </is>
      </c>
      <c r="E63" s="39">
        <f>140</f>
        <v/>
      </c>
      <c r="F63" s="39" t="n">
        <v>140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Schedule'!L27:L166</t>
        </is>
      </c>
      <c r="E64" s="39">
        <f>140</f>
        <v/>
      </c>
      <c r="F64" s="39" t="n">
        <v>140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Schedule'!M27:M166</t>
        </is>
      </c>
      <c r="E65" s="39">
        <f>140</f>
        <v/>
      </c>
      <c r="F65" s="39" t="n">
        <v>140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Schedule'!C15:W166</t>
        </is>
      </c>
      <c r="E158" s="39">
        <f>SUMPRODUCT(--ISERROR('Payroll Schedule'!C15:W166))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normalize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NexGen Software Solutions Inc.</t>
        </is>
      </c>
    </row>
    <row r="8">
      <c r="A8" s="45" t="inlineStr">
        <is>
          <t>Business Start Date</t>
        </is>
      </c>
      <c r="B8" s="46" t="inlineStr">
        <is>
          <t>8/5/2022</t>
        </is>
      </c>
    </row>
    <row r="9">
      <c r="A9" s="45" t="inlineStr">
        <is>
          <t>NAICS-6</t>
        </is>
      </c>
      <c r="B9" s="46" t="inlineStr">
        <is>
          <t>513210</t>
        </is>
      </c>
    </row>
    <row r="10">
      <c r="A10" s="45" t="inlineStr">
        <is>
          <t>Draft ID</t>
        </is>
      </c>
      <c r="B10" s="46" t="inlineStr">
        <is>
          <t>188ba3214a704bebb6f9be9d9e44a4b0</t>
        </is>
      </c>
    </row>
    <row r="11">
      <c r="A11" s="45" t="inlineStr">
        <is>
          <t>Planning Run ID</t>
        </is>
      </c>
      <c r="B11" s="46" t="inlineStr">
        <is>
          <t>6c908a30323e4c8892beebe85b8c6742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NexGen Software Solutions Inc. Financial Model</dc:title>
  <dc:subject>Client financial model workbook</dc:subject>
  <dcterms:created xsi:type="dcterms:W3CDTF">2026-05-20T07:50:14Z</dcterms:created>
  <dcterms:modified xsi:type="dcterms:W3CDTF">2026-05-20T07:50:15Z</dcterms:modified>
</cp:coreProperties>
</file>