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Schedule'!$A$26:$N$106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legal matter</t>
        </is>
      </c>
    </row>
    <row r="8">
      <c r="A8" s="8" t="inlineStr">
        <is>
          <t>Primary line of business / legal matter - Capacity</t>
        </is>
      </c>
      <c r="B8" s="8" t="inlineStr">
        <is>
          <t>Source driver</t>
        </is>
      </c>
      <c r="C8" s="9" t="n">
        <v>30</v>
      </c>
      <c r="D8" s="9" t="n">
        <v>46.44</v>
      </c>
      <c r="E8" s="9" t="n">
        <v>46.44</v>
      </c>
      <c r="F8" s="9" t="n">
        <v>46.44</v>
      </c>
      <c r="G8" s="9" t="n">
        <v>46.44</v>
      </c>
      <c r="H8" s="9" t="n">
        <v>46.44</v>
      </c>
      <c r="I8" s="9" t="n">
        <v>46.44</v>
      </c>
      <c r="J8" s="9" t="n">
        <v>46.44</v>
      </c>
      <c r="K8" s="9" t="n">
        <v>46.44</v>
      </c>
      <c r="L8" s="9" t="n">
        <v>46.44</v>
      </c>
      <c r="M8" s="9" t="n">
        <v>46.44</v>
      </c>
      <c r="N8" s="9" t="n">
        <v>46.44</v>
      </c>
      <c r="O8" s="9" t="n">
        <v>46.44</v>
      </c>
      <c r="P8" s="9" t="n">
        <v>46.44</v>
      </c>
      <c r="Q8" s="9" t="n">
        <v>46.44</v>
      </c>
      <c r="R8" s="9" t="n">
        <v>46.44</v>
      </c>
      <c r="S8" s="9" t="n">
        <v>46.44</v>
      </c>
      <c r="T8" s="9" t="n">
        <v>46.44</v>
      </c>
      <c r="U8" s="9" t="n">
        <v>46.44</v>
      </c>
      <c r="V8" s="9" t="n">
        <v>46.44</v>
      </c>
      <c r="W8" s="9" t="n">
        <v>46.44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legal matter - Unit Price</t>
        </is>
      </c>
      <c r="B9" s="8" t="inlineStr">
        <is>
          <t>Source driver</t>
        </is>
      </c>
      <c r="C9" s="11" t="n">
        <v>5000</v>
      </c>
      <c r="D9" s="11" t="n">
        <v>6658.0867</v>
      </c>
      <c r="E9" s="11" t="n">
        <v>6842.27803</v>
      </c>
      <c r="F9" s="11" t="n">
        <v>7026.46936</v>
      </c>
      <c r="G9" s="11" t="n">
        <v>7210.66069</v>
      </c>
      <c r="H9" s="11" t="n">
        <v>7394.85202</v>
      </c>
      <c r="I9" s="11" t="n">
        <v>7579.04335</v>
      </c>
      <c r="J9" s="11" t="n">
        <v>7763.23468</v>
      </c>
      <c r="K9" s="11" t="n">
        <v>7947.42601</v>
      </c>
      <c r="L9" s="11" t="n">
        <v>8131.61734</v>
      </c>
      <c r="M9" s="11" t="n">
        <v>8315.80867</v>
      </c>
      <c r="N9" s="11" t="n">
        <v>8500</v>
      </c>
      <c r="O9" s="11" t="n">
        <v>8555.555555999999</v>
      </c>
      <c r="P9" s="11" t="n">
        <v>8611.111111</v>
      </c>
      <c r="Q9" s="11" t="n">
        <v>8666.666667</v>
      </c>
      <c r="R9" s="11" t="n">
        <v>8722.222222</v>
      </c>
      <c r="S9" s="11" t="n">
        <v>8777.777778</v>
      </c>
      <c r="T9" s="11" t="n">
        <v>8833.333333</v>
      </c>
      <c r="U9" s="11" t="n">
        <v>8888.888889</v>
      </c>
      <c r="V9" s="11" t="n">
        <v>8944.444444000001</v>
      </c>
      <c r="W9" s="11" t="n">
        <v>9000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legal matter - Utilization</t>
        </is>
      </c>
      <c r="B10" s="8" t="inlineStr">
        <is>
          <t>Source driver</t>
        </is>
      </c>
      <c r="C10" s="13" t="n">
        <v>0.75</v>
      </c>
      <c r="D10" s="13" t="n">
        <v>0.75</v>
      </c>
      <c r="E10" s="13" t="n">
        <v>0.759</v>
      </c>
      <c r="F10" s="13" t="n">
        <v>0.768</v>
      </c>
      <c r="G10" s="13" t="n">
        <v>0.777</v>
      </c>
      <c r="H10" s="13" t="n">
        <v>0.786</v>
      </c>
      <c r="I10" s="13" t="n">
        <v>0.795</v>
      </c>
      <c r="J10" s="13" t="n">
        <v>0.804</v>
      </c>
      <c r="K10" s="13" t="n">
        <v>0.8129999999999999</v>
      </c>
      <c r="L10" s="13" t="n">
        <v>0.822</v>
      </c>
      <c r="M10" s="13" t="n">
        <v>0.831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legal matter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0.03</v>
      </c>
      <c r="E18" s="13" t="n">
        <v>0.03</v>
      </c>
      <c r="F18" s="13" t="n">
        <v>0.03</v>
      </c>
      <c r="G18" s="13" t="n">
        <v>0.03</v>
      </c>
      <c r="H18" s="13" t="n">
        <v>0.03</v>
      </c>
      <c r="I18" s="13" t="n">
        <v>0.03</v>
      </c>
      <c r="J18" s="13" t="n">
        <v>0.03</v>
      </c>
      <c r="K18" s="13" t="n">
        <v>0.03</v>
      </c>
      <c r="L18" s="13" t="n">
        <v>0.03</v>
      </c>
      <c r="M18" s="13" t="n">
        <v>0.03</v>
      </c>
      <c r="N18" s="13" t="n">
        <v>0.03</v>
      </c>
      <c r="O18" s="13" t="n">
        <v>0.03</v>
      </c>
      <c r="P18" s="13" t="n">
        <v>0.03</v>
      </c>
      <c r="Q18" s="13" t="n">
        <v>0.03</v>
      </c>
      <c r="R18" s="13" t="n">
        <v>0.03</v>
      </c>
      <c r="S18" s="13" t="n">
        <v>0.03</v>
      </c>
      <c r="T18" s="13" t="n">
        <v>0.03</v>
      </c>
      <c r="U18" s="13" t="n">
        <v>0.03</v>
      </c>
      <c r="V18" s="13" t="n">
        <v>0.03</v>
      </c>
      <c r="W18" s="13" t="n">
        <v>0.03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0.09</v>
      </c>
      <c r="E19" s="13" t="n">
        <v>0.09</v>
      </c>
      <c r="F19" s="13" t="n">
        <v>0.09</v>
      </c>
      <c r="G19" s="13" t="n">
        <v>0.09</v>
      </c>
      <c r="H19" s="13" t="n">
        <v>0.09</v>
      </c>
      <c r="I19" s="13" t="n">
        <v>0.09</v>
      </c>
      <c r="J19" s="13" t="n">
        <v>0.09</v>
      </c>
      <c r="K19" s="13" t="n">
        <v>0.09</v>
      </c>
      <c r="L19" s="13" t="n">
        <v>0.09</v>
      </c>
      <c r="M19" s="13" t="n">
        <v>0.09</v>
      </c>
      <c r="N19" s="13" t="n">
        <v>0.09</v>
      </c>
      <c r="O19" s="13" t="n">
        <v>0.09</v>
      </c>
      <c r="P19" s="13" t="n">
        <v>0.09</v>
      </c>
      <c r="Q19" s="13" t="n">
        <v>0.09</v>
      </c>
      <c r="R19" s="13" t="n">
        <v>0.09</v>
      </c>
      <c r="S19" s="13" t="n">
        <v>0.09</v>
      </c>
      <c r="T19" s="13" t="n">
        <v>0.09</v>
      </c>
      <c r="U19" s="13" t="n">
        <v>0.09</v>
      </c>
      <c r="V19" s="13" t="n">
        <v>0.09</v>
      </c>
      <c r="W19" s="13" t="n">
        <v>0.09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0.09</v>
      </c>
      <c r="E20" s="13" t="n">
        <v>0.09</v>
      </c>
      <c r="F20" s="13" t="n">
        <v>0.09</v>
      </c>
      <c r="G20" s="13" t="n">
        <v>0.09</v>
      </c>
      <c r="H20" s="13" t="n">
        <v>0.09</v>
      </c>
      <c r="I20" s="13" t="n">
        <v>0.09</v>
      </c>
      <c r="J20" s="13" t="n">
        <v>0.09</v>
      </c>
      <c r="K20" s="13" t="n">
        <v>0.09</v>
      </c>
      <c r="L20" s="13" t="n">
        <v>0.09</v>
      </c>
      <c r="M20" s="13" t="n">
        <v>0.09</v>
      </c>
      <c r="N20" s="13" t="n">
        <v>0.09</v>
      </c>
      <c r="O20" s="13" t="n">
        <v>0.09</v>
      </c>
      <c r="P20" s="13" t="n">
        <v>0.09</v>
      </c>
      <c r="Q20" s="13" t="n">
        <v>0.09</v>
      </c>
      <c r="R20" s="13" t="n">
        <v>0.09</v>
      </c>
      <c r="S20" s="13" t="n">
        <v>0.09</v>
      </c>
      <c r="T20" s="13" t="n">
        <v>0.09</v>
      </c>
      <c r="U20" s="13" t="n">
        <v>0.09</v>
      </c>
      <c r="V20" s="13" t="n">
        <v>0.09</v>
      </c>
      <c r="W20" s="13" t="n">
        <v>0.09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0.48</v>
      </c>
      <c r="E22" s="13" t="n">
        <v>0.48</v>
      </c>
      <c r="F22" s="13" t="n">
        <v>0.48</v>
      </c>
      <c r="G22" s="13" t="n">
        <v>0.48</v>
      </c>
      <c r="H22" s="13" t="n">
        <v>0.48</v>
      </c>
      <c r="I22" s="13" t="n">
        <v>0.48</v>
      </c>
      <c r="J22" s="13" t="n">
        <v>0.48</v>
      </c>
      <c r="K22" s="13" t="n">
        <v>0.48</v>
      </c>
      <c r="L22" s="13" t="n">
        <v>0.48</v>
      </c>
      <c r="M22" s="13" t="n">
        <v>0.48</v>
      </c>
      <c r="N22" s="13" t="n">
        <v>0.48</v>
      </c>
      <c r="O22" s="13" t="n">
        <v>0.48</v>
      </c>
      <c r="P22" s="13" t="n">
        <v>0.48</v>
      </c>
      <c r="Q22" s="13" t="n">
        <v>0.48</v>
      </c>
      <c r="R22" s="13" t="n">
        <v>0.48</v>
      </c>
      <c r="S22" s="13" t="n">
        <v>0.48</v>
      </c>
      <c r="T22" s="13" t="n">
        <v>0.48</v>
      </c>
      <c r="U22" s="13" t="n">
        <v>0.48</v>
      </c>
      <c r="V22" s="13" t="n">
        <v>0.48</v>
      </c>
      <c r="W22" s="13" t="n">
        <v>0.48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0.71</v>
      </c>
      <c r="E23" s="13" t="n">
        <v>0.71</v>
      </c>
      <c r="F23" s="13" t="n">
        <v>0.71</v>
      </c>
      <c r="G23" s="13" t="n">
        <v>0.71</v>
      </c>
      <c r="H23" s="13" t="n">
        <v>0.71</v>
      </c>
      <c r="I23" s="13" t="n">
        <v>0.71</v>
      </c>
      <c r="J23" s="13" t="n">
        <v>0.71</v>
      </c>
      <c r="K23" s="13" t="n">
        <v>0.71</v>
      </c>
      <c r="L23" s="13" t="n">
        <v>0.71</v>
      </c>
      <c r="M23" s="13" t="n">
        <v>0.71</v>
      </c>
      <c r="N23" s="13" t="n">
        <v>0.71</v>
      </c>
      <c r="O23" s="13" t="n">
        <v>0.71</v>
      </c>
      <c r="P23" s="13" t="n">
        <v>0.71</v>
      </c>
      <c r="Q23" s="13" t="n">
        <v>0.71</v>
      </c>
      <c r="R23" s="13" t="n">
        <v>0.71</v>
      </c>
      <c r="S23" s="13" t="n">
        <v>0.71</v>
      </c>
      <c r="T23" s="13" t="n">
        <v>0.71</v>
      </c>
      <c r="U23" s="13" t="n">
        <v>0.71</v>
      </c>
      <c r="V23" s="13" t="n">
        <v>0.71</v>
      </c>
      <c r="W23" s="13" t="n">
        <v>0.71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0.4</v>
      </c>
      <c r="E24" s="13" t="n">
        <v>0.4</v>
      </c>
      <c r="F24" s="13" t="n">
        <v>0.4</v>
      </c>
      <c r="G24" s="13" t="n">
        <v>0.4</v>
      </c>
      <c r="H24" s="13" t="n">
        <v>0.4</v>
      </c>
      <c r="I24" s="13" t="n">
        <v>0.4</v>
      </c>
      <c r="J24" s="13" t="n">
        <v>0.4</v>
      </c>
      <c r="K24" s="13" t="n">
        <v>0.4</v>
      </c>
      <c r="L24" s="13" t="n">
        <v>0.4</v>
      </c>
      <c r="M24" s="13" t="n">
        <v>0.4</v>
      </c>
      <c r="N24" s="13" t="n">
        <v>0.4</v>
      </c>
      <c r="O24" s="13" t="n">
        <v>0.4</v>
      </c>
      <c r="P24" s="13" t="n">
        <v>0.4</v>
      </c>
      <c r="Q24" s="13" t="n">
        <v>0.4</v>
      </c>
      <c r="R24" s="13" t="n">
        <v>0.4</v>
      </c>
      <c r="S24" s="13" t="n">
        <v>0.4</v>
      </c>
      <c r="T24" s="13" t="n">
        <v>0.4</v>
      </c>
      <c r="U24" s="13" t="n">
        <v>0.4</v>
      </c>
      <c r="V24" s="13" t="n">
        <v>0.4</v>
      </c>
      <c r="W24" s="13" t="n">
        <v>0.4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0.5</v>
      </c>
      <c r="E25" s="13" t="n">
        <v>0.5</v>
      </c>
      <c r="F25" s="13" t="n">
        <v>0.5</v>
      </c>
      <c r="G25" s="13" t="n">
        <v>0.5</v>
      </c>
      <c r="H25" s="13" t="n">
        <v>0.5</v>
      </c>
      <c r="I25" s="13" t="n">
        <v>0.5</v>
      </c>
      <c r="J25" s="13" t="n">
        <v>0.5</v>
      </c>
      <c r="K25" s="13" t="n">
        <v>0.5</v>
      </c>
      <c r="L25" s="13" t="n">
        <v>0.5</v>
      </c>
      <c r="M25" s="13" t="n">
        <v>0.5</v>
      </c>
      <c r="N25" s="13" t="n">
        <v>0.5</v>
      </c>
      <c r="O25" s="13" t="n">
        <v>0.5</v>
      </c>
      <c r="P25" s="13" t="n">
        <v>0.5</v>
      </c>
      <c r="Q25" s="13" t="n">
        <v>0.5</v>
      </c>
      <c r="R25" s="13" t="n">
        <v>0.5</v>
      </c>
      <c r="S25" s="13" t="n">
        <v>0.5</v>
      </c>
      <c r="T25" s="13" t="n">
        <v>0.5</v>
      </c>
      <c r="U25" s="13" t="n">
        <v>0.5</v>
      </c>
      <c r="V25" s="13" t="n">
        <v>0.5</v>
      </c>
      <c r="W25" s="13" t="n">
        <v>0.5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0.53</v>
      </c>
      <c r="E26" s="13" t="n">
        <v>0.53</v>
      </c>
      <c r="F26" s="13" t="n">
        <v>0.53</v>
      </c>
      <c r="G26" s="13" t="n">
        <v>0.53</v>
      </c>
      <c r="H26" s="13" t="n">
        <v>0.53</v>
      </c>
      <c r="I26" s="13" t="n">
        <v>0.53</v>
      </c>
      <c r="J26" s="13" t="n">
        <v>0.53</v>
      </c>
      <c r="K26" s="13" t="n">
        <v>0.53</v>
      </c>
      <c r="L26" s="13" t="n">
        <v>0.53</v>
      </c>
      <c r="M26" s="13" t="n">
        <v>0.53</v>
      </c>
      <c r="N26" s="13" t="n">
        <v>0.53</v>
      </c>
      <c r="O26" s="13" t="n">
        <v>0.53</v>
      </c>
      <c r="P26" s="13" t="n">
        <v>0.53</v>
      </c>
      <c r="Q26" s="13" t="n">
        <v>0.53</v>
      </c>
      <c r="R26" s="13" t="n">
        <v>0.53</v>
      </c>
      <c r="S26" s="13" t="n">
        <v>0.53</v>
      </c>
      <c r="T26" s="13" t="n">
        <v>0.53</v>
      </c>
      <c r="U26" s="13" t="n">
        <v>0.53</v>
      </c>
      <c r="V26" s="13" t="n">
        <v>0.53</v>
      </c>
      <c r="W26" s="13" t="n">
        <v>0.53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0.13</v>
      </c>
      <c r="E27" s="13" t="n">
        <v>0.13</v>
      </c>
      <c r="F27" s="13" t="n">
        <v>0.13</v>
      </c>
      <c r="G27" s="13" t="n">
        <v>0.13</v>
      </c>
      <c r="H27" s="13" t="n">
        <v>0.13</v>
      </c>
      <c r="I27" s="13" t="n">
        <v>0.13</v>
      </c>
      <c r="J27" s="13" t="n">
        <v>0.13</v>
      </c>
      <c r="K27" s="13" t="n">
        <v>0.13</v>
      </c>
      <c r="L27" s="13" t="n">
        <v>0.13</v>
      </c>
      <c r="M27" s="13" t="n">
        <v>0.13</v>
      </c>
      <c r="N27" s="13" t="n">
        <v>0.13</v>
      </c>
      <c r="O27" s="13" t="n">
        <v>0.13</v>
      </c>
      <c r="P27" s="13" t="n">
        <v>0.13</v>
      </c>
      <c r="Q27" s="13" t="n">
        <v>0.13</v>
      </c>
      <c r="R27" s="13" t="n">
        <v>0.13</v>
      </c>
      <c r="S27" s="13" t="n">
        <v>0.13</v>
      </c>
      <c r="T27" s="13" t="n">
        <v>0.13</v>
      </c>
      <c r="U27" s="13" t="n">
        <v>0.13</v>
      </c>
      <c r="V27" s="13" t="n">
        <v>0.13</v>
      </c>
      <c r="W27" s="13" t="n">
        <v>0.13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0.02</v>
      </c>
      <c r="I28" s="13" t="n">
        <v>0.02</v>
      </c>
      <c r="J28" s="13" t="n">
        <v>0.02</v>
      </c>
      <c r="K28" s="13" t="n">
        <v>0.02</v>
      </c>
      <c r="L28" s="13" t="n">
        <v>0.02</v>
      </c>
      <c r="M28" s="13" t="n">
        <v>0.02</v>
      </c>
      <c r="N28" s="13" t="n">
        <v>0.02</v>
      </c>
      <c r="O28" s="13" t="n">
        <v>0.02</v>
      </c>
      <c r="P28" s="13" t="n">
        <v>0.02</v>
      </c>
      <c r="Q28" s="13" t="n">
        <v>0.02</v>
      </c>
      <c r="R28" s="13" t="n">
        <v>0.02</v>
      </c>
      <c r="S28" s="13" t="n">
        <v>0.02</v>
      </c>
      <c r="T28" s="13" t="n">
        <v>0.02</v>
      </c>
      <c r="U28" s="13" t="n">
        <v>0.02</v>
      </c>
      <c r="V28" s="13" t="n">
        <v>0.02</v>
      </c>
      <c r="W28" s="13" t="n">
        <v>0.02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1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expert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</v>
      </c>
    </row>
    <row r="11">
      <c r="A11" t="inlineStr">
        <is>
          <t>Capacity Units per Supporting FTE</t>
        </is>
      </c>
      <c r="B11" t="n">
        <v>11.61</v>
      </c>
    </row>
    <row r="12">
      <c r="A12" t="inlineStr">
        <is>
          <t>Target Payroll % of Revenue</t>
        </is>
      </c>
      <c r="B12" t="n">
        <v>0.7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SUMIFS($G$27:$G$106,$A$27:$A$106,0)</f>
        <v/>
      </c>
      <c r="D15" s="23">
        <f>SUMIFS($G$27:$G$106,$A$27:$A$106,1)</f>
        <v/>
      </c>
      <c r="E15" s="23">
        <f>SUMIFS($G$27:$G$106,$A$27:$A$106,2)</f>
        <v/>
      </c>
      <c r="F15" s="23">
        <f>SUMIFS($G$27:$G$106,$A$27:$A$106,3)</f>
        <v/>
      </c>
      <c r="G15" s="23">
        <f>SUMIFS($G$27:$G$106,$A$27:$A$106,4)</f>
        <v/>
      </c>
      <c r="H15" s="23">
        <f>SUMIFS($G$27:$G$106,$A$27:$A$106,5)</f>
        <v/>
      </c>
      <c r="I15" s="23">
        <f>SUMIFS($G$27:$G$106,$A$27:$A$106,6)</f>
        <v/>
      </c>
      <c r="J15" s="23">
        <f>SUMIFS($G$27:$G$106,$A$27:$A$106,7)</f>
        <v/>
      </c>
      <c r="K15" s="23">
        <f>SUMIFS($G$27:$G$106,$A$27:$A$106,8)</f>
        <v/>
      </c>
      <c r="L15" s="23">
        <f>SUMIFS($G$27:$G$106,$A$27:$A$106,9)</f>
        <v/>
      </c>
      <c r="M15" s="23">
        <f>SUMIFS($G$27:$G$106,$A$27:$A$106,10)</f>
        <v/>
      </c>
      <c r="N15" s="23">
        <f>SUMIFS($G$27:$G$106,$A$27:$A$106,11)</f>
        <v/>
      </c>
      <c r="O15" s="23">
        <f>SUMIFS($G$27:$G$106,$A$27:$A$106,12)</f>
        <v/>
      </c>
      <c r="P15" s="23">
        <f>SUMIFS($G$27:$G$106,$A$27:$A$106,13)</f>
        <v/>
      </c>
      <c r="Q15" s="23">
        <f>SUMIFS($G$27:$G$106,$A$27:$A$106,14)</f>
        <v/>
      </c>
      <c r="R15" s="23">
        <f>SUMIFS($G$27:$G$106,$A$27:$A$106,15)</f>
        <v/>
      </c>
      <c r="S15" s="23">
        <f>SUMIFS($G$27:$G$106,$A$27:$A$106,16)</f>
        <v/>
      </c>
      <c r="T15" s="23">
        <f>SUMIFS($G$27:$G$106,$A$27:$A$106,17)</f>
        <v/>
      </c>
      <c r="U15" s="23">
        <f>SUMIFS($G$27:$G$106,$A$27:$A$106,18)</f>
        <v/>
      </c>
      <c r="V15" s="23">
        <f>SUMIFS($G$27:$G$106,$A$27:$A$106,19)</f>
        <v/>
      </c>
      <c r="W15" s="23">
        <f>SUMIFS($G$27:$G$106,$A$27:$A$106,20)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SUMIFS($H$27:$H$106,$A$27:$A$106,0)</f>
        <v/>
      </c>
      <c r="D16" s="23">
        <f>SUMIFS($H$27:$H$106,$A$27:$A$106,1)</f>
        <v/>
      </c>
      <c r="E16" s="23">
        <f>SUMIFS($H$27:$H$106,$A$27:$A$106,2)</f>
        <v/>
      </c>
      <c r="F16" s="23">
        <f>SUMIFS($H$27:$H$106,$A$27:$A$106,3)</f>
        <v/>
      </c>
      <c r="G16" s="23">
        <f>SUMIFS($H$27:$H$106,$A$27:$A$106,4)</f>
        <v/>
      </c>
      <c r="H16" s="23">
        <f>SUMIFS($H$27:$H$106,$A$27:$A$106,5)</f>
        <v/>
      </c>
      <c r="I16" s="23">
        <f>SUMIFS($H$27:$H$106,$A$27:$A$106,6)</f>
        <v/>
      </c>
      <c r="J16" s="23">
        <f>SUMIFS($H$27:$H$106,$A$27:$A$106,7)</f>
        <v/>
      </c>
      <c r="K16" s="23">
        <f>SUMIFS($H$27:$H$106,$A$27:$A$106,8)</f>
        <v/>
      </c>
      <c r="L16" s="23">
        <f>SUMIFS($H$27:$H$106,$A$27:$A$106,9)</f>
        <v/>
      </c>
      <c r="M16" s="23">
        <f>SUMIFS($H$27:$H$106,$A$27:$A$106,10)</f>
        <v/>
      </c>
      <c r="N16" s="23">
        <f>SUMIFS($H$27:$H$106,$A$27:$A$106,11)</f>
        <v/>
      </c>
      <c r="O16" s="23">
        <f>SUMIFS($H$27:$H$106,$A$27:$A$106,12)</f>
        <v/>
      </c>
      <c r="P16" s="23">
        <f>SUMIFS($H$27:$H$106,$A$27:$A$106,13)</f>
        <v/>
      </c>
      <c r="Q16" s="23">
        <f>SUMIFS($H$27:$H$106,$A$27:$A$106,14)</f>
        <v/>
      </c>
      <c r="R16" s="23">
        <f>SUMIFS($H$27:$H$106,$A$27:$A$106,15)</f>
        <v/>
      </c>
      <c r="S16" s="23">
        <f>SUMIFS($H$27:$H$106,$A$27:$A$106,16)</f>
        <v/>
      </c>
      <c r="T16" s="23">
        <f>SUMIFS($H$27:$H$106,$A$27:$A$106,17)</f>
        <v/>
      </c>
      <c r="U16" s="23">
        <f>SUMIFS($H$27:$H$106,$A$27:$A$106,18)</f>
        <v/>
      </c>
      <c r="V16" s="23">
        <f>SUMIFS($H$27:$H$106,$A$27:$A$106,19)</f>
        <v/>
      </c>
      <c r="W16" s="23">
        <f>SUMIFS($H$27:$H$106,$A$27:$A$106,20)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SUMIFS($M$27:$M$106,$A$27:$A$106,0)</f>
        <v/>
      </c>
      <c r="D17" s="25">
        <f>SUMIFS($M$27:$M$106,$A$27:$A$106,1)</f>
        <v/>
      </c>
      <c r="E17" s="25">
        <f>SUMIFS($M$27:$M$106,$A$27:$A$106,2)</f>
        <v/>
      </c>
      <c r="F17" s="25">
        <f>SUMIFS($M$27:$M$106,$A$27:$A$106,3)</f>
        <v/>
      </c>
      <c r="G17" s="25">
        <f>SUMIFS($M$27:$M$106,$A$27:$A$106,4)</f>
        <v/>
      </c>
      <c r="H17" s="25">
        <f>SUMIFS($M$27:$M$106,$A$27:$A$106,5)</f>
        <v/>
      </c>
      <c r="I17" s="25">
        <f>SUMIFS($M$27:$M$106,$A$27:$A$106,6)</f>
        <v/>
      </c>
      <c r="J17" s="25">
        <f>SUMIFS($M$27:$M$106,$A$27:$A$106,7)</f>
        <v/>
      </c>
      <c r="K17" s="25">
        <f>SUMIFS($M$27:$M$106,$A$27:$A$106,8)</f>
        <v/>
      </c>
      <c r="L17" s="25">
        <f>SUMIFS($M$27:$M$106,$A$27:$A$106,9)</f>
        <v/>
      </c>
      <c r="M17" s="25">
        <f>SUMIFS($M$27:$M$106,$A$27:$A$106,10)</f>
        <v/>
      </c>
      <c r="N17" s="25">
        <f>SUMIFS($M$27:$M$106,$A$27:$A$106,11)</f>
        <v/>
      </c>
      <c r="O17" s="25">
        <f>SUMIFS($M$27:$M$106,$A$27:$A$106,12)</f>
        <v/>
      </c>
      <c r="P17" s="25">
        <f>SUMIFS($M$27:$M$106,$A$27:$A$106,13)</f>
        <v/>
      </c>
      <c r="Q17" s="25">
        <f>SUMIFS($M$27:$M$106,$A$27:$A$106,14)</f>
        <v/>
      </c>
      <c r="R17" s="25">
        <f>SUMIFS($M$27:$M$106,$A$27:$A$106,15)</f>
        <v/>
      </c>
      <c r="S17" s="25">
        <f>SUMIFS($M$27:$M$106,$A$27:$A$106,16)</f>
        <v/>
      </c>
      <c r="T17" s="25">
        <f>SUMIFS($M$27:$M$106,$A$27:$A$106,17)</f>
        <v/>
      </c>
      <c r="U17" s="25">
        <f>SUMIFS($M$27:$M$106,$A$27:$A$106,18)</f>
        <v/>
      </c>
      <c r="V17" s="25">
        <f>SUMIFS($M$27:$M$106,$A$27:$A$106,19)</f>
        <v/>
      </c>
      <c r="W17" s="25">
        <f>SUMIFS($M$27:$M$106,$A$27:$A$106,20)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Managing Partner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143470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Managing Partner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143470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Managing Partner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143470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Managing Partner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143470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Managing Partner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147774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Managing Partner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147774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Managing Partner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147774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Managing Partner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147774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Managing Partner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152207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Managing Partner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152207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Managing Partner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152207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Managing Partner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152207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Managing Partner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156774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Managing Partner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156774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Managing Partner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156774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Managing Partner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156774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Managing Partner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161477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Managing Partner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161477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Managing Partner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161477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Managing Partner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161477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key_person</t>
        </is>
      </c>
      <c r="C47" t="inlineStr">
        <is>
          <t>Partner – Corporate Law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143470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Partner – Corporate Law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143470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Partner – Corporate Law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143470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Partner – Corporate Law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143470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Partner – Corporate Law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147774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Partner – Corporate Law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147774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Partner – Corporate Law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147774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Partner – Corporate Law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147774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Partner – Corporate Law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152207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Partner – Corporate Law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152207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Partner – Corporate Law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152207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Partner – Corporate Law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152207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Partner – Corporate Law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156774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Partner – Corporate Law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156774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Partner – Corporate Law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156774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Partner – Corporate Law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156774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Partner – Corporate Law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161477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Partner – Corporate Law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161477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Partner – Corporate Law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161477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Partner – Corporate Law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161477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key_person</t>
        </is>
      </c>
      <c r="C67" t="inlineStr">
        <is>
          <t>Office Manager</t>
        </is>
      </c>
      <c r="D67" t="inlineStr"/>
      <c r="E67" s="29" t="n">
        <v>1</v>
      </c>
      <c r="F67" s="29" t="n">
        <v>0</v>
      </c>
      <c r="G67" s="30">
        <f>E67+F67</f>
        <v/>
      </c>
      <c r="H67" s="30">
        <f>(E67+G67)/2</f>
        <v/>
      </c>
      <c r="I67" s="31" t="n">
        <v>75390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oews_median</t>
        </is>
      </c>
    </row>
    <row r="68">
      <c r="A68" t="n">
        <v>2</v>
      </c>
      <c r="B68" t="inlineStr">
        <is>
          <t>key_person</t>
        </is>
      </c>
      <c r="C68" t="inlineStr">
        <is>
          <t>Office Manager</t>
        </is>
      </c>
      <c r="D68" t="inlineStr"/>
      <c r="E68" s="29" t="n">
        <v>1</v>
      </c>
      <c r="F68" s="29" t="n">
        <v>0</v>
      </c>
      <c r="G68" s="30">
        <f>E68+F68</f>
        <v/>
      </c>
      <c r="H68" s="30">
        <f>(E68+G68)/2</f>
        <v/>
      </c>
      <c r="I68" s="31" t="n">
        <v>75390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oews_median</t>
        </is>
      </c>
    </row>
    <row r="69">
      <c r="A69" t="n">
        <v>3</v>
      </c>
      <c r="B69" t="inlineStr">
        <is>
          <t>key_person</t>
        </is>
      </c>
      <c r="C69" t="inlineStr">
        <is>
          <t>Office Manager</t>
        </is>
      </c>
      <c r="D69" t="inlineStr"/>
      <c r="E69" s="29" t="n">
        <v>1</v>
      </c>
      <c r="F69" s="29" t="n">
        <v>0</v>
      </c>
      <c r="G69" s="30">
        <f>E69+F69</f>
        <v/>
      </c>
      <c r="H69" s="30">
        <f>(E69+G69)/2</f>
        <v/>
      </c>
      <c r="I69" s="31" t="n">
        <v>75390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oews_median</t>
        </is>
      </c>
    </row>
    <row r="70">
      <c r="A70" t="n">
        <v>4</v>
      </c>
      <c r="B70" t="inlineStr">
        <is>
          <t>key_person</t>
        </is>
      </c>
      <c r="C70" t="inlineStr">
        <is>
          <t>Office Manager</t>
        </is>
      </c>
      <c r="D70" t="inlineStr"/>
      <c r="E70" s="29" t="n">
        <v>1</v>
      </c>
      <c r="F70" s="29" t="n">
        <v>0</v>
      </c>
      <c r="G70" s="30">
        <f>E70+F70</f>
        <v/>
      </c>
      <c r="H70" s="30">
        <f>(E70+G70)/2</f>
        <v/>
      </c>
      <c r="I70" s="31" t="n">
        <v>75390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oews_median</t>
        </is>
      </c>
    </row>
    <row r="71">
      <c r="A71" t="n">
        <v>5</v>
      </c>
      <c r="B71" t="inlineStr">
        <is>
          <t>key_person</t>
        </is>
      </c>
      <c r="C71" t="inlineStr">
        <is>
          <t>Office Manager</t>
        </is>
      </c>
      <c r="D71" t="inlineStr"/>
      <c r="E71" s="29" t="n">
        <v>1</v>
      </c>
      <c r="F71" s="29" t="n">
        <v>0</v>
      </c>
      <c r="G71" s="30">
        <f>E71+F71</f>
        <v/>
      </c>
      <c r="H71" s="30">
        <f>(E71+G71)/2</f>
        <v/>
      </c>
      <c r="I71" s="31" t="n">
        <v>77652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oews_median</t>
        </is>
      </c>
    </row>
    <row r="72">
      <c r="A72" t="n">
        <v>6</v>
      </c>
      <c r="B72" t="inlineStr">
        <is>
          <t>key_person</t>
        </is>
      </c>
      <c r="C72" t="inlineStr">
        <is>
          <t>Office Manager</t>
        </is>
      </c>
      <c r="D72" t="inlineStr"/>
      <c r="E72" s="29" t="n">
        <v>1</v>
      </c>
      <c r="F72" s="29" t="n">
        <v>0</v>
      </c>
      <c r="G72" s="30">
        <f>E72+F72</f>
        <v/>
      </c>
      <c r="H72" s="30">
        <f>(E72+G72)/2</f>
        <v/>
      </c>
      <c r="I72" s="31" t="n">
        <v>77652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oews_median</t>
        </is>
      </c>
    </row>
    <row r="73">
      <c r="A73" t="n">
        <v>7</v>
      </c>
      <c r="B73" t="inlineStr">
        <is>
          <t>key_person</t>
        </is>
      </c>
      <c r="C73" t="inlineStr">
        <is>
          <t>Office Manager</t>
        </is>
      </c>
      <c r="D73" t="inlineStr"/>
      <c r="E73" s="29" t="n">
        <v>1</v>
      </c>
      <c r="F73" s="29" t="n">
        <v>0</v>
      </c>
      <c r="G73" s="30">
        <f>E73+F73</f>
        <v/>
      </c>
      <c r="H73" s="30">
        <f>(E73+G73)/2</f>
        <v/>
      </c>
      <c r="I73" s="31" t="n">
        <v>77652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oews_median</t>
        </is>
      </c>
    </row>
    <row r="74">
      <c r="A74" t="n">
        <v>8</v>
      </c>
      <c r="B74" t="inlineStr">
        <is>
          <t>key_person</t>
        </is>
      </c>
      <c r="C74" t="inlineStr">
        <is>
          <t>Office Manager</t>
        </is>
      </c>
      <c r="D74" t="inlineStr"/>
      <c r="E74" s="29" t="n">
        <v>1</v>
      </c>
      <c r="F74" s="29" t="n">
        <v>0</v>
      </c>
      <c r="G74" s="30">
        <f>E74+F74</f>
        <v/>
      </c>
      <c r="H74" s="30">
        <f>(E74+G74)/2</f>
        <v/>
      </c>
      <c r="I74" s="31" t="n">
        <v>77652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oews_median</t>
        </is>
      </c>
    </row>
    <row r="75">
      <c r="A75" t="n">
        <v>9</v>
      </c>
      <c r="B75" t="inlineStr">
        <is>
          <t>key_person</t>
        </is>
      </c>
      <c r="C75" t="inlineStr">
        <is>
          <t>Office Manager</t>
        </is>
      </c>
      <c r="D75" t="inlineStr"/>
      <c r="E75" s="29" t="n">
        <v>1</v>
      </c>
      <c r="F75" s="29" t="n">
        <v>0</v>
      </c>
      <c r="G75" s="30">
        <f>E75+F75</f>
        <v/>
      </c>
      <c r="H75" s="30">
        <f>(E75+G75)/2</f>
        <v/>
      </c>
      <c r="I75" s="31" t="n">
        <v>79981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oews_median</t>
        </is>
      </c>
    </row>
    <row r="76">
      <c r="A76" t="n">
        <v>10</v>
      </c>
      <c r="B76" t="inlineStr">
        <is>
          <t>key_person</t>
        </is>
      </c>
      <c r="C76" t="inlineStr">
        <is>
          <t>Office Manager</t>
        </is>
      </c>
      <c r="D76" t="inlineStr"/>
      <c r="E76" s="29" t="n">
        <v>1</v>
      </c>
      <c r="F76" s="29" t="n">
        <v>0</v>
      </c>
      <c r="G76" s="30">
        <f>E76+F76</f>
        <v/>
      </c>
      <c r="H76" s="30">
        <f>(E76+G76)/2</f>
        <v/>
      </c>
      <c r="I76" s="31" t="n">
        <v>79981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oews_median</t>
        </is>
      </c>
    </row>
    <row r="77">
      <c r="A77" t="n">
        <v>11</v>
      </c>
      <c r="B77" t="inlineStr">
        <is>
          <t>key_person</t>
        </is>
      </c>
      <c r="C77" t="inlineStr">
        <is>
          <t>Office Manager</t>
        </is>
      </c>
      <c r="D77" t="inlineStr"/>
      <c r="E77" s="29" t="n">
        <v>1</v>
      </c>
      <c r="F77" s="29" t="n">
        <v>0</v>
      </c>
      <c r="G77" s="30">
        <f>E77+F77</f>
        <v/>
      </c>
      <c r="H77" s="30">
        <f>(E77+G77)/2</f>
        <v/>
      </c>
      <c r="I77" s="31" t="n">
        <v>79981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oews_median</t>
        </is>
      </c>
    </row>
    <row r="78">
      <c r="A78" t="n">
        <v>12</v>
      </c>
      <c r="B78" t="inlineStr">
        <is>
          <t>key_person</t>
        </is>
      </c>
      <c r="C78" t="inlineStr">
        <is>
          <t>Office Manager</t>
        </is>
      </c>
      <c r="D78" t="inlineStr"/>
      <c r="E78" s="29" t="n">
        <v>1</v>
      </c>
      <c r="F78" s="29" t="n">
        <v>0</v>
      </c>
      <c r="G78" s="30">
        <f>E78+F78</f>
        <v/>
      </c>
      <c r="H78" s="30">
        <f>(E78+G78)/2</f>
        <v/>
      </c>
      <c r="I78" s="31" t="n">
        <v>79981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oews_median</t>
        </is>
      </c>
    </row>
    <row r="79">
      <c r="A79" t="n">
        <v>13</v>
      </c>
      <c r="B79" t="inlineStr">
        <is>
          <t>key_person</t>
        </is>
      </c>
      <c r="C79" t="inlineStr">
        <is>
          <t>Office Manager</t>
        </is>
      </c>
      <c r="D79" t="inlineStr"/>
      <c r="E79" s="29" t="n">
        <v>1</v>
      </c>
      <c r="F79" s="29" t="n">
        <v>0</v>
      </c>
      <c r="G79" s="30">
        <f>E79+F79</f>
        <v/>
      </c>
      <c r="H79" s="30">
        <f>(E79+G79)/2</f>
        <v/>
      </c>
      <c r="I79" s="31" t="n">
        <v>82381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oews_median</t>
        </is>
      </c>
    </row>
    <row r="80">
      <c r="A80" t="n">
        <v>14</v>
      </c>
      <c r="B80" t="inlineStr">
        <is>
          <t>key_person</t>
        </is>
      </c>
      <c r="C80" t="inlineStr">
        <is>
          <t>Office Manager</t>
        </is>
      </c>
      <c r="D80" t="inlineStr"/>
      <c r="E80" s="29" t="n">
        <v>1</v>
      </c>
      <c r="F80" s="29" t="n">
        <v>0</v>
      </c>
      <c r="G80" s="30">
        <f>E80+F80</f>
        <v/>
      </c>
      <c r="H80" s="30">
        <f>(E80+G80)/2</f>
        <v/>
      </c>
      <c r="I80" s="31" t="n">
        <v>82381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oews_median</t>
        </is>
      </c>
    </row>
    <row r="81">
      <c r="A81" t="n">
        <v>15</v>
      </c>
      <c r="B81" t="inlineStr">
        <is>
          <t>key_person</t>
        </is>
      </c>
      <c r="C81" t="inlineStr">
        <is>
          <t>Office Manager</t>
        </is>
      </c>
      <c r="D81" t="inlineStr"/>
      <c r="E81" s="29" t="n">
        <v>1</v>
      </c>
      <c r="F81" s="29" t="n">
        <v>0</v>
      </c>
      <c r="G81" s="30">
        <f>E81+F81</f>
        <v/>
      </c>
      <c r="H81" s="30">
        <f>(E81+G81)/2</f>
        <v/>
      </c>
      <c r="I81" s="31" t="n">
        <v>82381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oews_median</t>
        </is>
      </c>
    </row>
    <row r="82">
      <c r="A82" t="n">
        <v>16</v>
      </c>
      <c r="B82" t="inlineStr">
        <is>
          <t>key_person</t>
        </is>
      </c>
      <c r="C82" t="inlineStr">
        <is>
          <t>Office Manager</t>
        </is>
      </c>
      <c r="D82" t="inlineStr"/>
      <c r="E82" s="29" t="n">
        <v>1</v>
      </c>
      <c r="F82" s="29" t="n">
        <v>0</v>
      </c>
      <c r="G82" s="30">
        <f>E82+F82</f>
        <v/>
      </c>
      <c r="H82" s="30">
        <f>(E82+G82)/2</f>
        <v/>
      </c>
      <c r="I82" s="31" t="n">
        <v>82381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oews_median</t>
        </is>
      </c>
    </row>
    <row r="83">
      <c r="A83" t="n">
        <v>17</v>
      </c>
      <c r="B83" t="inlineStr">
        <is>
          <t>key_person</t>
        </is>
      </c>
      <c r="C83" t="inlineStr">
        <is>
          <t>Office Manager</t>
        </is>
      </c>
      <c r="D83" t="inlineStr"/>
      <c r="E83" s="29" t="n">
        <v>1</v>
      </c>
      <c r="F83" s="29" t="n">
        <v>0</v>
      </c>
      <c r="G83" s="30">
        <f>E83+F83</f>
        <v/>
      </c>
      <c r="H83" s="30">
        <f>(E83+G83)/2</f>
        <v/>
      </c>
      <c r="I83" s="31" t="n">
        <v>84852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oews_median</t>
        </is>
      </c>
    </row>
    <row r="84">
      <c r="A84" t="n">
        <v>18</v>
      </c>
      <c r="B84" t="inlineStr">
        <is>
          <t>key_person</t>
        </is>
      </c>
      <c r="C84" t="inlineStr">
        <is>
          <t>Office Manager</t>
        </is>
      </c>
      <c r="D84" t="inlineStr"/>
      <c r="E84" s="29" t="n">
        <v>1</v>
      </c>
      <c r="F84" s="29" t="n">
        <v>0</v>
      </c>
      <c r="G84" s="30">
        <f>E84+F84</f>
        <v/>
      </c>
      <c r="H84" s="30">
        <f>(E84+G84)/2</f>
        <v/>
      </c>
      <c r="I84" s="31" t="n">
        <v>84852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oews_median</t>
        </is>
      </c>
    </row>
    <row r="85">
      <c r="A85" t="n">
        <v>19</v>
      </c>
      <c r="B85" t="inlineStr">
        <is>
          <t>key_person</t>
        </is>
      </c>
      <c r="C85" t="inlineStr">
        <is>
          <t>Office Manager</t>
        </is>
      </c>
      <c r="D85" t="inlineStr"/>
      <c r="E85" s="29" t="n">
        <v>1</v>
      </c>
      <c r="F85" s="29" t="n">
        <v>0</v>
      </c>
      <c r="G85" s="30">
        <f>E85+F85</f>
        <v/>
      </c>
      <c r="H85" s="30">
        <f>(E85+G85)/2</f>
        <v/>
      </c>
      <c r="I85" s="31" t="n">
        <v>84852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oews_median</t>
        </is>
      </c>
    </row>
    <row r="86">
      <c r="A86" t="n">
        <v>20</v>
      </c>
      <c r="B86" t="inlineStr">
        <is>
          <t>key_person</t>
        </is>
      </c>
      <c r="C86" t="inlineStr">
        <is>
          <t>Office Manager</t>
        </is>
      </c>
      <c r="D86" t="inlineStr"/>
      <c r="E86" s="29" t="n">
        <v>1</v>
      </c>
      <c r="F86" s="29" t="n">
        <v>0</v>
      </c>
      <c r="G86" s="30">
        <f>E86+F86</f>
        <v/>
      </c>
      <c r="H86" s="30">
        <f>(E86+G86)/2</f>
        <v/>
      </c>
      <c r="I86" s="31" t="n">
        <v>84852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oews_median</t>
        </is>
      </c>
    </row>
    <row r="87">
      <c r="A87" t="n">
        <v>1</v>
      </c>
      <c r="B87" t="inlineStr">
        <is>
          <t>supporting_staff</t>
        </is>
      </c>
      <c r="C87" t="inlineStr">
        <is>
          <t>Paralegals and Legal Assistants</t>
        </is>
      </c>
      <c r="D87" t="inlineStr">
        <is>
          <t>Paralegals and Legal Assistants</t>
        </is>
      </c>
      <c r="E87" s="29" t="n">
        <v>1</v>
      </c>
      <c r="F87" s="29" t="n">
        <v>0</v>
      </c>
      <c r="G87" s="30">
        <f>E87+F87</f>
        <v/>
      </c>
      <c r="H87" s="30">
        <f>(E87+G87)/2</f>
        <v/>
      </c>
      <c r="I87" s="31" t="n">
        <v>71760</v>
      </c>
      <c r="J87" s="32" t="n">
        <v>0.22</v>
      </c>
      <c r="K87" s="33">
        <f>H87*I87/4</f>
        <v/>
      </c>
      <c r="L87" s="33">
        <f>K87*J87</f>
        <v/>
      </c>
      <c r="M87" s="33">
        <f>K87+L87</f>
        <v/>
      </c>
      <c r="N87" t="inlineStr">
        <is>
          <t>oews_title_catalog:oews_median</t>
        </is>
      </c>
    </row>
    <row r="88">
      <c r="A88" t="n">
        <v>2</v>
      </c>
      <c r="B88" t="inlineStr">
        <is>
          <t>supporting_staff</t>
        </is>
      </c>
      <c r="C88" t="inlineStr">
        <is>
          <t>Paralegals and Legal Assistants</t>
        </is>
      </c>
      <c r="D88" t="inlineStr">
        <is>
          <t>Paralegals and Legal Assistants</t>
        </is>
      </c>
      <c r="E88" s="29" t="n">
        <v>1</v>
      </c>
      <c r="F88" s="29" t="n">
        <v>0</v>
      </c>
      <c r="G88" s="30">
        <f>E88+F88</f>
        <v/>
      </c>
      <c r="H88" s="30">
        <f>(E88+G88)/2</f>
        <v/>
      </c>
      <c r="I88" s="31" t="n">
        <v>71760</v>
      </c>
      <c r="J88" s="32" t="n">
        <v>0.22</v>
      </c>
      <c r="K88" s="33">
        <f>H88*I88/4</f>
        <v/>
      </c>
      <c r="L88" s="33">
        <f>K88*J88</f>
        <v/>
      </c>
      <c r="M88" s="33">
        <f>K88+L88</f>
        <v/>
      </c>
      <c r="N88" t="inlineStr">
        <is>
          <t>oews_title_catalog:oews_median</t>
        </is>
      </c>
    </row>
    <row r="89">
      <c r="A89" t="n">
        <v>3</v>
      </c>
      <c r="B89" t="inlineStr">
        <is>
          <t>supporting_staff</t>
        </is>
      </c>
      <c r="C89" t="inlineStr">
        <is>
          <t>Paralegals and Legal Assistants</t>
        </is>
      </c>
      <c r="D89" t="inlineStr">
        <is>
          <t>Paralegals and Legal Assistants</t>
        </is>
      </c>
      <c r="E89" s="29" t="n">
        <v>1</v>
      </c>
      <c r="F89" s="29" t="n">
        <v>0</v>
      </c>
      <c r="G89" s="30">
        <f>E89+F89</f>
        <v/>
      </c>
      <c r="H89" s="30">
        <f>(E89+G89)/2</f>
        <v/>
      </c>
      <c r="I89" s="31" t="n">
        <v>71760</v>
      </c>
      <c r="J89" s="32" t="n">
        <v>0.22</v>
      </c>
      <c r="K89" s="33">
        <f>H89*I89/4</f>
        <v/>
      </c>
      <c r="L89" s="33">
        <f>K89*J89</f>
        <v/>
      </c>
      <c r="M89" s="33">
        <f>K89+L89</f>
        <v/>
      </c>
      <c r="N89" t="inlineStr">
        <is>
          <t>oews_title_catalog:oews_median</t>
        </is>
      </c>
    </row>
    <row r="90">
      <c r="A90" t="n">
        <v>4</v>
      </c>
      <c r="B90" t="inlineStr">
        <is>
          <t>supporting_staff</t>
        </is>
      </c>
      <c r="C90" t="inlineStr">
        <is>
          <t>Paralegals and Legal Assistants</t>
        </is>
      </c>
      <c r="D90" t="inlineStr">
        <is>
          <t>Paralegals and Legal Assistants</t>
        </is>
      </c>
      <c r="E90" s="29" t="n">
        <v>1</v>
      </c>
      <c r="F90" s="29" t="n">
        <v>0</v>
      </c>
      <c r="G90" s="30">
        <f>E90+F90</f>
        <v/>
      </c>
      <c r="H90" s="30">
        <f>(E90+G90)/2</f>
        <v/>
      </c>
      <c r="I90" s="31" t="n">
        <v>71760</v>
      </c>
      <c r="J90" s="32" t="n">
        <v>0.22</v>
      </c>
      <c r="K90" s="33">
        <f>H90*I90/4</f>
        <v/>
      </c>
      <c r="L90" s="33">
        <f>K90*J90</f>
        <v/>
      </c>
      <c r="M90" s="33">
        <f>K90+L90</f>
        <v/>
      </c>
      <c r="N90" t="inlineStr">
        <is>
          <t>oews_title_catalog:oews_median</t>
        </is>
      </c>
    </row>
    <row r="91">
      <c r="A91" t="n">
        <v>5</v>
      </c>
      <c r="B91" t="inlineStr">
        <is>
          <t>supporting_staff</t>
        </is>
      </c>
      <c r="C91" t="inlineStr">
        <is>
          <t>Paralegals and Legal Assistants</t>
        </is>
      </c>
      <c r="D91" t="inlineStr">
        <is>
          <t>Paralegals and Legal Assistants</t>
        </is>
      </c>
      <c r="E91" s="29" t="n">
        <v>1</v>
      </c>
      <c r="F91" s="29" t="n">
        <v>0</v>
      </c>
      <c r="G91" s="30">
        <f>E91+F91</f>
        <v/>
      </c>
      <c r="H91" s="30">
        <f>(E91+G91)/2</f>
        <v/>
      </c>
      <c r="I91" s="31" t="n">
        <v>73913</v>
      </c>
      <c r="J91" s="32" t="n">
        <v>0.22</v>
      </c>
      <c r="K91" s="33">
        <f>H91*I91/4</f>
        <v/>
      </c>
      <c r="L91" s="33">
        <f>K91*J91</f>
        <v/>
      </c>
      <c r="M91" s="33">
        <f>K91+L91</f>
        <v/>
      </c>
      <c r="N91" t="inlineStr">
        <is>
          <t>oews_title_catalog:oews_median</t>
        </is>
      </c>
    </row>
    <row r="92">
      <c r="A92" t="n">
        <v>6</v>
      </c>
      <c r="B92" t="inlineStr">
        <is>
          <t>supporting_staff</t>
        </is>
      </c>
      <c r="C92" t="inlineStr">
        <is>
          <t>Paralegals and Legal Assistants</t>
        </is>
      </c>
      <c r="D92" t="inlineStr">
        <is>
          <t>Paralegals and Legal Assistants</t>
        </is>
      </c>
      <c r="E92" s="29" t="n">
        <v>1</v>
      </c>
      <c r="F92" s="29" t="n">
        <v>0</v>
      </c>
      <c r="G92" s="30">
        <f>E92+F92</f>
        <v/>
      </c>
      <c r="H92" s="30">
        <f>(E92+G92)/2</f>
        <v/>
      </c>
      <c r="I92" s="31" t="n">
        <v>73913</v>
      </c>
      <c r="J92" s="32" t="n">
        <v>0.22</v>
      </c>
      <c r="K92" s="33">
        <f>H92*I92/4</f>
        <v/>
      </c>
      <c r="L92" s="33">
        <f>K92*J92</f>
        <v/>
      </c>
      <c r="M92" s="33">
        <f>K92+L92</f>
        <v/>
      </c>
      <c r="N92" t="inlineStr">
        <is>
          <t>oews_title_catalog:oews_median</t>
        </is>
      </c>
    </row>
    <row r="93">
      <c r="A93" t="n">
        <v>7</v>
      </c>
      <c r="B93" t="inlineStr">
        <is>
          <t>supporting_staff</t>
        </is>
      </c>
      <c r="C93" t="inlineStr">
        <is>
          <t>Paralegals and Legal Assistants</t>
        </is>
      </c>
      <c r="D93" t="inlineStr">
        <is>
          <t>Paralegals and Legal Assistants</t>
        </is>
      </c>
      <c r="E93" s="29" t="n">
        <v>1</v>
      </c>
      <c r="F93" s="29" t="n">
        <v>0</v>
      </c>
      <c r="G93" s="30">
        <f>E93+F93</f>
        <v/>
      </c>
      <c r="H93" s="30">
        <f>(E93+G93)/2</f>
        <v/>
      </c>
      <c r="I93" s="31" t="n">
        <v>73913</v>
      </c>
      <c r="J93" s="32" t="n">
        <v>0.22</v>
      </c>
      <c r="K93" s="33">
        <f>H93*I93/4</f>
        <v/>
      </c>
      <c r="L93" s="33">
        <f>K93*J93</f>
        <v/>
      </c>
      <c r="M93" s="33">
        <f>K93+L93</f>
        <v/>
      </c>
      <c r="N93" t="inlineStr">
        <is>
          <t>oews_title_catalog:oews_median</t>
        </is>
      </c>
    </row>
    <row r="94">
      <c r="A94" t="n">
        <v>8</v>
      </c>
      <c r="B94" t="inlineStr">
        <is>
          <t>supporting_staff</t>
        </is>
      </c>
      <c r="C94" t="inlineStr">
        <is>
          <t>Paralegals and Legal Assistants</t>
        </is>
      </c>
      <c r="D94" t="inlineStr">
        <is>
          <t>Paralegals and Legal Assistants</t>
        </is>
      </c>
      <c r="E94" s="29" t="n">
        <v>1</v>
      </c>
      <c r="F94" s="29" t="n">
        <v>0</v>
      </c>
      <c r="G94" s="30">
        <f>E94+F94</f>
        <v/>
      </c>
      <c r="H94" s="30">
        <f>(E94+G94)/2</f>
        <v/>
      </c>
      <c r="I94" s="31" t="n">
        <v>73913</v>
      </c>
      <c r="J94" s="32" t="n">
        <v>0.22</v>
      </c>
      <c r="K94" s="33">
        <f>H94*I94/4</f>
        <v/>
      </c>
      <c r="L94" s="33">
        <f>K94*J94</f>
        <v/>
      </c>
      <c r="M94" s="33">
        <f>K94+L94</f>
        <v/>
      </c>
      <c r="N94" t="inlineStr">
        <is>
          <t>oews_title_catalog:oews_median</t>
        </is>
      </c>
    </row>
    <row r="95">
      <c r="A95" t="n">
        <v>9</v>
      </c>
      <c r="B95" t="inlineStr">
        <is>
          <t>supporting_staff</t>
        </is>
      </c>
      <c r="C95" t="inlineStr">
        <is>
          <t>Paralegals and Legal Assistants</t>
        </is>
      </c>
      <c r="D95" t="inlineStr">
        <is>
          <t>Paralegals and Legal Assistants</t>
        </is>
      </c>
      <c r="E95" s="29" t="n">
        <v>1</v>
      </c>
      <c r="F95" s="29" t="n">
        <v>0</v>
      </c>
      <c r="G95" s="30">
        <f>E95+F95</f>
        <v/>
      </c>
      <c r="H95" s="30">
        <f>(E95+G95)/2</f>
        <v/>
      </c>
      <c r="I95" s="31" t="n">
        <v>76130</v>
      </c>
      <c r="J95" s="32" t="n">
        <v>0.22</v>
      </c>
      <c r="K95" s="33">
        <f>H95*I95/4</f>
        <v/>
      </c>
      <c r="L95" s="33">
        <f>K95*J95</f>
        <v/>
      </c>
      <c r="M95" s="33">
        <f>K95+L95</f>
        <v/>
      </c>
      <c r="N95" t="inlineStr">
        <is>
          <t>oews_title_catalog:oews_median</t>
        </is>
      </c>
    </row>
    <row r="96">
      <c r="A96" t="n">
        <v>10</v>
      </c>
      <c r="B96" t="inlineStr">
        <is>
          <t>supporting_staff</t>
        </is>
      </c>
      <c r="C96" t="inlineStr">
        <is>
          <t>Paralegals and Legal Assistants</t>
        </is>
      </c>
      <c r="D96" t="inlineStr">
        <is>
          <t>Paralegals and Legal Assistants</t>
        </is>
      </c>
      <c r="E96" s="29" t="n">
        <v>1</v>
      </c>
      <c r="F96" s="29" t="n">
        <v>0</v>
      </c>
      <c r="G96" s="30">
        <f>E96+F96</f>
        <v/>
      </c>
      <c r="H96" s="30">
        <f>(E96+G96)/2</f>
        <v/>
      </c>
      <c r="I96" s="31" t="n">
        <v>76130</v>
      </c>
      <c r="J96" s="32" t="n">
        <v>0.22</v>
      </c>
      <c r="K96" s="33">
        <f>H96*I96/4</f>
        <v/>
      </c>
      <c r="L96" s="33">
        <f>K96*J96</f>
        <v/>
      </c>
      <c r="M96" s="33">
        <f>K96+L96</f>
        <v/>
      </c>
      <c r="N96" t="inlineStr">
        <is>
          <t>oews_title_catalog:oews_median</t>
        </is>
      </c>
    </row>
    <row r="97">
      <c r="A97" t="n">
        <v>11</v>
      </c>
      <c r="B97" t="inlineStr">
        <is>
          <t>supporting_staff</t>
        </is>
      </c>
      <c r="C97" t="inlineStr">
        <is>
          <t>Paralegals and Legal Assistants</t>
        </is>
      </c>
      <c r="D97" t="inlineStr">
        <is>
          <t>Paralegals and Legal Assistants</t>
        </is>
      </c>
      <c r="E97" s="29" t="n">
        <v>1</v>
      </c>
      <c r="F97" s="29" t="n">
        <v>0</v>
      </c>
      <c r="G97" s="30">
        <f>E97+F97</f>
        <v/>
      </c>
      <c r="H97" s="30">
        <f>(E97+G97)/2</f>
        <v/>
      </c>
      <c r="I97" s="31" t="n">
        <v>76130</v>
      </c>
      <c r="J97" s="32" t="n">
        <v>0.22</v>
      </c>
      <c r="K97" s="33">
        <f>H97*I97/4</f>
        <v/>
      </c>
      <c r="L97" s="33">
        <f>K97*J97</f>
        <v/>
      </c>
      <c r="M97" s="33">
        <f>K97+L97</f>
        <v/>
      </c>
      <c r="N97" t="inlineStr">
        <is>
          <t>oews_title_catalog:oews_median</t>
        </is>
      </c>
    </row>
    <row r="98">
      <c r="A98" t="n">
        <v>12</v>
      </c>
      <c r="B98" t="inlineStr">
        <is>
          <t>supporting_staff</t>
        </is>
      </c>
      <c r="C98" t="inlineStr">
        <is>
          <t>Paralegals and Legal Assistants</t>
        </is>
      </c>
      <c r="D98" t="inlineStr">
        <is>
          <t>Paralegals and Legal Assistants</t>
        </is>
      </c>
      <c r="E98" s="29" t="n">
        <v>1</v>
      </c>
      <c r="F98" s="29" t="n">
        <v>0</v>
      </c>
      <c r="G98" s="30">
        <f>E98+F98</f>
        <v/>
      </c>
      <c r="H98" s="30">
        <f>(E98+G98)/2</f>
        <v/>
      </c>
      <c r="I98" s="31" t="n">
        <v>76130</v>
      </c>
      <c r="J98" s="32" t="n">
        <v>0.22</v>
      </c>
      <c r="K98" s="33">
        <f>H98*I98/4</f>
        <v/>
      </c>
      <c r="L98" s="33">
        <f>K98*J98</f>
        <v/>
      </c>
      <c r="M98" s="33">
        <f>K98+L98</f>
        <v/>
      </c>
      <c r="N98" t="inlineStr">
        <is>
          <t>oews_title_catalog:oews_median</t>
        </is>
      </c>
    </row>
    <row r="99">
      <c r="A99" t="n">
        <v>13</v>
      </c>
      <c r="B99" t="inlineStr">
        <is>
          <t>supporting_staff</t>
        </is>
      </c>
      <c r="C99" t="inlineStr">
        <is>
          <t>Paralegals and Legal Assistants</t>
        </is>
      </c>
      <c r="D99" t="inlineStr">
        <is>
          <t>Paralegals and Legal Assistants</t>
        </is>
      </c>
      <c r="E99" s="29" t="n">
        <v>1</v>
      </c>
      <c r="F99" s="29" t="n">
        <v>0</v>
      </c>
      <c r="G99" s="30">
        <f>E99+F99</f>
        <v/>
      </c>
      <c r="H99" s="30">
        <f>(E99+G99)/2</f>
        <v/>
      </c>
      <c r="I99" s="31" t="n">
        <v>78414</v>
      </c>
      <c r="J99" s="32" t="n">
        <v>0.22</v>
      </c>
      <c r="K99" s="33">
        <f>H99*I99/4</f>
        <v/>
      </c>
      <c r="L99" s="33">
        <f>K99*J99</f>
        <v/>
      </c>
      <c r="M99" s="33">
        <f>K99+L99</f>
        <v/>
      </c>
      <c r="N99" t="inlineStr">
        <is>
          <t>oews_title_catalog:oews_median</t>
        </is>
      </c>
    </row>
    <row r="100">
      <c r="A100" t="n">
        <v>14</v>
      </c>
      <c r="B100" t="inlineStr">
        <is>
          <t>supporting_staff</t>
        </is>
      </c>
      <c r="C100" t="inlineStr">
        <is>
          <t>Paralegals and Legal Assistants</t>
        </is>
      </c>
      <c r="D100" t="inlineStr">
        <is>
          <t>Paralegals and Legal Assistants</t>
        </is>
      </c>
      <c r="E100" s="29" t="n">
        <v>1</v>
      </c>
      <c r="F100" s="29" t="n">
        <v>0</v>
      </c>
      <c r="G100" s="30">
        <f>E100+F100</f>
        <v/>
      </c>
      <c r="H100" s="30">
        <f>(E100+G100)/2</f>
        <v/>
      </c>
      <c r="I100" s="31" t="n">
        <v>78414</v>
      </c>
      <c r="J100" s="32" t="n">
        <v>0.22</v>
      </c>
      <c r="K100" s="33">
        <f>H100*I100/4</f>
        <v/>
      </c>
      <c r="L100" s="33">
        <f>K100*J100</f>
        <v/>
      </c>
      <c r="M100" s="33">
        <f>K100+L100</f>
        <v/>
      </c>
      <c r="N100" t="inlineStr">
        <is>
          <t>oews_title_catalog:oews_median</t>
        </is>
      </c>
    </row>
    <row r="101">
      <c r="A101" t="n">
        <v>15</v>
      </c>
      <c r="B101" t="inlineStr">
        <is>
          <t>supporting_staff</t>
        </is>
      </c>
      <c r="C101" t="inlineStr">
        <is>
          <t>Paralegals and Legal Assistants</t>
        </is>
      </c>
      <c r="D101" t="inlineStr">
        <is>
          <t>Paralegals and Legal Assistants</t>
        </is>
      </c>
      <c r="E101" s="29" t="n">
        <v>1</v>
      </c>
      <c r="F101" s="29" t="n">
        <v>0</v>
      </c>
      <c r="G101" s="30">
        <f>E101+F101</f>
        <v/>
      </c>
      <c r="H101" s="30">
        <f>(E101+G101)/2</f>
        <v/>
      </c>
      <c r="I101" s="31" t="n">
        <v>78414</v>
      </c>
      <c r="J101" s="32" t="n">
        <v>0.22</v>
      </c>
      <c r="K101" s="33">
        <f>H101*I101/4</f>
        <v/>
      </c>
      <c r="L101" s="33">
        <f>K101*J101</f>
        <v/>
      </c>
      <c r="M101" s="33">
        <f>K101+L101</f>
        <v/>
      </c>
      <c r="N101" t="inlineStr">
        <is>
          <t>oews_title_catalog:oews_median</t>
        </is>
      </c>
    </row>
    <row r="102">
      <c r="A102" t="n">
        <v>16</v>
      </c>
      <c r="B102" t="inlineStr">
        <is>
          <t>supporting_staff</t>
        </is>
      </c>
      <c r="C102" t="inlineStr">
        <is>
          <t>Paralegals and Legal Assistants</t>
        </is>
      </c>
      <c r="D102" t="inlineStr">
        <is>
          <t>Paralegals and Legal Assistants</t>
        </is>
      </c>
      <c r="E102" s="29" t="n">
        <v>1</v>
      </c>
      <c r="F102" s="29" t="n">
        <v>0</v>
      </c>
      <c r="G102" s="30">
        <f>E102+F102</f>
        <v/>
      </c>
      <c r="H102" s="30">
        <f>(E102+G102)/2</f>
        <v/>
      </c>
      <c r="I102" s="31" t="n">
        <v>78414</v>
      </c>
      <c r="J102" s="32" t="n">
        <v>0.22</v>
      </c>
      <c r="K102" s="33">
        <f>H102*I102/4</f>
        <v/>
      </c>
      <c r="L102" s="33">
        <f>K102*J102</f>
        <v/>
      </c>
      <c r="M102" s="33">
        <f>K102+L102</f>
        <v/>
      </c>
      <c r="N102" t="inlineStr">
        <is>
          <t>oews_title_catalog:oews_median</t>
        </is>
      </c>
    </row>
    <row r="103">
      <c r="A103" t="n">
        <v>17</v>
      </c>
      <c r="B103" t="inlineStr">
        <is>
          <t>supporting_staff</t>
        </is>
      </c>
      <c r="C103" t="inlineStr">
        <is>
          <t>Paralegals and Legal Assistants</t>
        </is>
      </c>
      <c r="D103" t="inlineStr">
        <is>
          <t>Paralegals and Legal Assistants</t>
        </is>
      </c>
      <c r="E103" s="29" t="n">
        <v>1</v>
      </c>
      <c r="F103" s="29" t="n">
        <v>0</v>
      </c>
      <c r="G103" s="30">
        <f>E103+F103</f>
        <v/>
      </c>
      <c r="H103" s="30">
        <f>(E103+G103)/2</f>
        <v/>
      </c>
      <c r="I103" s="31" t="n">
        <v>80767</v>
      </c>
      <c r="J103" s="32" t="n">
        <v>0.22</v>
      </c>
      <c r="K103" s="33">
        <f>H103*I103/4</f>
        <v/>
      </c>
      <c r="L103" s="33">
        <f>K103*J103</f>
        <v/>
      </c>
      <c r="M103" s="33">
        <f>K103+L103</f>
        <v/>
      </c>
      <c r="N103" t="inlineStr">
        <is>
          <t>oews_title_catalog:oews_median</t>
        </is>
      </c>
    </row>
    <row r="104">
      <c r="A104" t="n">
        <v>18</v>
      </c>
      <c r="B104" t="inlineStr">
        <is>
          <t>supporting_staff</t>
        </is>
      </c>
      <c r="C104" t="inlineStr">
        <is>
          <t>Paralegals and Legal Assistants</t>
        </is>
      </c>
      <c r="D104" t="inlineStr">
        <is>
          <t>Paralegals and Legal Assistants</t>
        </is>
      </c>
      <c r="E104" s="29" t="n">
        <v>1</v>
      </c>
      <c r="F104" s="29" t="n">
        <v>0</v>
      </c>
      <c r="G104" s="30">
        <f>E104+F104</f>
        <v/>
      </c>
      <c r="H104" s="30">
        <f>(E104+G104)/2</f>
        <v/>
      </c>
      <c r="I104" s="31" t="n">
        <v>80767</v>
      </c>
      <c r="J104" s="32" t="n">
        <v>0.22</v>
      </c>
      <c r="K104" s="33">
        <f>H104*I104/4</f>
        <v/>
      </c>
      <c r="L104" s="33">
        <f>K104*J104</f>
        <v/>
      </c>
      <c r="M104" s="33">
        <f>K104+L104</f>
        <v/>
      </c>
      <c r="N104" t="inlineStr">
        <is>
          <t>oews_title_catalog:oews_median</t>
        </is>
      </c>
    </row>
    <row r="105">
      <c r="A105" t="n">
        <v>19</v>
      </c>
      <c r="B105" t="inlineStr">
        <is>
          <t>supporting_staff</t>
        </is>
      </c>
      <c r="C105" t="inlineStr">
        <is>
          <t>Paralegals and Legal Assistants</t>
        </is>
      </c>
      <c r="D105" t="inlineStr">
        <is>
          <t>Paralegals and Legal Assistants</t>
        </is>
      </c>
      <c r="E105" s="29" t="n">
        <v>1</v>
      </c>
      <c r="F105" s="29" t="n">
        <v>0</v>
      </c>
      <c r="G105" s="30">
        <f>E105+F105</f>
        <v/>
      </c>
      <c r="H105" s="30">
        <f>(E105+G105)/2</f>
        <v/>
      </c>
      <c r="I105" s="31" t="n">
        <v>80767</v>
      </c>
      <c r="J105" s="32" t="n">
        <v>0.22</v>
      </c>
      <c r="K105" s="33">
        <f>H105*I105/4</f>
        <v/>
      </c>
      <c r="L105" s="33">
        <f>K105*J105</f>
        <v/>
      </c>
      <c r="M105" s="33">
        <f>K105+L105</f>
        <v/>
      </c>
      <c r="N105" t="inlineStr">
        <is>
          <t>oews_title_catalog:oews_median</t>
        </is>
      </c>
    </row>
    <row r="106">
      <c r="A106" t="n">
        <v>20</v>
      </c>
      <c r="B106" t="inlineStr">
        <is>
          <t>supporting_staff</t>
        </is>
      </c>
      <c r="C106" t="inlineStr">
        <is>
          <t>Paralegals and Legal Assistants</t>
        </is>
      </c>
      <c r="D106" t="inlineStr">
        <is>
          <t>Paralegals and Legal Assistants</t>
        </is>
      </c>
      <c r="E106" s="29" t="n">
        <v>1</v>
      </c>
      <c r="F106" s="29" t="n">
        <v>0</v>
      </c>
      <c r="G106" s="30">
        <f>E106+F106</f>
        <v/>
      </c>
      <c r="H106" s="30">
        <f>(E106+G106)/2</f>
        <v/>
      </c>
      <c r="I106" s="31" t="n">
        <v>80767</v>
      </c>
      <c r="J106" s="32" t="n">
        <v>0.22</v>
      </c>
      <c r="K106" s="33">
        <f>H106*I106/4</f>
        <v/>
      </c>
      <c r="L106" s="33">
        <f>K106*J106</f>
        <v/>
      </c>
      <c r="M106" s="33">
        <f>K106+L106</f>
        <v/>
      </c>
      <c r="N106" t="inlineStr">
        <is>
          <t>oews_title_catalog:oews_median</t>
        </is>
      </c>
    </row>
  </sheetData>
  <autoFilter ref="A26:N10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</v>
      </c>
      <c r="D12" s="13" t="n">
        <v>0.023813</v>
      </c>
      <c r="E12" s="13" t="n">
        <v>0.023813</v>
      </c>
      <c r="F12" s="13" t="n">
        <v>0.023813</v>
      </c>
      <c r="G12" s="13" t="n">
        <v>0.023813</v>
      </c>
      <c r="H12" s="13" t="n">
        <v>0.023813</v>
      </c>
      <c r="I12" s="13" t="n">
        <v>0.023813</v>
      </c>
      <c r="J12" s="13" t="n">
        <v>0.023813</v>
      </c>
      <c r="K12" s="13" t="n">
        <v>0.023813</v>
      </c>
      <c r="L12" s="13" t="n">
        <v>0.023813</v>
      </c>
      <c r="M12" s="13" t="n">
        <v>0.023813</v>
      </c>
      <c r="N12" s="13" t="n">
        <v>0.023813</v>
      </c>
      <c r="O12" s="13" t="n">
        <v>0.023813</v>
      </c>
      <c r="P12" s="13" t="n">
        <v>0.023813</v>
      </c>
      <c r="Q12" s="13" t="n">
        <v>0.023813</v>
      </c>
      <c r="R12" s="13" t="n">
        <v>0.023813</v>
      </c>
      <c r="S12" s="13" t="n">
        <v>0.023813</v>
      </c>
      <c r="T12" s="13" t="n">
        <v>0.023813</v>
      </c>
      <c r="U12" s="13" t="n">
        <v>0.023813</v>
      </c>
      <c r="V12" s="13" t="n">
        <v>0.023813</v>
      </c>
      <c r="W12" s="13" t="n">
        <v>0.023813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25000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125</v>
      </c>
      <c r="E8" s="35" t="n">
        <v>125.59375</v>
      </c>
      <c r="F8" s="35" t="n">
        <v>126.159047</v>
      </c>
      <c r="G8" s="35" t="n">
        <v>126.695602</v>
      </c>
      <c r="H8" s="35" t="n">
        <v>127.203271</v>
      </c>
      <c r="I8" s="35" t="n">
        <v>127.681683</v>
      </c>
      <c r="J8" s="35" t="n">
        <v>128.130484</v>
      </c>
      <c r="K8" s="35" t="n">
        <v>128.54947</v>
      </c>
      <c r="L8" s="35" t="n">
        <v>128.938461</v>
      </c>
      <c r="M8" s="35" t="n">
        <v>129.297168</v>
      </c>
      <c r="N8" s="35" t="n">
        <v>129.625324</v>
      </c>
      <c r="O8" s="35" t="n">
        <v>129.922685</v>
      </c>
      <c r="P8" s="35" t="n">
        <v>130.189156</v>
      </c>
      <c r="Q8" s="35" t="n">
        <v>130.424408</v>
      </c>
      <c r="R8" s="35" t="n">
        <v>130.628131</v>
      </c>
      <c r="S8" s="35" t="n">
        <v>130.800299</v>
      </c>
      <c r="T8" s="35" t="n">
        <v>130.940647</v>
      </c>
      <c r="U8" s="35" t="n">
        <v>131.048935</v>
      </c>
      <c r="V8" s="35" t="n">
        <v>131.124944</v>
      </c>
      <c r="W8" s="35" t="n">
        <v>131.168608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0.00025</v>
      </c>
      <c r="E10" s="13" t="n">
        <v>0.000499</v>
      </c>
      <c r="F10" s="13" t="n">
        <v>0.0007470000000000001</v>
      </c>
      <c r="G10" s="13" t="n">
        <v>0.000993</v>
      </c>
      <c r="H10" s="13" t="n">
        <v>0.001239</v>
      </c>
      <c r="I10" s="13" t="n">
        <v>0.001485</v>
      </c>
      <c r="J10" s="13" t="n">
        <v>0.00173</v>
      </c>
      <c r="K10" s="13" t="n">
        <v>0.001974</v>
      </c>
      <c r="L10" s="13" t="n">
        <v>0.002218</v>
      </c>
      <c r="M10" s="13" t="n">
        <v>0.002462</v>
      </c>
      <c r="N10" s="13" t="n">
        <v>0.002706</v>
      </c>
      <c r="O10" s="13" t="n">
        <v>0.002949</v>
      </c>
      <c r="P10" s="13" t="n">
        <v>0.003193</v>
      </c>
      <c r="Q10" s="13" t="n">
        <v>0.003438</v>
      </c>
      <c r="R10" s="13" t="n">
        <v>0.003682</v>
      </c>
      <c r="S10" s="13" t="n">
        <v>0.003927</v>
      </c>
      <c r="T10" s="13" t="n">
        <v>0.004173</v>
      </c>
      <c r="U10" s="13" t="n">
        <v>0.00442</v>
      </c>
      <c r="V10" s="13" t="n">
        <v>0.004667</v>
      </c>
      <c r="W10" s="13" t="n">
        <v>0.004916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30</v>
      </c>
      <c r="E7" s="9" t="n">
        <v>30</v>
      </c>
      <c r="F7" s="9" t="n">
        <v>30</v>
      </c>
      <c r="G7" s="9" t="n">
        <v>30</v>
      </c>
      <c r="H7" s="9" t="n">
        <v>30</v>
      </c>
      <c r="I7" s="9" t="n">
        <v>30</v>
      </c>
      <c r="J7" s="9" t="n">
        <v>30</v>
      </c>
      <c r="K7" s="9" t="n">
        <v>30</v>
      </c>
      <c r="L7" s="9" t="n">
        <v>30</v>
      </c>
      <c r="M7" s="9" t="n">
        <v>30</v>
      </c>
      <c r="N7" s="9" t="n">
        <v>30</v>
      </c>
      <c r="O7" s="9" t="n">
        <v>30</v>
      </c>
      <c r="P7" s="9" t="n">
        <v>30</v>
      </c>
      <c r="Q7" s="9" t="n">
        <v>30</v>
      </c>
      <c r="R7" s="9" t="n">
        <v>30</v>
      </c>
      <c r="S7" s="9" t="n">
        <v>30</v>
      </c>
      <c r="T7" s="9" t="n">
        <v>30</v>
      </c>
      <c r="U7" s="9" t="n">
        <v>30</v>
      </c>
      <c r="V7" s="9" t="n">
        <v>30</v>
      </c>
      <c r="W7" s="9" t="n">
        <v>30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0</v>
      </c>
      <c r="D7" s="11" t="n">
        <v>327182</v>
      </c>
      <c r="E7" s="11" t="n">
        <v>464434</v>
      </c>
      <c r="F7" s="11" t="n">
        <v>586612</v>
      </c>
      <c r="G7" s="11" t="n">
        <v>692789</v>
      </c>
      <c r="H7" s="11" t="n">
        <v>786220</v>
      </c>
      <c r="I7" s="11" t="n">
        <v>860517</v>
      </c>
      <c r="J7" s="11" t="n">
        <v>915330</v>
      </c>
      <c r="K7" s="11" t="n">
        <v>949104</v>
      </c>
      <c r="L7" s="11" t="n">
        <v>965171</v>
      </c>
      <c r="M7" s="11" t="n">
        <v>965171</v>
      </c>
      <c r="N7" s="11" t="n">
        <v>965171</v>
      </c>
      <c r="O7" s="11" t="n">
        <v>965171</v>
      </c>
      <c r="P7" s="11" t="n">
        <v>965171</v>
      </c>
      <c r="Q7" s="11" t="n">
        <v>965171</v>
      </c>
      <c r="R7" s="11" t="n">
        <v>965171</v>
      </c>
      <c r="S7" s="11" t="n">
        <v>965171</v>
      </c>
      <c r="T7" s="11" t="n">
        <v>965171</v>
      </c>
      <c r="U7" s="11" t="n">
        <v>965171</v>
      </c>
      <c r="V7" s="11" t="n">
        <v>965171</v>
      </c>
      <c r="W7" s="11" t="n">
        <v>965171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10621</v>
      </c>
      <c r="P9" s="11" t="n">
        <v>27329</v>
      </c>
      <c r="Q9" s="11" t="n">
        <v>31065</v>
      </c>
      <c r="R9" s="11" t="n">
        <v>32876</v>
      </c>
      <c r="S9" s="11" t="n">
        <v>37190</v>
      </c>
      <c r="T9" s="11" t="n">
        <v>35121</v>
      </c>
      <c r="U9" s="11" t="n">
        <v>38973</v>
      </c>
      <c r="V9" s="11" t="n">
        <v>40842</v>
      </c>
      <c r="W9" s="11" t="n">
        <v>45298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9000</v>
      </c>
      <c r="D12" s="11" t="n">
        <v>9000</v>
      </c>
      <c r="E12" s="11" t="n">
        <v>9000</v>
      </c>
      <c r="F12" s="11" t="n">
        <v>9000</v>
      </c>
      <c r="G12" s="11" t="n">
        <v>9000</v>
      </c>
      <c r="H12" s="11" t="n">
        <v>9000</v>
      </c>
      <c r="I12" s="11" t="n">
        <v>9000</v>
      </c>
      <c r="J12" s="11" t="n">
        <v>9000</v>
      </c>
      <c r="K12" s="11" t="n">
        <v>9000</v>
      </c>
      <c r="L12" s="11" t="n">
        <v>9000</v>
      </c>
      <c r="M12" s="11" t="n">
        <v>9000</v>
      </c>
      <c r="N12" s="11" t="n">
        <v>9000</v>
      </c>
      <c r="O12" s="11" t="n">
        <v>9000</v>
      </c>
      <c r="P12" s="11" t="n">
        <v>9000</v>
      </c>
      <c r="Q12" s="11" t="n">
        <v>9000</v>
      </c>
      <c r="R12" s="11" t="n">
        <v>9000</v>
      </c>
      <c r="S12" s="11" t="n">
        <v>9000</v>
      </c>
      <c r="T12" s="11" t="n">
        <v>9000</v>
      </c>
      <c r="U12" s="11" t="n">
        <v>9000</v>
      </c>
      <c r="V12" s="11" t="n">
        <v>9000</v>
      </c>
      <c r="W12" s="11" t="n">
        <v>9000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legal matter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legal matter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legal matter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legal matter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0.06</v>
      </c>
      <c r="D12" s="14" t="n">
        <v>0.485</v>
      </c>
      <c r="E12" s="14" t="n">
        <v>0.4665</v>
      </c>
      <c r="F12" s="14" t="n">
        <v>0.448</v>
      </c>
      <c r="G12" s="14" t="n">
        <v>0.4295</v>
      </c>
      <c r="H12" s="14" t="n">
        <v>0.411</v>
      </c>
      <c r="I12" s="14" t="n">
        <v>0.3925</v>
      </c>
      <c r="J12" s="14" t="n">
        <v>0.374</v>
      </c>
      <c r="K12" s="14" t="n">
        <v>0.3555</v>
      </c>
      <c r="L12" s="14" t="n">
        <v>0.337</v>
      </c>
      <c r="M12" s="14" t="n">
        <v>0.3185</v>
      </c>
      <c r="N12" s="14" t="n">
        <v>0.3</v>
      </c>
      <c r="O12" s="14" t="n">
        <v>0.2944444444444445</v>
      </c>
      <c r="P12" s="14" t="n">
        <v>0.2888888888888889</v>
      </c>
      <c r="Q12" s="14" t="n">
        <v>0.2833333333333333</v>
      </c>
      <c r="R12" s="14" t="n">
        <v>0.2777777777777778</v>
      </c>
      <c r="S12" s="14" t="n">
        <v>0.2722222222222223</v>
      </c>
      <c r="T12" s="14" t="n">
        <v>0.2666666666666667</v>
      </c>
      <c r="U12" s="14" t="n">
        <v>0.2611111111111111</v>
      </c>
      <c r="V12" s="14" t="n">
        <v>0.2555555555555555</v>
      </c>
      <c r="W12" s="14" t="n">
        <v>0.25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0.179992</v>
      </c>
      <c r="D13" s="14" t="n">
        <v>0.273</v>
      </c>
      <c r="E13" s="14" t="n">
        <v>0.2537</v>
      </c>
      <c r="F13" s="14" t="n">
        <v>0.2344000000000001</v>
      </c>
      <c r="G13" s="14" t="n">
        <v>0.2151</v>
      </c>
      <c r="H13" s="14" t="n">
        <v>0.1958</v>
      </c>
      <c r="I13" s="14" t="n">
        <v>0.1765</v>
      </c>
      <c r="J13" s="14" t="n">
        <v>0.1572</v>
      </c>
      <c r="K13" s="14" t="n">
        <v>0.1379</v>
      </c>
      <c r="L13" s="14" t="n">
        <v>0.1186</v>
      </c>
      <c r="M13" s="14" t="n">
        <v>0.0993</v>
      </c>
      <c r="N13" s="14" t="n">
        <v>0.08</v>
      </c>
      <c r="O13" s="14" t="n">
        <v>0.07888888888888888</v>
      </c>
      <c r="P13" s="14" t="n">
        <v>0.07777777777777778</v>
      </c>
      <c r="Q13" s="14" t="n">
        <v>0.07666666666666667</v>
      </c>
      <c r="R13" s="14" t="n">
        <v>0.07555555555555556</v>
      </c>
      <c r="S13" s="14" t="n">
        <v>0.07444444444444445</v>
      </c>
      <c r="T13" s="14" t="n">
        <v>0.07333333333333333</v>
      </c>
      <c r="U13" s="14" t="n">
        <v>0.07222222222222223</v>
      </c>
      <c r="V13" s="14" t="n">
        <v>0.07111111111111112</v>
      </c>
      <c r="W13" s="14" t="n">
        <v>0.07000000000000001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98032.505833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0.004386</v>
      </c>
      <c r="D17" s="14" t="n">
        <v>0.273</v>
      </c>
      <c r="E17" s="14" t="n">
        <v>0.2527</v>
      </c>
      <c r="F17" s="14" t="n">
        <v>0.2324000000000001</v>
      </c>
      <c r="G17" s="14" t="n">
        <v>0.2121</v>
      </c>
      <c r="H17" s="14" t="n">
        <v>0.1918</v>
      </c>
      <c r="I17" s="14" t="n">
        <v>0.1715</v>
      </c>
      <c r="J17" s="14" t="n">
        <v>0.1512</v>
      </c>
      <c r="K17" s="14" t="n">
        <v>0.1309</v>
      </c>
      <c r="L17" s="14" t="n">
        <v>0.1106</v>
      </c>
      <c r="M17" s="14" t="n">
        <v>0.09030000000000001</v>
      </c>
      <c r="N17" s="14" t="n">
        <v>0.07000000000000001</v>
      </c>
      <c r="O17" s="14" t="n">
        <v>0.07000000000000001</v>
      </c>
      <c r="P17" s="14" t="n">
        <v>0.07000000000000001</v>
      </c>
      <c r="Q17" s="14" t="n">
        <v>0.07000000000000001</v>
      </c>
      <c r="R17" s="14" t="n">
        <v>0.07000000000000001</v>
      </c>
      <c r="S17" s="14" t="n">
        <v>0.07000000000000001</v>
      </c>
      <c r="T17" s="14" t="n">
        <v>0.07000000000000001</v>
      </c>
      <c r="U17" s="14" t="n">
        <v>0.07000000000000001</v>
      </c>
      <c r="V17" s="14" t="n">
        <v>0.07000000000000001</v>
      </c>
      <c r="W17" s="14" t="n">
        <v>0.07000000000000001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0.204976</v>
      </c>
      <c r="D22" s="14" t="n">
        <v>0.204976</v>
      </c>
      <c r="E22" s="14" t="n">
        <v>0.204976</v>
      </c>
      <c r="F22" s="14" t="n">
        <v>0.204976</v>
      </c>
      <c r="G22" s="14" t="n">
        <v>0.204976</v>
      </c>
      <c r="H22" s="14" t="n">
        <v>0.204976</v>
      </c>
      <c r="I22" s="14" t="n">
        <v>0.204976</v>
      </c>
      <c r="J22" s="14" t="n">
        <v>0.204976</v>
      </c>
      <c r="K22" s="14" t="n">
        <v>0.204976</v>
      </c>
      <c r="L22" s="14" t="n">
        <v>0.204976</v>
      </c>
      <c r="M22" s="14" t="n">
        <v>0.204976</v>
      </c>
      <c r="N22" s="14" t="n">
        <v>0.204976</v>
      </c>
      <c r="O22" s="14" t="n">
        <v>0.204976</v>
      </c>
      <c r="P22" s="14" t="n">
        <v>0.204976</v>
      </c>
      <c r="Q22" s="14" t="n">
        <v>0.204976</v>
      </c>
      <c r="R22" s="14" t="n">
        <v>0.204976</v>
      </c>
      <c r="S22" s="14" t="n">
        <v>0.204976</v>
      </c>
      <c r="T22" s="14" t="n">
        <v>0.204976</v>
      </c>
      <c r="U22" s="14" t="n">
        <v>0.204976</v>
      </c>
      <c r="V22" s="14" t="n">
        <v>0.204976</v>
      </c>
      <c r="W22" s="14" t="n">
        <v>0.204976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112500</v>
      </c>
      <c r="D7" s="31" t="n">
        <v>231901.159761</v>
      </c>
      <c r="E7" s="31" t="n">
        <v>241176.34231</v>
      </c>
      <c r="F7" s="31" t="n">
        <v>250605.494076</v>
      </c>
      <c r="G7" s="31" t="n">
        <v>260188.615059</v>
      </c>
      <c r="H7" s="31" t="n">
        <v>269925.705258</v>
      </c>
      <c r="I7" s="31" t="n">
        <v>279816.764673</v>
      </c>
      <c r="J7" s="31" t="n">
        <v>289861.793306</v>
      </c>
      <c r="K7" s="31" t="n">
        <v>300060.791154</v>
      </c>
      <c r="L7" s="31" t="n">
        <v>310413.75822</v>
      </c>
      <c r="M7" s="31" t="n">
        <v>320920.694502</v>
      </c>
      <c r="N7" s="31" t="n">
        <v>331581.6</v>
      </c>
      <c r="O7" s="31" t="n">
        <v>333748.800017</v>
      </c>
      <c r="P7" s="31" t="n">
        <v>335915.999996</v>
      </c>
      <c r="Q7" s="31" t="n">
        <v>338083.200013</v>
      </c>
      <c r="R7" s="31" t="n">
        <v>340250.399991</v>
      </c>
      <c r="S7" s="31" t="n">
        <v>342417.600009</v>
      </c>
      <c r="T7" s="31" t="n">
        <v>344584.799987</v>
      </c>
      <c r="U7" s="31" t="n">
        <v>346752.000004</v>
      </c>
      <c r="V7" s="31" t="n">
        <v>348919.199983</v>
      </c>
      <c r="W7" s="31" t="n">
        <v>351086.4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6750</v>
      </c>
      <c r="D8" s="31" t="n">
        <v>112472.062484</v>
      </c>
      <c r="E8" s="31" t="n">
        <v>112508.763688</v>
      </c>
      <c r="F8" s="31" t="n">
        <v>112271.261346</v>
      </c>
      <c r="G8" s="31" t="n">
        <v>111751.010168</v>
      </c>
      <c r="H8" s="31" t="n">
        <v>110939.464861</v>
      </c>
      <c r="I8" s="31" t="n">
        <v>109828.080134</v>
      </c>
      <c r="J8" s="31" t="n">
        <v>108408.310696</v>
      </c>
      <c r="K8" s="31" t="n">
        <v>106671.611255</v>
      </c>
      <c r="L8" s="31" t="n">
        <v>104609.43652</v>
      </c>
      <c r="M8" s="31" t="n">
        <v>102213.241199</v>
      </c>
      <c r="N8" s="31" t="n">
        <v>99474.48</v>
      </c>
      <c r="O8" s="31" t="n">
        <v>98270.480005</v>
      </c>
      <c r="P8" s="31" t="n">
        <v>97042.399999</v>
      </c>
      <c r="Q8" s="31" t="n">
        <v>95790.24000400001</v>
      </c>
      <c r="R8" s="31" t="n">
        <v>94513.999998</v>
      </c>
      <c r="S8" s="31" t="n">
        <v>93213.68000199999</v>
      </c>
      <c r="T8" s="31" t="n">
        <v>91889.27999700001</v>
      </c>
      <c r="U8" s="31" t="n">
        <v>90540.800001</v>
      </c>
      <c r="V8" s="31" t="n">
        <v>89168.239996</v>
      </c>
      <c r="W8" s="31" t="n">
        <v>87771.60000000001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105750</v>
      </c>
      <c r="D9" s="31" t="n">
        <v>119429.097277</v>
      </c>
      <c r="E9" s="31" t="n">
        <v>128667.578623</v>
      </c>
      <c r="F9" s="31" t="n">
        <v>138334.23273</v>
      </c>
      <c r="G9" s="31" t="n">
        <v>148437.604891</v>
      </c>
      <c r="H9" s="31" t="n">
        <v>158986.240397</v>
      </c>
      <c r="I9" s="31" t="n">
        <v>169988.684539</v>
      </c>
      <c r="J9" s="31" t="n">
        <v>181453.482609</v>
      </c>
      <c r="K9" s="31" t="n">
        <v>193389.179899</v>
      </c>
      <c r="L9" s="31" t="n">
        <v>205804.3217</v>
      </c>
      <c r="M9" s="31" t="n">
        <v>218707.453303</v>
      </c>
      <c r="N9" s="31" t="n">
        <v>232107.12</v>
      </c>
      <c r="O9" s="31" t="n">
        <v>235478.320012</v>
      </c>
      <c r="P9" s="31" t="n">
        <v>238873.599997</v>
      </c>
      <c r="Q9" s="31" t="n">
        <v>242292.960009</v>
      </c>
      <c r="R9" s="31" t="n">
        <v>245736.399994</v>
      </c>
      <c r="S9" s="31" t="n">
        <v>249203.920006</v>
      </c>
      <c r="T9" s="31" t="n">
        <v>252695.51999</v>
      </c>
      <c r="U9" s="31" t="n">
        <v>256211.200003</v>
      </c>
      <c r="V9" s="31" t="n">
        <v>259750.959987</v>
      </c>
      <c r="W9" s="31" t="n">
        <v>263314.8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20249.1</v>
      </c>
      <c r="D10" s="31" t="n">
        <v>63309.016615</v>
      </c>
      <c r="E10" s="31" t="n">
        <v>61186.438044</v>
      </c>
      <c r="F10" s="31" t="n">
        <v>58741.927811</v>
      </c>
      <c r="G10" s="31" t="n">
        <v>55966.571099</v>
      </c>
      <c r="H10" s="31" t="n">
        <v>52851.453089</v>
      </c>
      <c r="I10" s="31" t="n">
        <v>49387.658965</v>
      </c>
      <c r="J10" s="31" t="n">
        <v>45566.273908</v>
      </c>
      <c r="K10" s="31" t="n">
        <v>41378.3831</v>
      </c>
      <c r="L10" s="31" t="n">
        <v>36815.071725</v>
      </c>
      <c r="M10" s="31" t="n">
        <v>31867.424964</v>
      </c>
      <c r="N10" s="31" t="n">
        <v>26526.528</v>
      </c>
      <c r="O10" s="31" t="n">
        <v>26329.072001</v>
      </c>
      <c r="P10" s="31" t="n">
        <v>26126.8</v>
      </c>
      <c r="Q10" s="31" t="n">
        <v>25919.712001</v>
      </c>
      <c r="R10" s="31" t="n">
        <v>25707.807999</v>
      </c>
      <c r="S10" s="31" t="n">
        <v>25491.088001</v>
      </c>
      <c r="T10" s="31" t="n">
        <v>25269.551999</v>
      </c>
      <c r="U10" s="31" t="n">
        <v>25043.2</v>
      </c>
      <c r="V10" s="31" t="n">
        <v>24812.031999</v>
      </c>
      <c r="W10" s="31" t="n">
        <v>24576.048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9000</v>
      </c>
      <c r="D12" s="31" t="n">
        <v>9000</v>
      </c>
      <c r="E12" s="31" t="n">
        <v>9000</v>
      </c>
      <c r="F12" s="31" t="n">
        <v>9000</v>
      </c>
      <c r="G12" s="31" t="n">
        <v>9000</v>
      </c>
      <c r="H12" s="31" t="n">
        <v>9000</v>
      </c>
      <c r="I12" s="31" t="n">
        <v>9000</v>
      </c>
      <c r="J12" s="31" t="n">
        <v>9000</v>
      </c>
      <c r="K12" s="31" t="n">
        <v>9000</v>
      </c>
      <c r="L12" s="31" t="n">
        <v>9000</v>
      </c>
      <c r="M12" s="31" t="n">
        <v>9000</v>
      </c>
      <c r="N12" s="31" t="n">
        <v>9000</v>
      </c>
      <c r="O12" s="31" t="n">
        <v>9000</v>
      </c>
      <c r="P12" s="31" t="n">
        <v>9000</v>
      </c>
      <c r="Q12" s="31" t="n">
        <v>9000</v>
      </c>
      <c r="R12" s="31" t="n">
        <v>9000</v>
      </c>
      <c r="S12" s="31" t="n">
        <v>9000</v>
      </c>
      <c r="T12" s="31" t="n">
        <v>9000</v>
      </c>
      <c r="U12" s="31" t="n">
        <v>9000</v>
      </c>
      <c r="V12" s="31" t="n">
        <v>9000</v>
      </c>
      <c r="W12" s="31" t="n">
        <v>9000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98032.505833</v>
      </c>
      <c r="D13" s="31" t="n">
        <v>132400</v>
      </c>
      <c r="E13" s="31" t="n">
        <v>132400</v>
      </c>
      <c r="F13" s="31" t="n">
        <v>132400</v>
      </c>
      <c r="G13" s="31" t="n">
        <v>132400</v>
      </c>
      <c r="H13" s="31" t="n">
        <v>136371</v>
      </c>
      <c r="I13" s="31" t="n">
        <v>136371</v>
      </c>
      <c r="J13" s="31" t="n">
        <v>136371</v>
      </c>
      <c r="K13" s="31" t="n">
        <v>136371</v>
      </c>
      <c r="L13" s="31" t="n">
        <v>140459</v>
      </c>
      <c r="M13" s="31" t="n">
        <v>140459</v>
      </c>
      <c r="N13" s="31" t="n">
        <v>140459</v>
      </c>
      <c r="O13" s="31" t="n">
        <v>140459</v>
      </c>
      <c r="P13" s="31" t="n">
        <v>144677</v>
      </c>
      <c r="Q13" s="31" t="n">
        <v>144677</v>
      </c>
      <c r="R13" s="31" t="n">
        <v>144677</v>
      </c>
      <c r="S13" s="31" t="n">
        <v>144677</v>
      </c>
      <c r="T13" s="31" t="n">
        <v>149014</v>
      </c>
      <c r="U13" s="31" t="n">
        <v>149014</v>
      </c>
      <c r="V13" s="31" t="n">
        <v>149014</v>
      </c>
      <c r="W13" s="31" t="n">
        <v>149014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493.425</v>
      </c>
      <c r="D14" s="31" t="n">
        <v>63309.016615</v>
      </c>
      <c r="E14" s="31" t="n">
        <v>60945.261702</v>
      </c>
      <c r="F14" s="31" t="n">
        <v>58240.716823</v>
      </c>
      <c r="G14" s="31" t="n">
        <v>55186.005254</v>
      </c>
      <c r="H14" s="31" t="n">
        <v>51771.750268</v>
      </c>
      <c r="I14" s="31" t="n">
        <v>47988.575141</v>
      </c>
      <c r="J14" s="31" t="n">
        <v>43827.103148</v>
      </c>
      <c r="K14" s="31" t="n">
        <v>39277.957562</v>
      </c>
      <c r="L14" s="31" t="n">
        <v>34331.761659</v>
      </c>
      <c r="M14" s="31" t="n">
        <v>28979.138713</v>
      </c>
      <c r="N14" s="31" t="n">
        <v>23210.712</v>
      </c>
      <c r="O14" s="31" t="n">
        <v>23362.416001</v>
      </c>
      <c r="P14" s="31" t="n">
        <v>23514.12</v>
      </c>
      <c r="Q14" s="31" t="n">
        <v>23665.824001</v>
      </c>
      <c r="R14" s="31" t="n">
        <v>23817.527999</v>
      </c>
      <c r="S14" s="31" t="n">
        <v>23969.232001</v>
      </c>
      <c r="T14" s="31" t="n">
        <v>24120.935999</v>
      </c>
      <c r="U14" s="31" t="n">
        <v>24272.64</v>
      </c>
      <c r="V14" s="31" t="n">
        <v>24424.343999</v>
      </c>
      <c r="W14" s="31" t="n">
        <v>24576.048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-22025.030833</v>
      </c>
      <c r="D15" s="31" t="n">
        <v>-148588.935953</v>
      </c>
      <c r="E15" s="31" t="n">
        <v>-134864.121123</v>
      </c>
      <c r="F15" s="31" t="n">
        <v>-120048.411905</v>
      </c>
      <c r="G15" s="31" t="n">
        <v>-104114.971462</v>
      </c>
      <c r="H15" s="31" t="n">
        <v>-91007.962961</v>
      </c>
      <c r="I15" s="31" t="n">
        <v>-72758.54956699999</v>
      </c>
      <c r="J15" s="31" t="n">
        <v>-53310.894446</v>
      </c>
      <c r="K15" s="31" t="n">
        <v>-32638.160763</v>
      </c>
      <c r="L15" s="31" t="n">
        <v>-14801.511684</v>
      </c>
      <c r="M15" s="31" t="n">
        <v>8401.889625</v>
      </c>
      <c r="N15" s="31" t="n">
        <v>32910.88</v>
      </c>
      <c r="O15" s="31" t="n">
        <v>36327.83201</v>
      </c>
      <c r="P15" s="31" t="n">
        <v>35555.679998</v>
      </c>
      <c r="Q15" s="31" t="n">
        <v>39030.424007</v>
      </c>
      <c r="R15" s="31" t="n">
        <v>42534.063995</v>
      </c>
      <c r="S15" s="31" t="n">
        <v>46066.600005</v>
      </c>
      <c r="T15" s="31" t="n">
        <v>45291.031992</v>
      </c>
      <c r="U15" s="31" t="n">
        <v>48881.360003</v>
      </c>
      <c r="V15" s="31" t="n">
        <v>52500.58399</v>
      </c>
      <c r="W15" s="31" t="n">
        <v>56148.704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6.25</v>
      </c>
      <c r="E17" s="31" t="n">
        <v>12.534256</v>
      </c>
      <c r="F17" s="31" t="n">
        <v>18.848162</v>
      </c>
      <c r="G17" s="31" t="n">
        <v>25.161747</v>
      </c>
      <c r="H17" s="31" t="n">
        <v>31.520971</v>
      </c>
      <c r="I17" s="31" t="n">
        <v>37.92146</v>
      </c>
      <c r="J17" s="31" t="n">
        <v>44.333147</v>
      </c>
      <c r="K17" s="31" t="n">
        <v>50.751331</v>
      </c>
      <c r="L17" s="31" t="n">
        <v>57.197101</v>
      </c>
      <c r="M17" s="31" t="n">
        <v>63.665926</v>
      </c>
      <c r="N17" s="31" t="n">
        <v>70.15322500000001</v>
      </c>
      <c r="O17" s="31" t="n">
        <v>76.628399</v>
      </c>
      <c r="P17" s="31" t="n">
        <v>83.138795</v>
      </c>
      <c r="Q17" s="31" t="n">
        <v>89.679823</v>
      </c>
      <c r="R17" s="31" t="n">
        <v>96.19455600000001</v>
      </c>
      <c r="S17" s="31" t="n">
        <v>102.730555</v>
      </c>
      <c r="T17" s="31" t="n">
        <v>109.283064</v>
      </c>
      <c r="U17" s="31" t="n">
        <v>115.847259</v>
      </c>
      <c r="V17" s="31" t="n">
        <v>122.392022</v>
      </c>
      <c r="W17" s="31" t="n">
        <v>128.964976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1709.135741</v>
      </c>
      <c r="N18" s="31" t="n">
        <v>6731.560811</v>
      </c>
      <c r="O18" s="31" t="n">
        <v>7430.626711</v>
      </c>
      <c r="P18" s="31" t="n">
        <v>7271.019606</v>
      </c>
      <c r="Q18" s="31" t="n">
        <v>7981.91798</v>
      </c>
      <c r="R18" s="31" t="n">
        <v>8698.744726000001</v>
      </c>
      <c r="S18" s="31" t="n">
        <v>9421.490104</v>
      </c>
      <c r="T18" s="31" t="n">
        <v>9261.174168</v>
      </c>
      <c r="U18" s="31" t="n">
        <v>9995.75974</v>
      </c>
      <c r="V18" s="31" t="n">
        <v>10736.272277</v>
      </c>
      <c r="W18" s="31" t="n">
        <v>11482.702026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-22025.030833</v>
      </c>
      <c r="D19" s="31" t="n">
        <v>-148595.185953</v>
      </c>
      <c r="E19" s="31" t="n">
        <v>-134876.65538</v>
      </c>
      <c r="F19" s="31" t="n">
        <v>-120067.260066</v>
      </c>
      <c r="G19" s="31" t="n">
        <v>-104140.133209</v>
      </c>
      <c r="H19" s="31" t="n">
        <v>-91039.483932</v>
      </c>
      <c r="I19" s="31" t="n">
        <v>-72796.47102700001</v>
      </c>
      <c r="J19" s="31" t="n">
        <v>-53355.227594</v>
      </c>
      <c r="K19" s="31" t="n">
        <v>-32688.912094</v>
      </c>
      <c r="L19" s="31" t="n">
        <v>-14858.708786</v>
      </c>
      <c r="M19" s="31" t="n">
        <v>6629.087959</v>
      </c>
      <c r="N19" s="31" t="n">
        <v>26109.165963</v>
      </c>
      <c r="O19" s="31" t="n">
        <v>28820.576899</v>
      </c>
      <c r="P19" s="31" t="n">
        <v>28201.521597</v>
      </c>
      <c r="Q19" s="31" t="n">
        <v>30958.826205</v>
      </c>
      <c r="R19" s="31" t="n">
        <v>33739.124713</v>
      </c>
      <c r="S19" s="31" t="n">
        <v>36542.379346</v>
      </c>
      <c r="T19" s="31" t="n">
        <v>35920.57476</v>
      </c>
      <c r="U19" s="31" t="n">
        <v>38769.753004</v>
      </c>
      <c r="V19" s="31" t="n">
        <v>41641.91969</v>
      </c>
      <c r="W19" s="31" t="n">
        <v>44537.036998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0</v>
      </c>
      <c r="D23" s="31" t="n">
        <v>190245.305396</v>
      </c>
      <c r="E23" s="31" t="n">
        <v>188020.139642</v>
      </c>
      <c r="F23" s="31" t="n">
        <v>185326.161742</v>
      </c>
      <c r="G23" s="31" t="n">
        <v>182151.735761</v>
      </c>
      <c r="H23" s="31" t="n">
        <v>180465.542133</v>
      </c>
      <c r="I23" s="31" t="n">
        <v>176287.823274</v>
      </c>
      <c r="J23" s="31" t="n">
        <v>171585.705367</v>
      </c>
      <c r="K23" s="31" t="n">
        <v>166350.346482</v>
      </c>
      <c r="L23" s="31" t="n">
        <v>162608.335486</v>
      </c>
      <c r="M23" s="31" t="n">
        <v>162386.833728</v>
      </c>
      <c r="N23" s="31" t="n">
        <v>180378.225615</v>
      </c>
      <c r="O23" s="31" t="n">
        <v>198279.891666</v>
      </c>
      <c r="P23" s="31" t="n">
        <v>200239.928451</v>
      </c>
      <c r="Q23" s="31" t="n">
        <v>199368.254413</v>
      </c>
      <c r="R23" s="31" t="n">
        <v>198477.517557</v>
      </c>
      <c r="S23" s="31" t="n">
        <v>197567.93933</v>
      </c>
      <c r="T23" s="31" t="n">
        <v>199529.721902</v>
      </c>
      <c r="U23" s="31" t="n">
        <v>198580.235833</v>
      </c>
      <c r="V23" s="31" t="n">
        <v>197612.229101</v>
      </c>
      <c r="W23" s="31" t="n">
        <v>196625.749729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0</v>
      </c>
      <c r="D24" s="31" t="n">
        <v>75619.9434</v>
      </c>
      <c r="E24" s="31" t="n">
        <v>78644.459449</v>
      </c>
      <c r="F24" s="31" t="n">
        <v>83535.16469200001</v>
      </c>
      <c r="G24" s="31" t="n">
        <v>85776.466503</v>
      </c>
      <c r="H24" s="31" t="n">
        <v>88019.251714</v>
      </c>
      <c r="I24" s="31" t="n">
        <v>91244.597176</v>
      </c>
      <c r="J24" s="31" t="n">
        <v>95558.832958</v>
      </c>
      <c r="K24" s="31" t="n">
        <v>98921.139941</v>
      </c>
      <c r="L24" s="31" t="n">
        <v>101221.87768</v>
      </c>
      <c r="M24" s="31" t="n">
        <v>104648.052555</v>
      </c>
      <c r="N24" s="31" t="n">
        <v>110527.2</v>
      </c>
      <c r="O24" s="31" t="n">
        <v>110027.076929</v>
      </c>
      <c r="P24" s="31" t="n">
        <v>109537.826086</v>
      </c>
      <c r="Q24" s="31" t="n">
        <v>110244.521743</v>
      </c>
      <c r="R24" s="31" t="n">
        <v>113416.799997</v>
      </c>
      <c r="S24" s="31" t="n">
        <v>112884.92308</v>
      </c>
      <c r="T24" s="31" t="n">
        <v>112364.608691</v>
      </c>
      <c r="U24" s="31" t="n">
        <v>113071.304349</v>
      </c>
      <c r="V24" s="31" t="n">
        <v>116306.399994</v>
      </c>
      <c r="W24" s="31" t="n">
        <v>115742.769231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0</v>
      </c>
      <c r="D26" s="31" t="n">
        <v>265865.248796</v>
      </c>
      <c r="E26" s="31" t="n">
        <v>266664.599091</v>
      </c>
      <c r="F26" s="31" t="n">
        <v>268861.326434</v>
      </c>
      <c r="G26" s="31" t="n">
        <v>267928.202264</v>
      </c>
      <c r="H26" s="31" t="n">
        <v>268484.793847</v>
      </c>
      <c r="I26" s="31" t="n">
        <v>267532.42045</v>
      </c>
      <c r="J26" s="31" t="n">
        <v>267144.538324</v>
      </c>
      <c r="K26" s="31" t="n">
        <v>265271.486423</v>
      </c>
      <c r="L26" s="31" t="n">
        <v>263830.213166</v>
      </c>
      <c r="M26" s="31" t="n">
        <v>267034.886282</v>
      </c>
      <c r="N26" s="31" t="n">
        <v>290905.425615</v>
      </c>
      <c r="O26" s="31" t="n">
        <v>308306.968595</v>
      </c>
      <c r="P26" s="31" t="n">
        <v>309777.754536</v>
      </c>
      <c r="Q26" s="31" t="n">
        <v>309612.776157</v>
      </c>
      <c r="R26" s="31" t="n">
        <v>311894.317554</v>
      </c>
      <c r="S26" s="31" t="n">
        <v>310452.862409</v>
      </c>
      <c r="T26" s="31" t="n">
        <v>311894.330593</v>
      </c>
      <c r="U26" s="31" t="n">
        <v>311651.540183</v>
      </c>
      <c r="V26" s="31" t="n">
        <v>313918.629095</v>
      </c>
      <c r="W26" s="31" t="n">
        <v>312368.51896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25000</v>
      </c>
      <c r="D27" s="31" t="n">
        <v>25118.75</v>
      </c>
      <c r="E27" s="31" t="n">
        <v>25231.809494</v>
      </c>
      <c r="F27" s="31" t="n">
        <v>25339.120379</v>
      </c>
      <c r="G27" s="31" t="n">
        <v>25440.654235</v>
      </c>
      <c r="H27" s="31" t="n">
        <v>25536.336535</v>
      </c>
      <c r="I27" s="31" t="n">
        <v>25626.096758</v>
      </c>
      <c r="J27" s="31" t="n">
        <v>25709.894095</v>
      </c>
      <c r="K27" s="31" t="n">
        <v>25787.692234</v>
      </c>
      <c r="L27" s="31" t="n">
        <v>25859.433593</v>
      </c>
      <c r="M27" s="31" t="n">
        <v>25925.064836</v>
      </c>
      <c r="N27" s="31" t="n">
        <v>25984.536935</v>
      </c>
      <c r="O27" s="31" t="n">
        <v>26037.83122</v>
      </c>
      <c r="P27" s="31" t="n">
        <v>26084.881581</v>
      </c>
      <c r="Q27" s="31" t="n">
        <v>26125.626166</v>
      </c>
      <c r="R27" s="31" t="n">
        <v>26160.059742</v>
      </c>
      <c r="S27" s="31" t="n">
        <v>26188.129486</v>
      </c>
      <c r="T27" s="31" t="n">
        <v>26209.787069</v>
      </c>
      <c r="U27" s="31" t="n">
        <v>26224.988745</v>
      </c>
      <c r="V27" s="31" t="n">
        <v>26233.721666</v>
      </c>
      <c r="W27" s="31" t="n">
        <v>26235.925299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-6.25</v>
      </c>
      <c r="E28" s="31" t="n">
        <v>-18.784256</v>
      </c>
      <c r="F28" s="31" t="n">
        <v>-37.632418</v>
      </c>
      <c r="G28" s="31" t="n">
        <v>-62.794164</v>
      </c>
      <c r="H28" s="31" t="n">
        <v>-94.315135</v>
      </c>
      <c r="I28" s="31" t="n">
        <v>-132.236595</v>
      </c>
      <c r="J28" s="31" t="n">
        <v>-176.569742</v>
      </c>
      <c r="K28" s="31" t="n">
        <v>-227.321073</v>
      </c>
      <c r="L28" s="31" t="n">
        <v>-284.518175</v>
      </c>
      <c r="M28" s="31" t="n">
        <v>-348.1841</v>
      </c>
      <c r="N28" s="31" t="n">
        <v>-418.337325</v>
      </c>
      <c r="O28" s="31" t="n">
        <v>-494.965725</v>
      </c>
      <c r="P28" s="31" t="n">
        <v>-578.10452</v>
      </c>
      <c r="Q28" s="31" t="n">
        <v>-667.784343</v>
      </c>
      <c r="R28" s="31" t="n">
        <v>-763.978898</v>
      </c>
      <c r="S28" s="31" t="n">
        <v>-866.7094530000001</v>
      </c>
      <c r="T28" s="31" t="n">
        <v>-975.992517</v>
      </c>
      <c r="U28" s="31" t="n">
        <v>-1091.839776</v>
      </c>
      <c r="V28" s="31" t="n">
        <v>-1214.231799</v>
      </c>
      <c r="W28" s="31" t="n">
        <v>-1343.196774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25000</v>
      </c>
      <c r="D29" s="31" t="n">
        <v>290983.998796</v>
      </c>
      <c r="E29" s="31" t="n">
        <v>291896.408585</v>
      </c>
      <c r="F29" s="31" t="n">
        <v>294200.446813</v>
      </c>
      <c r="G29" s="31" t="n">
        <v>293368.856498</v>
      </c>
      <c r="H29" s="31" t="n">
        <v>294021.130382</v>
      </c>
      <c r="I29" s="31" t="n">
        <v>293158.517208</v>
      </c>
      <c r="J29" s="31" t="n">
        <v>292854.432419</v>
      </c>
      <c r="K29" s="31" t="n">
        <v>291059.178657</v>
      </c>
      <c r="L29" s="31" t="n">
        <v>289689.64676</v>
      </c>
      <c r="M29" s="31" t="n">
        <v>292959.951118</v>
      </c>
      <c r="N29" s="31" t="n">
        <v>316889.962549</v>
      </c>
      <c r="O29" s="31" t="n">
        <v>334344.799815</v>
      </c>
      <c r="P29" s="31" t="n">
        <v>335862.636117</v>
      </c>
      <c r="Q29" s="31" t="n">
        <v>335738.402323</v>
      </c>
      <c r="R29" s="31" t="n">
        <v>338054.377296</v>
      </c>
      <c r="S29" s="31" t="n">
        <v>336640.991895</v>
      </c>
      <c r="T29" s="31" t="n">
        <v>338104.117662</v>
      </c>
      <c r="U29" s="31" t="n">
        <v>337876.528927</v>
      </c>
      <c r="V29" s="31" t="n">
        <v>340152.350762</v>
      </c>
      <c r="W29" s="31" t="n">
        <v>338604.444259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0</v>
      </c>
      <c r="D30" s="31" t="n">
        <v>87397.18474899999</v>
      </c>
      <c r="E30" s="31" t="n">
        <v>85934.24991699999</v>
      </c>
      <c r="F30" s="31" t="n">
        <v>86127.54821199999</v>
      </c>
      <c r="G30" s="31" t="n">
        <v>83259.091105</v>
      </c>
      <c r="H30" s="31" t="n">
        <v>81519.848921</v>
      </c>
      <c r="I30" s="31" t="n">
        <v>79156.70677400001</v>
      </c>
      <c r="J30" s="31" t="n">
        <v>77394.849579</v>
      </c>
      <c r="K30" s="31" t="n">
        <v>74514.50791099999</v>
      </c>
      <c r="L30" s="31" t="n">
        <v>71936.684799</v>
      </c>
      <c r="M30" s="31" t="n">
        <v>68577.901199</v>
      </c>
      <c r="N30" s="31" t="n">
        <v>66398.746667</v>
      </c>
      <c r="O30" s="31" t="n">
        <v>65654.00703399999</v>
      </c>
      <c r="P30" s="31" t="n">
        <v>66299.32173900001</v>
      </c>
      <c r="Q30" s="31" t="n">
        <v>66281.26174</v>
      </c>
      <c r="R30" s="31" t="n">
        <v>67734.11199999999</v>
      </c>
      <c r="S30" s="31" t="n">
        <v>66968.347253</v>
      </c>
      <c r="T30" s="31" t="n">
        <v>67631.89826</v>
      </c>
      <c r="U30" s="31" t="n">
        <v>67607.556522</v>
      </c>
      <c r="V30" s="31" t="n">
        <v>69083.45866600001</v>
      </c>
      <c r="W30" s="31" t="n">
        <v>68296.515165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0</v>
      </c>
      <c r="H31" s="31" t="n">
        <v>0</v>
      </c>
      <c r="I31" s="31" t="n">
        <v>0</v>
      </c>
      <c r="J31" s="31" t="n">
        <v>0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0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0</v>
      </c>
      <c r="D34" s="31" t="n">
        <v>87397.18474899999</v>
      </c>
      <c r="E34" s="31" t="n">
        <v>85934.24991699999</v>
      </c>
      <c r="F34" s="31" t="n">
        <v>86127.54821199999</v>
      </c>
      <c r="G34" s="31" t="n">
        <v>83259.091105</v>
      </c>
      <c r="H34" s="31" t="n">
        <v>81519.848921</v>
      </c>
      <c r="I34" s="31" t="n">
        <v>79156.70677400001</v>
      </c>
      <c r="J34" s="31" t="n">
        <v>77394.849579</v>
      </c>
      <c r="K34" s="31" t="n">
        <v>74514.50791099999</v>
      </c>
      <c r="L34" s="31" t="n">
        <v>71936.684799</v>
      </c>
      <c r="M34" s="31" t="n">
        <v>68577.901199</v>
      </c>
      <c r="N34" s="31" t="n">
        <v>66398.746667</v>
      </c>
      <c r="O34" s="31" t="n">
        <v>65654.00703399999</v>
      </c>
      <c r="P34" s="31" t="n">
        <v>66299.32173900001</v>
      </c>
      <c r="Q34" s="31" t="n">
        <v>66281.26174</v>
      </c>
      <c r="R34" s="31" t="n">
        <v>67734.11199999999</v>
      </c>
      <c r="S34" s="31" t="n">
        <v>66968.347253</v>
      </c>
      <c r="T34" s="31" t="n">
        <v>67631.89826</v>
      </c>
      <c r="U34" s="31" t="n">
        <v>67607.556522</v>
      </c>
      <c r="V34" s="31" t="n">
        <v>69083.45866600001</v>
      </c>
      <c r="W34" s="31" t="n">
        <v>68296.515165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0</v>
      </c>
      <c r="D36" s="31" t="n">
        <v>87397.18474899999</v>
      </c>
      <c r="E36" s="31" t="n">
        <v>85934.24991699999</v>
      </c>
      <c r="F36" s="31" t="n">
        <v>86127.54821199999</v>
      </c>
      <c r="G36" s="31" t="n">
        <v>83259.091105</v>
      </c>
      <c r="H36" s="31" t="n">
        <v>81519.848921</v>
      </c>
      <c r="I36" s="31" t="n">
        <v>79156.70677400001</v>
      </c>
      <c r="J36" s="31" t="n">
        <v>77394.849579</v>
      </c>
      <c r="K36" s="31" t="n">
        <v>74514.50791099999</v>
      </c>
      <c r="L36" s="31" t="n">
        <v>71936.684799</v>
      </c>
      <c r="M36" s="31" t="n">
        <v>68577.901199</v>
      </c>
      <c r="N36" s="31" t="n">
        <v>66398.746667</v>
      </c>
      <c r="O36" s="31" t="n">
        <v>65654.00703399999</v>
      </c>
      <c r="P36" s="31" t="n">
        <v>66299.32173900001</v>
      </c>
      <c r="Q36" s="31" t="n">
        <v>66281.26174</v>
      </c>
      <c r="R36" s="31" t="n">
        <v>67734.11199999999</v>
      </c>
      <c r="S36" s="31" t="n">
        <v>66968.347253</v>
      </c>
      <c r="T36" s="31" t="n">
        <v>67631.89826</v>
      </c>
      <c r="U36" s="31" t="n">
        <v>67607.556522</v>
      </c>
      <c r="V36" s="31" t="n">
        <v>69083.45866600001</v>
      </c>
      <c r="W36" s="31" t="n">
        <v>68296.515165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0</v>
      </c>
      <c r="D37" s="31" t="n">
        <v>327182</v>
      </c>
      <c r="E37" s="31" t="n">
        <v>464434</v>
      </c>
      <c r="F37" s="31" t="n">
        <v>586612</v>
      </c>
      <c r="G37" s="31" t="n">
        <v>692789</v>
      </c>
      <c r="H37" s="31" t="n">
        <v>786220</v>
      </c>
      <c r="I37" s="31" t="n">
        <v>860517</v>
      </c>
      <c r="J37" s="31" t="n">
        <v>915330</v>
      </c>
      <c r="K37" s="31" t="n">
        <v>949104</v>
      </c>
      <c r="L37" s="31" t="n">
        <v>965171</v>
      </c>
      <c r="M37" s="31" t="n">
        <v>965171</v>
      </c>
      <c r="N37" s="31" t="n">
        <v>965171</v>
      </c>
      <c r="O37" s="31" t="n">
        <v>965171</v>
      </c>
      <c r="P37" s="31" t="n">
        <v>965171</v>
      </c>
      <c r="Q37" s="31" t="n">
        <v>965171</v>
      </c>
      <c r="R37" s="31" t="n">
        <v>965171</v>
      </c>
      <c r="S37" s="31" t="n">
        <v>965171</v>
      </c>
      <c r="T37" s="31" t="n">
        <v>965171</v>
      </c>
      <c r="U37" s="31" t="n">
        <v>965171</v>
      </c>
      <c r="V37" s="31" t="n">
        <v>965171</v>
      </c>
      <c r="W37" s="31" t="n">
        <v>965171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25000</v>
      </c>
      <c r="D38" s="31" t="n">
        <v>-123595.185953</v>
      </c>
      <c r="E38" s="31" t="n">
        <v>-258471.841332</v>
      </c>
      <c r="F38" s="31" t="n">
        <v>-378539.101399</v>
      </c>
      <c r="G38" s="31" t="n">
        <v>-482679.234607</v>
      </c>
      <c r="H38" s="31" t="n">
        <v>-573718.718539</v>
      </c>
      <c r="I38" s="31" t="n">
        <v>-646515.189566</v>
      </c>
      <c r="J38" s="31" t="n">
        <v>-699870.41716</v>
      </c>
      <c r="K38" s="31" t="n">
        <v>-732559.329254</v>
      </c>
      <c r="L38" s="31" t="n">
        <v>-747418.03804</v>
      </c>
      <c r="M38" s="31" t="n">
        <v>-740788.950081</v>
      </c>
      <c r="N38" s="31" t="n">
        <v>-714679.784118</v>
      </c>
      <c r="O38" s="31" t="n">
        <v>-696480.207219</v>
      </c>
      <c r="P38" s="31" t="n">
        <v>-695607.685622</v>
      </c>
      <c r="Q38" s="31" t="n">
        <v>-695713.859417</v>
      </c>
      <c r="R38" s="31" t="n">
        <v>-694850.7347039999</v>
      </c>
      <c r="S38" s="31" t="n">
        <v>-695498.355358</v>
      </c>
      <c r="T38" s="31" t="n">
        <v>-694698.780598</v>
      </c>
      <c r="U38" s="31" t="n">
        <v>-694902.027595</v>
      </c>
      <c r="V38" s="31" t="n">
        <v>-694102.107904</v>
      </c>
      <c r="W38" s="31" t="n">
        <v>-694863.070906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25000</v>
      </c>
      <c r="D40" s="31" t="n">
        <v>203586.814047</v>
      </c>
      <c r="E40" s="31" t="n">
        <v>205962.158668</v>
      </c>
      <c r="F40" s="31" t="n">
        <v>208072.898601</v>
      </c>
      <c r="G40" s="31" t="n">
        <v>210109.765393</v>
      </c>
      <c r="H40" s="31" t="n">
        <v>212501.281461</v>
      </c>
      <c r="I40" s="31" t="n">
        <v>214001.810434</v>
      </c>
      <c r="J40" s="31" t="n">
        <v>215459.58284</v>
      </c>
      <c r="K40" s="31" t="n">
        <v>216544.670746</v>
      </c>
      <c r="L40" s="31" t="n">
        <v>217752.96196</v>
      </c>
      <c r="M40" s="31" t="n">
        <v>224382.049919</v>
      </c>
      <c r="N40" s="31" t="n">
        <v>250491.215882</v>
      </c>
      <c r="O40" s="31" t="n">
        <v>268690.792781</v>
      </c>
      <c r="P40" s="31" t="n">
        <v>269563.314378</v>
      </c>
      <c r="Q40" s="31" t="n">
        <v>269457.140583</v>
      </c>
      <c r="R40" s="31" t="n">
        <v>270320.265296</v>
      </c>
      <c r="S40" s="31" t="n">
        <v>269672.644642</v>
      </c>
      <c r="T40" s="31" t="n">
        <v>270472.219402</v>
      </c>
      <c r="U40" s="31" t="n">
        <v>270268.972405</v>
      </c>
      <c r="V40" s="31" t="n">
        <v>271068.892096</v>
      </c>
      <c r="W40" s="31" t="n">
        <v>270307.929094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25000</v>
      </c>
      <c r="D41" s="31" t="n">
        <v>290983.998796</v>
      </c>
      <c r="E41" s="31" t="n">
        <v>291896.408585</v>
      </c>
      <c r="F41" s="31" t="n">
        <v>294200.446813</v>
      </c>
      <c r="G41" s="31" t="n">
        <v>293368.856498</v>
      </c>
      <c r="H41" s="31" t="n">
        <v>294021.130382</v>
      </c>
      <c r="I41" s="31" t="n">
        <v>293158.517208</v>
      </c>
      <c r="J41" s="31" t="n">
        <v>292854.432419</v>
      </c>
      <c r="K41" s="31" t="n">
        <v>291059.178657</v>
      </c>
      <c r="L41" s="31" t="n">
        <v>289689.64676</v>
      </c>
      <c r="M41" s="31" t="n">
        <v>292959.951118</v>
      </c>
      <c r="N41" s="31" t="n">
        <v>316889.962549</v>
      </c>
      <c r="O41" s="31" t="n">
        <v>334344.799815</v>
      </c>
      <c r="P41" s="31" t="n">
        <v>335862.636117</v>
      </c>
      <c r="Q41" s="31" t="n">
        <v>335738.402323</v>
      </c>
      <c r="R41" s="31" t="n">
        <v>338054.377296</v>
      </c>
      <c r="S41" s="31" t="n">
        <v>336640.991895</v>
      </c>
      <c r="T41" s="31" t="n">
        <v>338104.117662</v>
      </c>
      <c r="U41" s="31" t="n">
        <v>337876.528927</v>
      </c>
      <c r="V41" s="31" t="n">
        <v>340152.350762</v>
      </c>
      <c r="W41" s="31" t="n">
        <v>338604.444259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0</v>
      </c>
      <c r="D45" s="31" t="n">
        <v>0</v>
      </c>
      <c r="E45" s="31" t="n">
        <v>190245.305396</v>
      </c>
      <c r="F45" s="31" t="n">
        <v>188020.139642</v>
      </c>
      <c r="G45" s="31" t="n">
        <v>185326.161742</v>
      </c>
      <c r="H45" s="31" t="n">
        <v>182151.735761</v>
      </c>
      <c r="I45" s="31" t="n">
        <v>180465.542133</v>
      </c>
      <c r="J45" s="31" t="n">
        <v>176287.823274</v>
      </c>
      <c r="K45" s="31" t="n">
        <v>171585.705367</v>
      </c>
      <c r="L45" s="31" t="n">
        <v>166350.346482</v>
      </c>
      <c r="M45" s="31" t="n">
        <v>162608.335486</v>
      </c>
      <c r="N45" s="31" t="n">
        <v>162386.833728</v>
      </c>
      <c r="O45" s="31" t="n">
        <v>180378.225615</v>
      </c>
      <c r="P45" s="31" t="n">
        <v>198279.891666</v>
      </c>
      <c r="Q45" s="31" t="n">
        <v>200239.928451</v>
      </c>
      <c r="R45" s="31" t="n">
        <v>199368.254413</v>
      </c>
      <c r="S45" s="31" t="n">
        <v>198477.517557</v>
      </c>
      <c r="T45" s="31" t="n">
        <v>197567.93933</v>
      </c>
      <c r="U45" s="31" t="n">
        <v>199529.721902</v>
      </c>
      <c r="V45" s="31" t="n">
        <v>198580.235833</v>
      </c>
      <c r="W45" s="31" t="n">
        <v>197612.229101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-22025.030833</v>
      </c>
      <c r="D46" s="31" t="n">
        <v>-148595.185953</v>
      </c>
      <c r="E46" s="31" t="n">
        <v>-134876.65538</v>
      </c>
      <c r="F46" s="31" t="n">
        <v>-120067.260066</v>
      </c>
      <c r="G46" s="31" t="n">
        <v>-104140.133209</v>
      </c>
      <c r="H46" s="31" t="n">
        <v>-91039.483932</v>
      </c>
      <c r="I46" s="31" t="n">
        <v>-72796.47102700001</v>
      </c>
      <c r="J46" s="31" t="n">
        <v>-53355.227594</v>
      </c>
      <c r="K46" s="31" t="n">
        <v>-32688.912094</v>
      </c>
      <c r="L46" s="31" t="n">
        <v>-14858.708786</v>
      </c>
      <c r="M46" s="31" t="n">
        <v>6629.087959</v>
      </c>
      <c r="N46" s="31" t="n">
        <v>26109.165963</v>
      </c>
      <c r="O46" s="31" t="n">
        <v>28820.576899</v>
      </c>
      <c r="P46" s="31" t="n">
        <v>28201.521597</v>
      </c>
      <c r="Q46" s="31" t="n">
        <v>30958.826205</v>
      </c>
      <c r="R46" s="31" t="n">
        <v>33739.124713</v>
      </c>
      <c r="S46" s="31" t="n">
        <v>36542.379346</v>
      </c>
      <c r="T46" s="31" t="n">
        <v>35920.57476</v>
      </c>
      <c r="U46" s="31" t="n">
        <v>38769.753004</v>
      </c>
      <c r="V46" s="31" t="n">
        <v>41641.91969</v>
      </c>
      <c r="W46" s="31" t="n">
        <v>44537.036998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6.25</v>
      </c>
      <c r="E47" s="31" t="n">
        <v>12.534256</v>
      </c>
      <c r="F47" s="31" t="n">
        <v>18.848162</v>
      </c>
      <c r="G47" s="31" t="n">
        <v>25.161747</v>
      </c>
      <c r="H47" s="31" t="n">
        <v>31.520971</v>
      </c>
      <c r="I47" s="31" t="n">
        <v>37.92146</v>
      </c>
      <c r="J47" s="31" t="n">
        <v>44.333147</v>
      </c>
      <c r="K47" s="31" t="n">
        <v>50.751331</v>
      </c>
      <c r="L47" s="31" t="n">
        <v>57.197101</v>
      </c>
      <c r="M47" s="31" t="n">
        <v>63.665926</v>
      </c>
      <c r="N47" s="31" t="n">
        <v>70.15322500000001</v>
      </c>
      <c r="O47" s="31" t="n">
        <v>76.628399</v>
      </c>
      <c r="P47" s="31" t="n">
        <v>83.138795</v>
      </c>
      <c r="Q47" s="31" t="n">
        <v>89.679823</v>
      </c>
      <c r="R47" s="31" t="n">
        <v>96.19455600000001</v>
      </c>
      <c r="S47" s="31" t="n">
        <v>102.730555</v>
      </c>
      <c r="T47" s="31" t="n">
        <v>109.283064</v>
      </c>
      <c r="U47" s="31" t="n">
        <v>115.847259</v>
      </c>
      <c r="V47" s="31" t="n">
        <v>122.392022</v>
      </c>
      <c r="W47" s="31" t="n">
        <v>128.964976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-75619.9434</v>
      </c>
      <c r="E48" s="31" t="n">
        <v>-3024.516049</v>
      </c>
      <c r="F48" s="31" t="n">
        <v>-4890.705243</v>
      </c>
      <c r="G48" s="31" t="n">
        <v>-2241.301811</v>
      </c>
      <c r="H48" s="31" t="n">
        <v>-2242.785212</v>
      </c>
      <c r="I48" s="31" t="n">
        <v>-3225.345462</v>
      </c>
      <c r="J48" s="31" t="n">
        <v>-4314.235782</v>
      </c>
      <c r="K48" s="31" t="n">
        <v>-3362.306983</v>
      </c>
      <c r="L48" s="31" t="n">
        <v>-2300.737739</v>
      </c>
      <c r="M48" s="31" t="n">
        <v>-3426.174875</v>
      </c>
      <c r="N48" s="31" t="n">
        <v>-5879.147445</v>
      </c>
      <c r="O48" s="31" t="n">
        <v>500.123071</v>
      </c>
      <c r="P48" s="31" t="n">
        <v>489.250843</v>
      </c>
      <c r="Q48" s="31" t="n">
        <v>-706.695658</v>
      </c>
      <c r="R48" s="31" t="n">
        <v>-3172.278254</v>
      </c>
      <c r="S48" s="31" t="n">
        <v>531.876917</v>
      </c>
      <c r="T48" s="31" t="n">
        <v>520.314388</v>
      </c>
      <c r="U48" s="31" t="n">
        <v>-706.695658</v>
      </c>
      <c r="V48" s="31" t="n">
        <v>-3235.095645</v>
      </c>
      <c r="W48" s="31" t="n">
        <v>563.630763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87397.18474899999</v>
      </c>
      <c r="E49" s="31" t="n">
        <v>-1462.934832</v>
      </c>
      <c r="F49" s="31" t="n">
        <v>193.298294</v>
      </c>
      <c r="G49" s="31" t="n">
        <v>-2868.457106</v>
      </c>
      <c r="H49" s="31" t="n">
        <v>-1739.242184</v>
      </c>
      <c r="I49" s="31" t="n">
        <v>-2363.142147</v>
      </c>
      <c r="J49" s="31" t="n">
        <v>-1761.857195</v>
      </c>
      <c r="K49" s="31" t="n">
        <v>-2880.341668</v>
      </c>
      <c r="L49" s="31" t="n">
        <v>-2577.823112</v>
      </c>
      <c r="M49" s="31" t="n">
        <v>-3358.7836</v>
      </c>
      <c r="N49" s="31" t="n">
        <v>-2179.154533</v>
      </c>
      <c r="O49" s="31" t="n">
        <v>-744.739633</v>
      </c>
      <c r="P49" s="31" t="n">
        <v>645.314705</v>
      </c>
      <c r="Q49" s="31" t="n">
        <v>-18.059999</v>
      </c>
      <c r="R49" s="31" t="n">
        <v>1452.85026</v>
      </c>
      <c r="S49" s="31" t="n">
        <v>-765.7647459999999</v>
      </c>
      <c r="T49" s="31" t="n">
        <v>663.551007</v>
      </c>
      <c r="U49" s="31" t="n">
        <v>-24.341738</v>
      </c>
      <c r="V49" s="31" t="n">
        <v>1475.902144</v>
      </c>
      <c r="W49" s="31" t="n">
        <v>-786.943501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-136811.694604</v>
      </c>
      <c r="E50" s="31" t="n">
        <v>-139351.572004</v>
      </c>
      <c r="F50" s="31" t="n">
        <v>-124745.818853</v>
      </c>
      <c r="G50" s="31" t="n">
        <v>-109224.730379</v>
      </c>
      <c r="H50" s="31" t="n">
        <v>-94989.990357</v>
      </c>
      <c r="I50" s="31" t="n">
        <v>-78347.037176</v>
      </c>
      <c r="J50" s="31" t="n">
        <v>-59386.987423</v>
      </c>
      <c r="K50" s="31" t="n">
        <v>-38880.809415</v>
      </c>
      <c r="L50" s="31" t="n">
        <v>-19680.072535</v>
      </c>
      <c r="M50" s="31" t="n">
        <v>-92.20459</v>
      </c>
      <c r="N50" s="31" t="n">
        <v>18121.017211</v>
      </c>
      <c r="O50" s="31" t="n">
        <v>28652.588737</v>
      </c>
      <c r="P50" s="31" t="n">
        <v>29419.22594</v>
      </c>
      <c r="Q50" s="31" t="n">
        <v>30323.75037</v>
      </c>
      <c r="R50" s="31" t="n">
        <v>32115.891275</v>
      </c>
      <c r="S50" s="31" t="n">
        <v>36411.222071</v>
      </c>
      <c r="T50" s="31" t="n">
        <v>37213.72322</v>
      </c>
      <c r="U50" s="31" t="n">
        <v>38154.562866</v>
      </c>
      <c r="V50" s="31" t="n">
        <v>40005.118212</v>
      </c>
      <c r="W50" s="31" t="n">
        <v>44442.689236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125</v>
      </c>
      <c r="E51" s="31" t="n">
        <v>125.59375</v>
      </c>
      <c r="F51" s="31" t="n">
        <v>126.159047</v>
      </c>
      <c r="G51" s="31" t="n">
        <v>126.695602</v>
      </c>
      <c r="H51" s="31" t="n">
        <v>127.203271</v>
      </c>
      <c r="I51" s="31" t="n">
        <v>127.681683</v>
      </c>
      <c r="J51" s="31" t="n">
        <v>128.130484</v>
      </c>
      <c r="K51" s="31" t="n">
        <v>128.54947</v>
      </c>
      <c r="L51" s="31" t="n">
        <v>128.938461</v>
      </c>
      <c r="M51" s="31" t="n">
        <v>129.297168</v>
      </c>
      <c r="N51" s="31" t="n">
        <v>129.625324</v>
      </c>
      <c r="O51" s="31" t="n">
        <v>129.922685</v>
      </c>
      <c r="P51" s="31" t="n">
        <v>130.189156</v>
      </c>
      <c r="Q51" s="31" t="n">
        <v>130.424408</v>
      </c>
      <c r="R51" s="31" t="n">
        <v>130.628131</v>
      </c>
      <c r="S51" s="31" t="n">
        <v>130.800299</v>
      </c>
      <c r="T51" s="31" t="n">
        <v>130.940647</v>
      </c>
      <c r="U51" s="31" t="n">
        <v>131.048935</v>
      </c>
      <c r="V51" s="31" t="n">
        <v>131.124944</v>
      </c>
      <c r="W51" s="31" t="n">
        <v>131.168608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-125</v>
      </c>
      <c r="E52" s="31" t="n">
        <v>-125.59375</v>
      </c>
      <c r="F52" s="31" t="n">
        <v>-126.159047</v>
      </c>
      <c r="G52" s="31" t="n">
        <v>-126.695602</v>
      </c>
      <c r="H52" s="31" t="n">
        <v>-127.203271</v>
      </c>
      <c r="I52" s="31" t="n">
        <v>-127.681683</v>
      </c>
      <c r="J52" s="31" t="n">
        <v>-128.130484</v>
      </c>
      <c r="K52" s="31" t="n">
        <v>-128.54947</v>
      </c>
      <c r="L52" s="31" t="n">
        <v>-128.938461</v>
      </c>
      <c r="M52" s="31" t="n">
        <v>-129.297168</v>
      </c>
      <c r="N52" s="31" t="n">
        <v>-129.625324</v>
      </c>
      <c r="O52" s="31" t="n">
        <v>-129.922685</v>
      </c>
      <c r="P52" s="31" t="n">
        <v>-130.189156</v>
      </c>
      <c r="Q52" s="31" t="n">
        <v>-130.424408</v>
      </c>
      <c r="R52" s="31" t="n">
        <v>-130.628131</v>
      </c>
      <c r="S52" s="31" t="n">
        <v>-130.800299</v>
      </c>
      <c r="T52" s="31" t="n">
        <v>-130.940647</v>
      </c>
      <c r="U52" s="31" t="n">
        <v>-131.048935</v>
      </c>
      <c r="V52" s="31" t="n">
        <v>-131.124944</v>
      </c>
      <c r="W52" s="31" t="n">
        <v>-131.168608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-0</v>
      </c>
      <c r="E54" s="31" t="n">
        <v>-0</v>
      </c>
      <c r="F54" s="31" t="n">
        <v>-0</v>
      </c>
      <c r="G54" s="31" t="n">
        <v>-0</v>
      </c>
      <c r="H54" s="31" t="n">
        <v>-0</v>
      </c>
      <c r="I54" s="31" t="n">
        <v>-0</v>
      </c>
      <c r="J54" s="31" t="n">
        <v>-0</v>
      </c>
      <c r="K54" s="31" t="n">
        <v>-0</v>
      </c>
      <c r="L54" s="31" t="n">
        <v>-0</v>
      </c>
      <c r="M54" s="31" t="n">
        <v>-0</v>
      </c>
      <c r="N54" s="31" t="n">
        <v>-0</v>
      </c>
      <c r="O54" s="31" t="n">
        <v>-0</v>
      </c>
      <c r="P54" s="31" t="n">
        <v>-0</v>
      </c>
      <c r="Q54" s="31" t="n">
        <v>-0</v>
      </c>
      <c r="R54" s="31" t="n">
        <v>-0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327182</v>
      </c>
      <c r="E55" s="31" t="n">
        <v>137252</v>
      </c>
      <c r="F55" s="31" t="n">
        <v>122178</v>
      </c>
      <c r="G55" s="31" t="n">
        <v>106177</v>
      </c>
      <c r="H55" s="31" t="n">
        <v>93431</v>
      </c>
      <c r="I55" s="31" t="n">
        <v>74297</v>
      </c>
      <c r="J55" s="31" t="n">
        <v>54813</v>
      </c>
      <c r="K55" s="31" t="n">
        <v>33774</v>
      </c>
      <c r="L55" s="31" t="n">
        <v>16067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10621</v>
      </c>
      <c r="P56" s="31" t="n">
        <v>27329</v>
      </c>
      <c r="Q56" s="31" t="n">
        <v>31065</v>
      </c>
      <c r="R56" s="31" t="n">
        <v>32876</v>
      </c>
      <c r="S56" s="31" t="n">
        <v>37190</v>
      </c>
      <c r="T56" s="31" t="n">
        <v>35121</v>
      </c>
      <c r="U56" s="31" t="n">
        <v>38973</v>
      </c>
      <c r="V56" s="31" t="n">
        <v>40842</v>
      </c>
      <c r="W56" s="31" t="n">
        <v>45298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327182</v>
      </c>
      <c r="E57" s="31" t="n">
        <v>137252</v>
      </c>
      <c r="F57" s="31" t="n">
        <v>122178</v>
      </c>
      <c r="G57" s="31" t="n">
        <v>106177</v>
      </c>
      <c r="H57" s="31" t="n">
        <v>93431</v>
      </c>
      <c r="I57" s="31" t="n">
        <v>74297</v>
      </c>
      <c r="J57" s="31" t="n">
        <v>54813</v>
      </c>
      <c r="K57" s="31" t="n">
        <v>33774</v>
      </c>
      <c r="L57" s="31" t="n">
        <v>16067</v>
      </c>
      <c r="M57" s="31" t="n">
        <v>0</v>
      </c>
      <c r="N57" s="31" t="n">
        <v>0</v>
      </c>
      <c r="O57" s="31" t="n">
        <v>-10621</v>
      </c>
      <c r="P57" s="31" t="n">
        <v>-27329</v>
      </c>
      <c r="Q57" s="31" t="n">
        <v>-31065</v>
      </c>
      <c r="R57" s="31" t="n">
        <v>-32876</v>
      </c>
      <c r="S57" s="31" t="n">
        <v>-37190</v>
      </c>
      <c r="T57" s="31" t="n">
        <v>-35121</v>
      </c>
      <c r="U57" s="31" t="n">
        <v>-38973</v>
      </c>
      <c r="V57" s="31" t="n">
        <v>-40842</v>
      </c>
      <c r="W57" s="31" t="n">
        <v>-45298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190245.305396</v>
      </c>
      <c r="E58" s="31" t="n">
        <v>-2225.165754</v>
      </c>
      <c r="F58" s="31" t="n">
        <v>-2693.9779</v>
      </c>
      <c r="G58" s="31" t="n">
        <v>-3174.425981</v>
      </c>
      <c r="H58" s="31" t="n">
        <v>-1686.193628</v>
      </c>
      <c r="I58" s="31" t="n">
        <v>-4177.718859</v>
      </c>
      <c r="J58" s="31" t="n">
        <v>-4702.117907</v>
      </c>
      <c r="K58" s="31" t="n">
        <v>-5235.358885</v>
      </c>
      <c r="L58" s="31" t="n">
        <v>-3742.010996</v>
      </c>
      <c r="M58" s="31" t="n">
        <v>-221.501758</v>
      </c>
      <c r="N58" s="31" t="n">
        <v>17991.391887</v>
      </c>
      <c r="O58" s="31" t="n">
        <v>17901.666052</v>
      </c>
      <c r="P58" s="31" t="n">
        <v>1960.036784</v>
      </c>
      <c r="Q58" s="31" t="n">
        <v>-871.674038</v>
      </c>
      <c r="R58" s="31" t="n">
        <v>-890.736856</v>
      </c>
      <c r="S58" s="31" t="n">
        <v>-909.578228</v>
      </c>
      <c r="T58" s="31" t="n">
        <v>1961.782573</v>
      </c>
      <c r="U58" s="31" t="n">
        <v>-949.486069</v>
      </c>
      <c r="V58" s="31" t="n">
        <v>-968.0067320000001</v>
      </c>
      <c r="W58" s="31" t="n">
        <v>-986.479372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0</v>
      </c>
      <c r="D59" s="31" t="n">
        <v>190245.305396</v>
      </c>
      <c r="E59" s="31" t="n">
        <v>188020.139642</v>
      </c>
      <c r="F59" s="31" t="n">
        <v>185326.161742</v>
      </c>
      <c r="G59" s="31" t="n">
        <v>182151.735761</v>
      </c>
      <c r="H59" s="31" t="n">
        <v>180465.542133</v>
      </c>
      <c r="I59" s="31" t="n">
        <v>176287.823274</v>
      </c>
      <c r="J59" s="31" t="n">
        <v>171585.705367</v>
      </c>
      <c r="K59" s="31" t="n">
        <v>166350.346482</v>
      </c>
      <c r="L59" s="31" t="n">
        <v>162608.335486</v>
      </c>
      <c r="M59" s="31" t="n">
        <v>162386.833728</v>
      </c>
      <c r="N59" s="31" t="n">
        <v>180378.225615</v>
      </c>
      <c r="O59" s="31" t="n">
        <v>198279.891666</v>
      </c>
      <c r="P59" s="31" t="n">
        <v>200239.928451</v>
      </c>
      <c r="Q59" s="31" t="n">
        <v>199368.254413</v>
      </c>
      <c r="R59" s="31" t="n">
        <v>198477.517557</v>
      </c>
      <c r="S59" s="31" t="n">
        <v>197567.93933</v>
      </c>
      <c r="T59" s="31" t="n">
        <v>199529.721902</v>
      </c>
      <c r="U59" s="31" t="n">
        <v>198580.235833</v>
      </c>
      <c r="V59" s="31" t="n">
        <v>197612.229101</v>
      </c>
      <c r="W59" s="31" t="n">
        <v>196625.749729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A27:N106</t>
        </is>
      </c>
      <c r="E16" s="39">
        <f>SUM(ABS('Payroll Schedule'!C15-SUMIFS('Payroll Schedule'!$G$27:$G$106,'Payroll Schedule'!$A$27:$A$106,0)),ABS('Payroll Schedule'!C16-SUMIFS('Payroll Schedule'!$H$27:$H$106,'Payroll Schedule'!$A$27:$A$106,0)),ABS('Payroll Schedule'!C17-SUMIFS('Payroll Schedule'!$M$27:$M$106,'Payroll Schedule'!$A$27:$A$106,0)),ABS('Payroll Schedule'!D15-SUMIFS('Payroll Schedule'!$G$27:$G$106,'Payroll Schedule'!$A$27:$A$106,1)),ABS('Payroll Schedule'!D16-SUMIFS('Payroll Schedule'!$H$27:$H$106,'Payroll Schedule'!$A$27:$A$106,1)),ABS('Payroll Schedule'!D17-SUMIFS('Payroll Schedule'!$M$27:$M$106,'Payroll Schedule'!$A$27:$A$106,1)),ABS('Payroll Schedule'!E15-SUMIFS('Payroll Schedule'!$G$27:$G$106,'Payroll Schedule'!$A$27:$A$106,2)),ABS('Payroll Schedule'!E16-SUMIFS('Payroll Schedule'!$H$27:$H$106,'Payroll Schedule'!$A$27:$A$106,2)),ABS('Payroll Schedule'!E17-SUMIFS('Payroll Schedule'!$M$27:$M$106,'Payroll Schedule'!$A$27:$A$106,2)),ABS('Payroll Schedule'!F15-SUMIFS('Payroll Schedule'!$G$27:$G$106,'Payroll Schedule'!$A$27:$A$106,3)),ABS('Payroll Schedule'!F16-SUMIFS('Payroll Schedule'!$H$27:$H$106,'Payroll Schedule'!$A$27:$A$106,3)),ABS('Payroll Schedule'!F17-SUMIFS('Payroll Schedule'!$M$27:$M$106,'Payroll Schedule'!$A$27:$A$106,3)),ABS('Payroll Schedule'!G15-SUMIFS('Payroll Schedule'!$G$27:$G$106,'Payroll Schedule'!$A$27:$A$106,4)),ABS('Payroll Schedule'!G16-SUMIFS('Payroll Schedule'!$H$27:$H$106,'Payroll Schedule'!$A$27:$A$106,4)),ABS('Payroll Schedule'!G17-SUMIFS('Payroll Schedule'!$M$27:$M$106,'Payroll Schedule'!$A$27:$A$106,4)),ABS('Payroll Schedule'!H15-SUMIFS('Payroll Schedule'!$G$27:$G$106,'Payroll Schedule'!$A$27:$A$106,5)),ABS('Payroll Schedule'!H16-SUMIFS('Payroll Schedule'!$H$27:$H$106,'Payroll Schedule'!$A$27:$A$106,5)),ABS('Payroll Schedule'!H17-SUMIFS('Payroll Schedule'!$M$27:$M$106,'Payroll Schedule'!$A$27:$A$106,5)),ABS('Payroll Schedule'!I15-SUMIFS('Payroll Schedule'!$G$27:$G$106,'Payroll Schedule'!$A$27:$A$106,6)),ABS('Payroll Schedule'!I16-SUMIFS('Payroll Schedule'!$H$27:$H$106,'Payroll Schedule'!$A$27:$A$106,6)),ABS('Payroll Schedule'!I17-SUMIFS('Payroll Schedule'!$M$27:$M$106,'Payroll Schedule'!$A$27:$A$106,6)),ABS('Payroll Schedule'!J15-SUMIFS('Payroll Schedule'!$G$27:$G$106,'Payroll Schedule'!$A$27:$A$106,7)),ABS('Payroll Schedule'!J16-SUMIFS('Payroll Schedule'!$H$27:$H$106,'Payroll Schedule'!$A$27:$A$106,7)),ABS('Payroll Schedule'!J17-SUMIFS('Payroll Schedule'!$M$27:$M$106,'Payroll Schedule'!$A$27:$A$106,7)),ABS('Payroll Schedule'!K15-SUMIFS('Payroll Schedule'!$G$27:$G$106,'Payroll Schedule'!$A$27:$A$106,8)),ABS('Payroll Schedule'!K16-SUMIFS('Payroll Schedule'!$H$27:$H$106,'Payroll Schedule'!$A$27:$A$106,8)),ABS('Payroll Schedule'!K17-SUMIFS('Payroll Schedule'!$M$27:$M$106,'Payroll Schedule'!$A$27:$A$106,8)),ABS('Payroll Schedule'!L15-SUMIFS('Payroll Schedule'!$G$27:$G$106,'Payroll Schedule'!$A$27:$A$106,9)),ABS('Payroll Schedule'!L16-SUMIFS('Payroll Schedule'!$H$27:$H$106,'Payroll Schedule'!$A$27:$A$106,9)),ABS('Payroll Schedule'!L17-SUMIFS('Payroll Schedule'!$M$27:$M$106,'Payroll Schedule'!$A$27:$A$106,9)),ABS('Payroll Schedule'!M15-SUMIFS('Payroll Schedule'!$G$27:$G$106,'Payroll Schedule'!$A$27:$A$106,10)),ABS('Payroll Schedule'!M16-SUMIFS('Payroll Schedule'!$H$27:$H$106,'Payroll Schedule'!$A$27:$A$106,10)),ABS('Payroll Schedule'!M17-SUMIFS('Payroll Schedule'!$M$27:$M$106,'Payroll Schedule'!$A$27:$A$106,10)),ABS('Payroll Schedule'!N15-SUMIFS('Payroll Schedule'!$G$27:$G$106,'Payroll Schedule'!$A$27:$A$106,11)),ABS('Payroll Schedule'!N16-SUMIFS('Payroll Schedule'!$H$27:$H$106,'Payroll Schedule'!$A$27:$A$106,11)),ABS('Payroll Schedule'!N17-SUMIFS('Payroll Schedule'!$M$27:$M$106,'Payroll Schedule'!$A$27:$A$106,11)),ABS('Payroll Schedule'!O15-SUMIFS('Payroll Schedule'!$G$27:$G$106,'Payroll Schedule'!$A$27:$A$106,12)),ABS('Payroll Schedule'!O16-SUMIFS('Payroll Schedule'!$H$27:$H$106,'Payroll Schedule'!$A$27:$A$106,12)),ABS('Payroll Schedule'!O17-SUMIFS('Payroll Schedule'!$M$27:$M$106,'Payroll Schedule'!$A$27:$A$106,12)),ABS('Payroll Schedule'!P15-SUMIFS('Payroll Schedule'!$G$27:$G$106,'Payroll Schedule'!$A$27:$A$106,13)),ABS('Payroll Schedule'!P16-SUMIFS('Payroll Schedule'!$H$27:$H$106,'Payroll Schedule'!$A$27:$A$106,13)),ABS('Payroll Schedule'!P17-SUMIFS('Payroll Schedule'!$M$27:$M$106,'Payroll Schedule'!$A$27:$A$106,13)),ABS('Payroll Schedule'!Q15-SUMIFS('Payroll Schedule'!$G$27:$G$106,'Payroll Schedule'!$A$27:$A$106,14)),ABS('Payroll Schedule'!Q16-SUMIFS('Payroll Schedule'!$H$27:$H$106,'Payroll Schedule'!$A$27:$A$106,14)),ABS('Payroll Schedule'!Q17-SUMIFS('Payroll Schedule'!$M$27:$M$106,'Payroll Schedule'!$A$27:$A$106,14)),ABS('Payroll Schedule'!R15-SUMIFS('Payroll Schedule'!$G$27:$G$106,'Payroll Schedule'!$A$27:$A$106,15)),ABS('Payroll Schedule'!R16-SUMIFS('Payroll Schedule'!$H$27:$H$106,'Payroll Schedule'!$A$27:$A$106,15)),ABS('Payroll Schedule'!R17-SUMIFS('Payroll Schedule'!$M$27:$M$106,'Payroll Schedule'!$A$27:$A$106,15)),ABS('Payroll Schedule'!S15-SUMIFS('Payroll Schedule'!$G$27:$G$106,'Payroll Schedule'!$A$27:$A$106,16)),ABS('Payroll Schedule'!S16-SUMIFS('Payroll Schedule'!$H$27:$H$106,'Payroll Schedule'!$A$27:$A$106,16)),ABS('Payroll Schedule'!S17-SUMIFS('Payroll Schedule'!$M$27:$M$106,'Payroll Schedule'!$A$27:$A$106,16)),ABS('Payroll Schedule'!T15-SUMIFS('Payroll Schedule'!$G$27:$G$106,'Payroll Schedule'!$A$27:$A$106,17)),ABS('Payroll Schedule'!T16-SUMIFS('Payroll Schedule'!$H$27:$H$106,'Payroll Schedule'!$A$27:$A$106,17)),ABS('Payroll Schedule'!T17-SUMIFS('Payroll Schedule'!$M$27:$M$106,'Payroll Schedule'!$A$27:$A$106,17)),ABS('Payroll Schedule'!U15-SUMIFS('Payroll Schedule'!$G$27:$G$106,'Payroll Schedule'!$A$27:$A$106,18)),ABS('Payroll Schedule'!U16-SUMIFS('Payroll Schedule'!$H$27:$H$106,'Payroll Schedule'!$A$27:$A$106,18)),ABS('Payroll Schedule'!U17-SUMIFS('Payroll Schedule'!$M$27:$M$106,'Payroll Schedule'!$A$27:$A$106,18)),ABS('Payroll Schedule'!V15-SUMIFS('Payroll Schedule'!$G$27:$G$106,'Payroll Schedule'!$A$27:$A$106,19)),ABS('Payroll Schedule'!V16-SUMIFS('Payroll Schedule'!$H$27:$H$106,'Payroll Schedule'!$A$27:$A$106,19)),ABS('Payroll Schedule'!V17-SUMIFS('Payroll Schedule'!$M$27:$M$106,'Payroll Schedule'!$A$27:$A$106,19)),ABS('Payroll Schedule'!W15-SUMIFS('Payroll Schedule'!$G$27:$G$106,'Payroll Schedule'!$A$27:$A$106,20)),ABS('Payroll Schedule'!W16-SUMIFS('Payroll Schedule'!$H$27:$H$106,'Payroll Schedule'!$A$27:$A$106,20)),ABS('Payroll Schedule'!W17-SUMIFS('Payroll Schedule'!$M$27:$M$106,'Payroll Schedule'!$A$27:$A$106,20)))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E27:H106</t>
        </is>
      </c>
      <c r="E18" s="39">
        <f>SUMPRODUCT(ABS('Payroll Schedule'!G27:G106-('Payroll Schedule'!E27:E106+'Payroll Schedule'!F27:F106)))+SUMPRODUCT(ABS('Payroll Schedule'!H27:H106-(('Payroll Schedule'!E27:E106+'Payroll Schedule'!G27:G106)/2)))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I27:M106</t>
        </is>
      </c>
      <c r="E19" s="39">
        <f>SUMPRODUCT(ABS('Payroll Schedule'!K27:K106-('Payroll Schedule'!H27:H106*'Payroll Schedule'!I27:I106/4)))+SUMPRODUCT(ABS('Payroll Schedule'!L27:L106-('Payroll Schedule'!K27:K106*'Payroll Schedule'!J27:J106)))+SUMPRODUCT(ABS('Payroll Schedule'!M27:M106-('Payroll Schedule'!K27:K106+'Payroll Schedule'!L27:L106)))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Schedule'!G27:G106</t>
        </is>
      </c>
      <c r="E61" s="39">
        <f>80</f>
        <v/>
      </c>
      <c r="F61" s="39" t="n">
        <v>80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Schedule'!H27:H106</t>
        </is>
      </c>
      <c r="E62" s="39">
        <f>80</f>
        <v/>
      </c>
      <c r="F62" s="39" t="n">
        <v>80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Schedule'!K27:K106</t>
        </is>
      </c>
      <c r="E63" s="39">
        <f>80</f>
        <v/>
      </c>
      <c r="F63" s="39" t="n">
        <v>80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Schedule'!L27:L106</t>
        </is>
      </c>
      <c r="E64" s="39">
        <f>80</f>
        <v/>
      </c>
      <c r="F64" s="39" t="n">
        <v>80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Schedule'!M27:M106</t>
        </is>
      </c>
      <c r="E65" s="39">
        <f>80</f>
        <v/>
      </c>
      <c r="F65" s="39" t="n">
        <v>80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Schedule'!C15:W106</t>
        </is>
      </c>
      <c r="E158" s="39">
        <f>SUMPRODUCT(--ISERROR('Payroll Schedule'!C15:W106))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turnaround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Anderson &amp; Clark Law Group</t>
        </is>
      </c>
    </row>
    <row r="8">
      <c r="A8" s="45" t="inlineStr">
        <is>
          <t>Business Start Date</t>
        </is>
      </c>
      <c r="B8" s="46" t="inlineStr">
        <is>
          <t>06/19/2024</t>
        </is>
      </c>
    </row>
    <row r="9">
      <c r="A9" s="45" t="inlineStr">
        <is>
          <t>NAICS-6</t>
        </is>
      </c>
      <c r="B9" s="46" t="inlineStr">
        <is>
          <t>541110</t>
        </is>
      </c>
    </row>
    <row r="10">
      <c r="A10" s="45" t="inlineStr">
        <is>
          <t>Draft ID</t>
        </is>
      </c>
      <c r="B10" s="46" t="inlineStr">
        <is>
          <t>4bb460a60c864b399af090535a5b2fd3</t>
        </is>
      </c>
    </row>
    <row r="11">
      <c r="A11" s="45" t="inlineStr">
        <is>
          <t>Planning Run ID</t>
        </is>
      </c>
      <c r="B11" s="46" t="inlineStr">
        <is>
          <t>151fc8eb427742398636bb6dae458736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3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Anderson &amp; Clark Law Group Financial Model</dc:title>
  <dc:subject>Client financial model workbook</dc:subject>
  <dcterms:created xsi:type="dcterms:W3CDTF">2026-05-20T06:16:30Z</dcterms:created>
  <dcterms:modified xsi:type="dcterms:W3CDTF">2026-05-20T06:16:31Z</dcterms:modified>
</cp:coreProperties>
</file>