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Schedule'!$A$26:$N$66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Shipment services</t>
        </is>
      </c>
    </row>
    <row r="8">
      <c r="A8" s="8" t="inlineStr">
        <is>
          <t>Primary line of business / Shipment services - Capacity</t>
        </is>
      </c>
      <c r="B8" s="8" t="inlineStr">
        <is>
          <t>Source driver</t>
        </is>
      </c>
      <c r="C8" s="9" t="n">
        <v>195000</v>
      </c>
      <c r="D8" s="9" t="n">
        <v>21000</v>
      </c>
      <c r="E8" s="9" t="n">
        <v>21000</v>
      </c>
      <c r="F8" s="9" t="n">
        <v>21000</v>
      </c>
      <c r="G8" s="9" t="n">
        <v>21000</v>
      </c>
      <c r="H8" s="9" t="n">
        <v>21000</v>
      </c>
      <c r="I8" s="9" t="n">
        <v>21000</v>
      </c>
      <c r="J8" s="9" t="n">
        <v>21000</v>
      </c>
      <c r="K8" s="9" t="n">
        <v>21000</v>
      </c>
      <c r="L8" s="9" t="n">
        <v>21000</v>
      </c>
      <c r="M8" s="9" t="n">
        <v>21000</v>
      </c>
      <c r="N8" s="9" t="n">
        <v>21000</v>
      </c>
      <c r="O8" s="9" t="n">
        <v>21000</v>
      </c>
      <c r="P8" s="9" t="n">
        <v>21000</v>
      </c>
      <c r="Q8" s="9" t="n">
        <v>21000</v>
      </c>
      <c r="R8" s="9" t="n">
        <v>21000</v>
      </c>
      <c r="S8" s="9" t="n">
        <v>21000</v>
      </c>
      <c r="T8" s="9" t="n">
        <v>21000</v>
      </c>
      <c r="U8" s="9" t="n">
        <v>21000</v>
      </c>
      <c r="V8" s="9" t="n">
        <v>21000</v>
      </c>
      <c r="W8" s="9" t="n">
        <v>21000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Shipment services - Unit Price</t>
        </is>
      </c>
      <c r="B9" s="8" t="inlineStr">
        <is>
          <t>Source driver</t>
        </is>
      </c>
      <c r="C9" s="11" t="n">
        <v>15</v>
      </c>
      <c r="D9" s="11" t="n">
        <v>15</v>
      </c>
      <c r="E9" s="11" t="n">
        <v>16.1</v>
      </c>
      <c r="F9" s="11" t="n">
        <v>17.2</v>
      </c>
      <c r="G9" s="11" t="n">
        <v>18.3</v>
      </c>
      <c r="H9" s="11" t="n">
        <v>19.4</v>
      </c>
      <c r="I9" s="11" t="n">
        <v>20.5</v>
      </c>
      <c r="J9" s="11" t="n">
        <v>21.6</v>
      </c>
      <c r="K9" s="11" t="n">
        <v>22.7</v>
      </c>
      <c r="L9" s="11" t="n">
        <v>23.8</v>
      </c>
      <c r="M9" s="11" t="n">
        <v>24.9</v>
      </c>
      <c r="N9" s="11" t="n">
        <v>26</v>
      </c>
      <c r="O9" s="11" t="n">
        <v>26.333333</v>
      </c>
      <c r="P9" s="11" t="n">
        <v>26.666667</v>
      </c>
      <c r="Q9" s="11" t="n">
        <v>27</v>
      </c>
      <c r="R9" s="11" t="n">
        <v>27.333333</v>
      </c>
      <c r="S9" s="11" t="n">
        <v>27.666667</v>
      </c>
      <c r="T9" s="11" t="n">
        <v>28</v>
      </c>
      <c r="U9" s="11" t="n">
        <v>28.333333</v>
      </c>
      <c r="V9" s="11" t="n">
        <v>28.666667</v>
      </c>
      <c r="W9" s="11" t="n">
        <v>29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Shipment services - Utilization</t>
        </is>
      </c>
      <c r="B10" s="8" t="inlineStr">
        <is>
          <t>Source driver</t>
        </is>
      </c>
      <c r="C10" s="13" t="n">
        <v>0.8</v>
      </c>
      <c r="D10" s="13" t="n">
        <v>0.8</v>
      </c>
      <c r="E10" s="13" t="n">
        <v>0.804</v>
      </c>
      <c r="F10" s="13" t="n">
        <v>0.8080000000000001</v>
      </c>
      <c r="G10" s="13" t="n">
        <v>0.8120000000000001</v>
      </c>
      <c r="H10" s="13" t="n">
        <v>0.8159999999999999</v>
      </c>
      <c r="I10" s="13" t="n">
        <v>0.82</v>
      </c>
      <c r="J10" s="13" t="n">
        <v>0.824</v>
      </c>
      <c r="K10" s="13" t="n">
        <v>0.828</v>
      </c>
      <c r="L10" s="13" t="n">
        <v>0.832</v>
      </c>
      <c r="M10" s="13" t="n">
        <v>0.836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Shipment services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0.01</v>
      </c>
      <c r="E18" s="13" t="n">
        <v>0.01</v>
      </c>
      <c r="F18" s="13" t="n">
        <v>0.01</v>
      </c>
      <c r="G18" s="13" t="n">
        <v>0.01</v>
      </c>
      <c r="H18" s="13" t="n">
        <v>0.01</v>
      </c>
      <c r="I18" s="13" t="n">
        <v>0.01</v>
      </c>
      <c r="J18" s="13" t="n">
        <v>0.01</v>
      </c>
      <c r="K18" s="13" t="n">
        <v>0.01</v>
      </c>
      <c r="L18" s="13" t="n">
        <v>0.01</v>
      </c>
      <c r="M18" s="13" t="n">
        <v>0.01</v>
      </c>
      <c r="N18" s="13" t="n">
        <v>0.01</v>
      </c>
      <c r="O18" s="13" t="n">
        <v>0.01</v>
      </c>
      <c r="P18" s="13" t="n">
        <v>0.01</v>
      </c>
      <c r="Q18" s="13" t="n">
        <v>0.01</v>
      </c>
      <c r="R18" s="13" t="n">
        <v>0.01</v>
      </c>
      <c r="S18" s="13" t="n">
        <v>0.01</v>
      </c>
      <c r="T18" s="13" t="n">
        <v>0.01</v>
      </c>
      <c r="U18" s="13" t="n">
        <v>0.01</v>
      </c>
      <c r="V18" s="13" t="n">
        <v>0.01</v>
      </c>
      <c r="W18" s="13" t="n">
        <v>0.01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0.12</v>
      </c>
      <c r="E19" s="13" t="n">
        <v>0.12</v>
      </c>
      <c r="F19" s="13" t="n">
        <v>0.12</v>
      </c>
      <c r="G19" s="13" t="n">
        <v>0.12</v>
      </c>
      <c r="H19" s="13" t="n">
        <v>0.12</v>
      </c>
      <c r="I19" s="13" t="n">
        <v>0.12</v>
      </c>
      <c r="J19" s="13" t="n">
        <v>0.12</v>
      </c>
      <c r="K19" s="13" t="n">
        <v>0.12</v>
      </c>
      <c r="L19" s="13" t="n">
        <v>0.12</v>
      </c>
      <c r="M19" s="13" t="n">
        <v>0.12</v>
      </c>
      <c r="N19" s="13" t="n">
        <v>0.12</v>
      </c>
      <c r="O19" s="13" t="n">
        <v>0.12</v>
      </c>
      <c r="P19" s="13" t="n">
        <v>0.12</v>
      </c>
      <c r="Q19" s="13" t="n">
        <v>0.12</v>
      </c>
      <c r="R19" s="13" t="n">
        <v>0.12</v>
      </c>
      <c r="S19" s="13" t="n">
        <v>0.12</v>
      </c>
      <c r="T19" s="13" t="n">
        <v>0.12</v>
      </c>
      <c r="U19" s="13" t="n">
        <v>0.12</v>
      </c>
      <c r="V19" s="13" t="n">
        <v>0.12</v>
      </c>
      <c r="W19" s="13" t="n">
        <v>0.12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0.12</v>
      </c>
      <c r="E20" s="13" t="n">
        <v>0.12</v>
      </c>
      <c r="F20" s="13" t="n">
        <v>0.12</v>
      </c>
      <c r="G20" s="13" t="n">
        <v>0.12</v>
      </c>
      <c r="H20" s="13" t="n">
        <v>0.12</v>
      </c>
      <c r="I20" s="13" t="n">
        <v>0.12</v>
      </c>
      <c r="J20" s="13" t="n">
        <v>0.12</v>
      </c>
      <c r="K20" s="13" t="n">
        <v>0.12</v>
      </c>
      <c r="L20" s="13" t="n">
        <v>0.12</v>
      </c>
      <c r="M20" s="13" t="n">
        <v>0.12</v>
      </c>
      <c r="N20" s="13" t="n">
        <v>0.12</v>
      </c>
      <c r="O20" s="13" t="n">
        <v>0.12</v>
      </c>
      <c r="P20" s="13" t="n">
        <v>0.12</v>
      </c>
      <c r="Q20" s="13" t="n">
        <v>0.12</v>
      </c>
      <c r="R20" s="13" t="n">
        <v>0.12</v>
      </c>
      <c r="S20" s="13" t="n">
        <v>0.12</v>
      </c>
      <c r="T20" s="13" t="n">
        <v>0.12</v>
      </c>
      <c r="U20" s="13" t="n">
        <v>0.12</v>
      </c>
      <c r="V20" s="13" t="n">
        <v>0.12</v>
      </c>
      <c r="W20" s="13" t="n">
        <v>0.12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0.85</v>
      </c>
      <c r="E22" s="13" t="n">
        <v>0.85</v>
      </c>
      <c r="F22" s="13" t="n">
        <v>0.85</v>
      </c>
      <c r="G22" s="13" t="n">
        <v>0.85</v>
      </c>
      <c r="H22" s="13" t="n">
        <v>0.85</v>
      </c>
      <c r="I22" s="13" t="n">
        <v>0.85</v>
      </c>
      <c r="J22" s="13" t="n">
        <v>0.85</v>
      </c>
      <c r="K22" s="13" t="n">
        <v>0.85</v>
      </c>
      <c r="L22" s="13" t="n">
        <v>0.85</v>
      </c>
      <c r="M22" s="13" t="n">
        <v>0.85</v>
      </c>
      <c r="N22" s="13" t="n">
        <v>0.85</v>
      </c>
      <c r="O22" s="13" t="n">
        <v>0.85</v>
      </c>
      <c r="P22" s="13" t="n">
        <v>0.85</v>
      </c>
      <c r="Q22" s="13" t="n">
        <v>0.85</v>
      </c>
      <c r="R22" s="13" t="n">
        <v>0.85</v>
      </c>
      <c r="S22" s="13" t="n">
        <v>0.85</v>
      </c>
      <c r="T22" s="13" t="n">
        <v>0.85</v>
      </c>
      <c r="U22" s="13" t="n">
        <v>0.85</v>
      </c>
      <c r="V22" s="13" t="n">
        <v>0.85</v>
      </c>
      <c r="W22" s="13" t="n">
        <v>0.85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0.9</v>
      </c>
      <c r="E23" s="13" t="n">
        <v>0.9</v>
      </c>
      <c r="F23" s="13" t="n">
        <v>0.9</v>
      </c>
      <c r="G23" s="13" t="n">
        <v>0.9</v>
      </c>
      <c r="H23" s="13" t="n">
        <v>0.9</v>
      </c>
      <c r="I23" s="13" t="n">
        <v>0.9</v>
      </c>
      <c r="J23" s="13" t="n">
        <v>0.9</v>
      </c>
      <c r="K23" s="13" t="n">
        <v>0.9</v>
      </c>
      <c r="L23" s="13" t="n">
        <v>0.9</v>
      </c>
      <c r="M23" s="13" t="n">
        <v>0.9</v>
      </c>
      <c r="N23" s="13" t="n">
        <v>0.9</v>
      </c>
      <c r="O23" s="13" t="n">
        <v>0.9</v>
      </c>
      <c r="P23" s="13" t="n">
        <v>0.9</v>
      </c>
      <c r="Q23" s="13" t="n">
        <v>0.9</v>
      </c>
      <c r="R23" s="13" t="n">
        <v>0.9</v>
      </c>
      <c r="S23" s="13" t="n">
        <v>0.9</v>
      </c>
      <c r="T23" s="13" t="n">
        <v>0.9</v>
      </c>
      <c r="U23" s="13" t="n">
        <v>0.9</v>
      </c>
      <c r="V23" s="13" t="n">
        <v>0.9</v>
      </c>
      <c r="W23" s="13" t="n">
        <v>0.9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0.23</v>
      </c>
      <c r="E24" s="13" t="n">
        <v>0.23</v>
      </c>
      <c r="F24" s="13" t="n">
        <v>0.23</v>
      </c>
      <c r="G24" s="13" t="n">
        <v>0.23</v>
      </c>
      <c r="H24" s="13" t="n">
        <v>0.23</v>
      </c>
      <c r="I24" s="13" t="n">
        <v>0.23</v>
      </c>
      <c r="J24" s="13" t="n">
        <v>0.23</v>
      </c>
      <c r="K24" s="13" t="n">
        <v>0.23</v>
      </c>
      <c r="L24" s="13" t="n">
        <v>0.23</v>
      </c>
      <c r="M24" s="13" t="n">
        <v>0.23</v>
      </c>
      <c r="N24" s="13" t="n">
        <v>0.23</v>
      </c>
      <c r="O24" s="13" t="n">
        <v>0.23</v>
      </c>
      <c r="P24" s="13" t="n">
        <v>0.23</v>
      </c>
      <c r="Q24" s="13" t="n">
        <v>0.23</v>
      </c>
      <c r="R24" s="13" t="n">
        <v>0.23</v>
      </c>
      <c r="S24" s="13" t="n">
        <v>0.23</v>
      </c>
      <c r="T24" s="13" t="n">
        <v>0.23</v>
      </c>
      <c r="U24" s="13" t="n">
        <v>0.23</v>
      </c>
      <c r="V24" s="13" t="n">
        <v>0.23</v>
      </c>
      <c r="W24" s="13" t="n">
        <v>0.23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0.03</v>
      </c>
      <c r="E25" s="13" t="n">
        <v>0.03</v>
      </c>
      <c r="F25" s="13" t="n">
        <v>0.03</v>
      </c>
      <c r="G25" s="13" t="n">
        <v>0.03</v>
      </c>
      <c r="H25" s="13" t="n">
        <v>0.03</v>
      </c>
      <c r="I25" s="13" t="n">
        <v>0.03</v>
      </c>
      <c r="J25" s="13" t="n">
        <v>0.03</v>
      </c>
      <c r="K25" s="13" t="n">
        <v>0.03</v>
      </c>
      <c r="L25" s="13" t="n">
        <v>0.03</v>
      </c>
      <c r="M25" s="13" t="n">
        <v>0.03</v>
      </c>
      <c r="N25" s="13" t="n">
        <v>0.03</v>
      </c>
      <c r="O25" s="13" t="n">
        <v>0.03</v>
      </c>
      <c r="P25" s="13" t="n">
        <v>0.03</v>
      </c>
      <c r="Q25" s="13" t="n">
        <v>0.03</v>
      </c>
      <c r="R25" s="13" t="n">
        <v>0.03</v>
      </c>
      <c r="S25" s="13" t="n">
        <v>0.03</v>
      </c>
      <c r="T25" s="13" t="n">
        <v>0.03</v>
      </c>
      <c r="U25" s="13" t="n">
        <v>0.03</v>
      </c>
      <c r="V25" s="13" t="n">
        <v>0.03</v>
      </c>
      <c r="W25" s="13" t="n">
        <v>0.03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0.23</v>
      </c>
      <c r="E26" s="13" t="n">
        <v>0.23</v>
      </c>
      <c r="F26" s="13" t="n">
        <v>0.23</v>
      </c>
      <c r="G26" s="13" t="n">
        <v>0.23</v>
      </c>
      <c r="H26" s="13" t="n">
        <v>0.23</v>
      </c>
      <c r="I26" s="13" t="n">
        <v>0.23</v>
      </c>
      <c r="J26" s="13" t="n">
        <v>0.23</v>
      </c>
      <c r="K26" s="13" t="n">
        <v>0.23</v>
      </c>
      <c r="L26" s="13" t="n">
        <v>0.23</v>
      </c>
      <c r="M26" s="13" t="n">
        <v>0.23</v>
      </c>
      <c r="N26" s="13" t="n">
        <v>0.23</v>
      </c>
      <c r="O26" s="13" t="n">
        <v>0.23</v>
      </c>
      <c r="P26" s="13" t="n">
        <v>0.23</v>
      </c>
      <c r="Q26" s="13" t="n">
        <v>0.23</v>
      </c>
      <c r="R26" s="13" t="n">
        <v>0.23</v>
      </c>
      <c r="S26" s="13" t="n">
        <v>0.23</v>
      </c>
      <c r="T26" s="13" t="n">
        <v>0.23</v>
      </c>
      <c r="U26" s="13" t="n">
        <v>0.23</v>
      </c>
      <c r="V26" s="13" t="n">
        <v>0.23</v>
      </c>
      <c r="W26" s="13" t="n">
        <v>0.23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0.11</v>
      </c>
      <c r="E27" s="13" t="n">
        <v>0.11</v>
      </c>
      <c r="F27" s="13" t="n">
        <v>0.11</v>
      </c>
      <c r="G27" s="13" t="n">
        <v>0.11</v>
      </c>
      <c r="H27" s="13" t="n">
        <v>0.11</v>
      </c>
      <c r="I27" s="13" t="n">
        <v>0.11</v>
      </c>
      <c r="J27" s="13" t="n">
        <v>0.11</v>
      </c>
      <c r="K27" s="13" t="n">
        <v>0.11</v>
      </c>
      <c r="L27" s="13" t="n">
        <v>0.11</v>
      </c>
      <c r="M27" s="13" t="n">
        <v>0.11</v>
      </c>
      <c r="N27" s="13" t="n">
        <v>0.11</v>
      </c>
      <c r="O27" s="13" t="n">
        <v>0.11</v>
      </c>
      <c r="P27" s="13" t="n">
        <v>0.11</v>
      </c>
      <c r="Q27" s="13" t="n">
        <v>0.11</v>
      </c>
      <c r="R27" s="13" t="n">
        <v>0.11</v>
      </c>
      <c r="S27" s="13" t="n">
        <v>0.11</v>
      </c>
      <c r="T27" s="13" t="n">
        <v>0.11</v>
      </c>
      <c r="U27" s="13" t="n">
        <v>0.11</v>
      </c>
      <c r="V27" s="13" t="n">
        <v>0.11</v>
      </c>
      <c r="W27" s="13" t="n">
        <v>0.11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3000</v>
      </c>
    </row>
    <row r="12">
      <c r="A12" t="inlineStr">
        <is>
          <t>Target Payroll % of Revenue</t>
        </is>
      </c>
      <c r="B12" t="n">
        <v>0.32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SUMIFS($G$27:$G$66,$A$27:$A$66,0)</f>
        <v/>
      </c>
      <c r="D15" s="23">
        <f>SUMIFS($G$27:$G$66,$A$27:$A$66,1)</f>
        <v/>
      </c>
      <c r="E15" s="23">
        <f>SUMIFS($G$27:$G$66,$A$27:$A$66,2)</f>
        <v/>
      </c>
      <c r="F15" s="23">
        <f>SUMIFS($G$27:$G$66,$A$27:$A$66,3)</f>
        <v/>
      </c>
      <c r="G15" s="23">
        <f>SUMIFS($G$27:$G$66,$A$27:$A$66,4)</f>
        <v/>
      </c>
      <c r="H15" s="23">
        <f>SUMIFS($G$27:$G$66,$A$27:$A$66,5)</f>
        <v/>
      </c>
      <c r="I15" s="23">
        <f>SUMIFS($G$27:$G$66,$A$27:$A$66,6)</f>
        <v/>
      </c>
      <c r="J15" s="23">
        <f>SUMIFS($G$27:$G$66,$A$27:$A$66,7)</f>
        <v/>
      </c>
      <c r="K15" s="23">
        <f>SUMIFS($G$27:$G$66,$A$27:$A$66,8)</f>
        <v/>
      </c>
      <c r="L15" s="23">
        <f>SUMIFS($G$27:$G$66,$A$27:$A$66,9)</f>
        <v/>
      </c>
      <c r="M15" s="23">
        <f>SUMIFS($G$27:$G$66,$A$27:$A$66,10)</f>
        <v/>
      </c>
      <c r="N15" s="23">
        <f>SUMIFS($G$27:$G$66,$A$27:$A$66,11)</f>
        <v/>
      </c>
      <c r="O15" s="23">
        <f>SUMIFS($G$27:$G$66,$A$27:$A$66,12)</f>
        <v/>
      </c>
      <c r="P15" s="23">
        <f>SUMIFS($G$27:$G$66,$A$27:$A$66,13)</f>
        <v/>
      </c>
      <c r="Q15" s="23">
        <f>SUMIFS($G$27:$G$66,$A$27:$A$66,14)</f>
        <v/>
      </c>
      <c r="R15" s="23">
        <f>SUMIFS($G$27:$G$66,$A$27:$A$66,15)</f>
        <v/>
      </c>
      <c r="S15" s="23">
        <f>SUMIFS($G$27:$G$66,$A$27:$A$66,16)</f>
        <v/>
      </c>
      <c r="T15" s="23">
        <f>SUMIFS($G$27:$G$66,$A$27:$A$66,17)</f>
        <v/>
      </c>
      <c r="U15" s="23">
        <f>SUMIFS($G$27:$G$66,$A$27:$A$66,18)</f>
        <v/>
      </c>
      <c r="V15" s="23">
        <f>SUMIFS($G$27:$G$66,$A$27:$A$66,19)</f>
        <v/>
      </c>
      <c r="W15" s="23">
        <f>SUMIFS($G$27:$G$66,$A$27:$A$66,20)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SUMIFS($H$27:$H$66,$A$27:$A$66,0)</f>
        <v/>
      </c>
      <c r="D16" s="23">
        <f>SUMIFS($H$27:$H$66,$A$27:$A$66,1)</f>
        <v/>
      </c>
      <c r="E16" s="23">
        <f>SUMIFS($H$27:$H$66,$A$27:$A$66,2)</f>
        <v/>
      </c>
      <c r="F16" s="23">
        <f>SUMIFS($H$27:$H$66,$A$27:$A$66,3)</f>
        <v/>
      </c>
      <c r="G16" s="23">
        <f>SUMIFS($H$27:$H$66,$A$27:$A$66,4)</f>
        <v/>
      </c>
      <c r="H16" s="23">
        <f>SUMIFS($H$27:$H$66,$A$27:$A$66,5)</f>
        <v/>
      </c>
      <c r="I16" s="23">
        <f>SUMIFS($H$27:$H$66,$A$27:$A$66,6)</f>
        <v/>
      </c>
      <c r="J16" s="23">
        <f>SUMIFS($H$27:$H$66,$A$27:$A$66,7)</f>
        <v/>
      </c>
      <c r="K16" s="23">
        <f>SUMIFS($H$27:$H$66,$A$27:$A$66,8)</f>
        <v/>
      </c>
      <c r="L16" s="23">
        <f>SUMIFS($H$27:$H$66,$A$27:$A$66,9)</f>
        <v/>
      </c>
      <c r="M16" s="23">
        <f>SUMIFS($H$27:$H$66,$A$27:$A$66,10)</f>
        <v/>
      </c>
      <c r="N16" s="23">
        <f>SUMIFS($H$27:$H$66,$A$27:$A$66,11)</f>
        <v/>
      </c>
      <c r="O16" s="23">
        <f>SUMIFS($H$27:$H$66,$A$27:$A$66,12)</f>
        <v/>
      </c>
      <c r="P16" s="23">
        <f>SUMIFS($H$27:$H$66,$A$27:$A$66,13)</f>
        <v/>
      </c>
      <c r="Q16" s="23">
        <f>SUMIFS($H$27:$H$66,$A$27:$A$66,14)</f>
        <v/>
      </c>
      <c r="R16" s="23">
        <f>SUMIFS($H$27:$H$66,$A$27:$A$66,15)</f>
        <v/>
      </c>
      <c r="S16" s="23">
        <f>SUMIFS($H$27:$H$66,$A$27:$A$66,16)</f>
        <v/>
      </c>
      <c r="T16" s="23">
        <f>SUMIFS($H$27:$H$66,$A$27:$A$66,17)</f>
        <v/>
      </c>
      <c r="U16" s="23">
        <f>SUMIFS($H$27:$H$66,$A$27:$A$66,18)</f>
        <v/>
      </c>
      <c r="V16" s="23">
        <f>SUMIFS($H$27:$H$66,$A$27:$A$66,19)</f>
        <v/>
      </c>
      <c r="W16" s="23">
        <f>SUMIFS($H$27:$H$66,$A$27:$A$66,20)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SUMIFS($M$27:$M$66,$A$27:$A$66,0)</f>
        <v/>
      </c>
      <c r="D17" s="25">
        <f>SUMIFS($M$27:$M$66,$A$27:$A$66,1)</f>
        <v/>
      </c>
      <c r="E17" s="25">
        <f>SUMIFS($M$27:$M$66,$A$27:$A$66,2)</f>
        <v/>
      </c>
      <c r="F17" s="25">
        <f>SUMIFS($M$27:$M$66,$A$27:$A$66,3)</f>
        <v/>
      </c>
      <c r="G17" s="25">
        <f>SUMIFS($M$27:$M$66,$A$27:$A$66,4)</f>
        <v/>
      </c>
      <c r="H17" s="25">
        <f>SUMIFS($M$27:$M$66,$A$27:$A$66,5)</f>
        <v/>
      </c>
      <c r="I17" s="25">
        <f>SUMIFS($M$27:$M$66,$A$27:$A$66,6)</f>
        <v/>
      </c>
      <c r="J17" s="25">
        <f>SUMIFS($M$27:$M$66,$A$27:$A$66,7)</f>
        <v/>
      </c>
      <c r="K17" s="25">
        <f>SUMIFS($M$27:$M$66,$A$27:$A$66,8)</f>
        <v/>
      </c>
      <c r="L17" s="25">
        <f>SUMIFS($M$27:$M$66,$A$27:$A$66,9)</f>
        <v/>
      </c>
      <c r="M17" s="25">
        <f>SUMIFS($M$27:$M$66,$A$27:$A$66,10)</f>
        <v/>
      </c>
      <c r="N17" s="25">
        <f>SUMIFS($M$27:$M$66,$A$27:$A$66,11)</f>
        <v/>
      </c>
      <c r="O17" s="25">
        <f>SUMIFS($M$27:$M$66,$A$27:$A$66,12)</f>
        <v/>
      </c>
      <c r="P17" s="25">
        <f>SUMIFS($M$27:$M$66,$A$27:$A$66,13)</f>
        <v/>
      </c>
      <c r="Q17" s="25">
        <f>SUMIFS($M$27:$M$66,$A$27:$A$66,14)</f>
        <v/>
      </c>
      <c r="R17" s="25">
        <f>SUMIFS($M$27:$M$66,$A$27:$A$66,15)</f>
        <v/>
      </c>
      <c r="S17" s="25">
        <f>SUMIFS($M$27:$M$66,$A$27:$A$66,16)</f>
        <v/>
      </c>
      <c r="T17" s="25">
        <f>SUMIFS($M$27:$M$66,$A$27:$A$66,17)</f>
        <v/>
      </c>
      <c r="U17" s="25">
        <f>SUMIFS($M$27:$M$66,$A$27:$A$66,18)</f>
        <v/>
      </c>
      <c r="V17" s="25">
        <f>SUMIFS($M$27:$M$66,$A$27:$A$66,19)</f>
        <v/>
      </c>
      <c r="W17" s="25">
        <f>SUMIFS($M$27:$M$66,$A$27:$A$66,20)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CEO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190000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gpt_estimate</t>
        </is>
      </c>
    </row>
    <row r="28">
      <c r="A28" t="n">
        <v>2</v>
      </c>
      <c r="B28" t="inlineStr">
        <is>
          <t>key_person</t>
        </is>
      </c>
      <c r="C28" t="inlineStr">
        <is>
          <t>CEO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190000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gpt_estimate</t>
        </is>
      </c>
    </row>
    <row r="29">
      <c r="A29" t="n">
        <v>3</v>
      </c>
      <c r="B29" t="inlineStr">
        <is>
          <t>key_person</t>
        </is>
      </c>
      <c r="C29" t="inlineStr">
        <is>
          <t>CEO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190000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gpt_estimate</t>
        </is>
      </c>
    </row>
    <row r="30">
      <c r="A30" t="n">
        <v>4</v>
      </c>
      <c r="B30" t="inlineStr">
        <is>
          <t>key_person</t>
        </is>
      </c>
      <c r="C30" t="inlineStr">
        <is>
          <t>CEO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190000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gpt_estimate</t>
        </is>
      </c>
    </row>
    <row r="31">
      <c r="A31" t="n">
        <v>5</v>
      </c>
      <c r="B31" t="inlineStr">
        <is>
          <t>key_person</t>
        </is>
      </c>
      <c r="C31" t="inlineStr">
        <is>
          <t>CEO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195700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gpt_estimate</t>
        </is>
      </c>
    </row>
    <row r="32">
      <c r="A32" t="n">
        <v>6</v>
      </c>
      <c r="B32" t="inlineStr">
        <is>
          <t>key_person</t>
        </is>
      </c>
      <c r="C32" t="inlineStr">
        <is>
          <t>CEO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195700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gpt_estimate</t>
        </is>
      </c>
    </row>
    <row r="33">
      <c r="A33" t="n">
        <v>7</v>
      </c>
      <c r="B33" t="inlineStr">
        <is>
          <t>key_person</t>
        </is>
      </c>
      <c r="C33" t="inlineStr">
        <is>
          <t>CEO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195700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gpt_estimate</t>
        </is>
      </c>
    </row>
    <row r="34">
      <c r="A34" t="n">
        <v>8</v>
      </c>
      <c r="B34" t="inlineStr">
        <is>
          <t>key_person</t>
        </is>
      </c>
      <c r="C34" t="inlineStr">
        <is>
          <t>CEO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195700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gpt_estimate</t>
        </is>
      </c>
    </row>
    <row r="35">
      <c r="A35" t="n">
        <v>9</v>
      </c>
      <c r="B35" t="inlineStr">
        <is>
          <t>key_person</t>
        </is>
      </c>
      <c r="C35" t="inlineStr">
        <is>
          <t>CEO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201571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gpt_estimate</t>
        </is>
      </c>
    </row>
    <row r="36">
      <c r="A36" t="n">
        <v>10</v>
      </c>
      <c r="B36" t="inlineStr">
        <is>
          <t>key_person</t>
        </is>
      </c>
      <c r="C36" t="inlineStr">
        <is>
          <t>CEO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201571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gpt_estimate</t>
        </is>
      </c>
    </row>
    <row r="37">
      <c r="A37" t="n">
        <v>11</v>
      </c>
      <c r="B37" t="inlineStr">
        <is>
          <t>key_person</t>
        </is>
      </c>
      <c r="C37" t="inlineStr">
        <is>
          <t>CEO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201571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gpt_estimate</t>
        </is>
      </c>
    </row>
    <row r="38">
      <c r="A38" t="n">
        <v>12</v>
      </c>
      <c r="B38" t="inlineStr">
        <is>
          <t>key_person</t>
        </is>
      </c>
      <c r="C38" t="inlineStr">
        <is>
          <t>CEO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201571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gpt_estimate</t>
        </is>
      </c>
    </row>
    <row r="39">
      <c r="A39" t="n">
        <v>13</v>
      </c>
      <c r="B39" t="inlineStr">
        <is>
          <t>key_person</t>
        </is>
      </c>
      <c r="C39" t="inlineStr">
        <is>
          <t>CEO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207618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gpt_estimate</t>
        </is>
      </c>
    </row>
    <row r="40">
      <c r="A40" t="n">
        <v>14</v>
      </c>
      <c r="B40" t="inlineStr">
        <is>
          <t>key_person</t>
        </is>
      </c>
      <c r="C40" t="inlineStr">
        <is>
          <t>CEO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207618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gpt_estimate</t>
        </is>
      </c>
    </row>
    <row r="41">
      <c r="A41" t="n">
        <v>15</v>
      </c>
      <c r="B41" t="inlineStr">
        <is>
          <t>key_person</t>
        </is>
      </c>
      <c r="C41" t="inlineStr">
        <is>
          <t>CEO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207618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gpt_estimate</t>
        </is>
      </c>
    </row>
    <row r="42">
      <c r="A42" t="n">
        <v>16</v>
      </c>
      <c r="B42" t="inlineStr">
        <is>
          <t>key_person</t>
        </is>
      </c>
      <c r="C42" t="inlineStr">
        <is>
          <t>CEO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207618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gpt_estimate</t>
        </is>
      </c>
    </row>
    <row r="43">
      <c r="A43" t="n">
        <v>17</v>
      </c>
      <c r="B43" t="inlineStr">
        <is>
          <t>key_person</t>
        </is>
      </c>
      <c r="C43" t="inlineStr">
        <is>
          <t>CEO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213847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gpt_estimate</t>
        </is>
      </c>
    </row>
    <row r="44">
      <c r="A44" t="n">
        <v>18</v>
      </c>
      <c r="B44" t="inlineStr">
        <is>
          <t>key_person</t>
        </is>
      </c>
      <c r="C44" t="inlineStr">
        <is>
          <t>CEO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213847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gpt_estimate</t>
        </is>
      </c>
    </row>
    <row r="45">
      <c r="A45" t="n">
        <v>19</v>
      </c>
      <c r="B45" t="inlineStr">
        <is>
          <t>key_person</t>
        </is>
      </c>
      <c r="C45" t="inlineStr">
        <is>
          <t>CEO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213847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gpt_estimate</t>
        </is>
      </c>
    </row>
    <row r="46">
      <c r="A46" t="n">
        <v>20</v>
      </c>
      <c r="B46" t="inlineStr">
        <is>
          <t>key_person</t>
        </is>
      </c>
      <c r="C46" t="inlineStr">
        <is>
          <t>CEO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213847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gpt_estimate</t>
        </is>
      </c>
    </row>
    <row r="47">
      <c r="A47" t="n">
        <v>1</v>
      </c>
      <c r="B47" t="inlineStr">
        <is>
          <t>supporting_staff</t>
        </is>
      </c>
      <c r="C47" t="inlineStr">
        <is>
          <t>Driver/Sales Workers and Truck Drivers</t>
        </is>
      </c>
      <c r="D47" t="inlineStr">
        <is>
          <t>Driver/Sales Workers and Truck Drivers</t>
        </is>
      </c>
      <c r="E47" s="29" t="n">
        <v>6</v>
      </c>
      <c r="F47" s="29" t="n">
        <v>0</v>
      </c>
      <c r="G47" s="30">
        <f>E47+F47</f>
        <v/>
      </c>
      <c r="H47" s="30">
        <f>(E47+G47)/2</f>
        <v/>
      </c>
      <c r="I47" s="31" t="n">
        <v>56568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oews_title_catalog:oews_median</t>
        </is>
      </c>
    </row>
    <row r="48">
      <c r="A48" t="n">
        <v>2</v>
      </c>
      <c r="B48" t="inlineStr">
        <is>
          <t>supporting_staff</t>
        </is>
      </c>
      <c r="C48" t="inlineStr">
        <is>
          <t>Driver/Sales Workers and Truck Drivers</t>
        </is>
      </c>
      <c r="D48" t="inlineStr">
        <is>
          <t>Driver/Sales Workers and Truck Drivers</t>
        </is>
      </c>
      <c r="E48" s="29" t="n">
        <v>6</v>
      </c>
      <c r="F48" s="29" t="n">
        <v>0</v>
      </c>
      <c r="G48" s="30">
        <f>E48+F48</f>
        <v/>
      </c>
      <c r="H48" s="30">
        <f>(E48+G48)/2</f>
        <v/>
      </c>
      <c r="I48" s="31" t="n">
        <v>56568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oews_title_catalog:oews_median</t>
        </is>
      </c>
    </row>
    <row r="49">
      <c r="A49" t="n">
        <v>3</v>
      </c>
      <c r="B49" t="inlineStr">
        <is>
          <t>supporting_staff</t>
        </is>
      </c>
      <c r="C49" t="inlineStr">
        <is>
          <t>Driver/Sales Workers and Truck Drivers</t>
        </is>
      </c>
      <c r="D49" t="inlineStr">
        <is>
          <t>Driver/Sales Workers and Truck Drivers</t>
        </is>
      </c>
      <c r="E49" s="29" t="n">
        <v>6</v>
      </c>
      <c r="F49" s="29" t="n">
        <v>0</v>
      </c>
      <c r="G49" s="30">
        <f>E49+F49</f>
        <v/>
      </c>
      <c r="H49" s="30">
        <f>(E49+G49)/2</f>
        <v/>
      </c>
      <c r="I49" s="31" t="n">
        <v>56568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oews_title_catalog:oews_median</t>
        </is>
      </c>
    </row>
    <row r="50">
      <c r="A50" t="n">
        <v>4</v>
      </c>
      <c r="B50" t="inlineStr">
        <is>
          <t>supporting_staff</t>
        </is>
      </c>
      <c r="C50" t="inlineStr">
        <is>
          <t>Driver/Sales Workers and Truck Drivers</t>
        </is>
      </c>
      <c r="D50" t="inlineStr">
        <is>
          <t>Driver/Sales Workers and Truck Drivers</t>
        </is>
      </c>
      <c r="E50" s="29" t="n">
        <v>6</v>
      </c>
      <c r="F50" s="29" t="n">
        <v>0</v>
      </c>
      <c r="G50" s="30">
        <f>E50+F50</f>
        <v/>
      </c>
      <c r="H50" s="30">
        <f>(E50+G50)/2</f>
        <v/>
      </c>
      <c r="I50" s="31" t="n">
        <v>56568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oews_title_catalog:oews_median</t>
        </is>
      </c>
    </row>
    <row r="51">
      <c r="A51" t="n">
        <v>5</v>
      </c>
      <c r="B51" t="inlineStr">
        <is>
          <t>supporting_staff</t>
        </is>
      </c>
      <c r="C51" t="inlineStr">
        <is>
          <t>Driver/Sales Workers and Truck Drivers</t>
        </is>
      </c>
      <c r="D51" t="inlineStr">
        <is>
          <t>Driver/Sales Workers and Truck Drivers</t>
        </is>
      </c>
      <c r="E51" s="29" t="n">
        <v>6</v>
      </c>
      <c r="F51" s="29" t="n">
        <v>0</v>
      </c>
      <c r="G51" s="30">
        <f>E51+F51</f>
        <v/>
      </c>
      <c r="H51" s="30">
        <f>(E51+G51)/2</f>
        <v/>
      </c>
      <c r="I51" s="31" t="n">
        <v>58265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oews_title_catalog:oews_median</t>
        </is>
      </c>
    </row>
    <row r="52">
      <c r="A52" t="n">
        <v>6</v>
      </c>
      <c r="B52" t="inlineStr">
        <is>
          <t>supporting_staff</t>
        </is>
      </c>
      <c r="C52" t="inlineStr">
        <is>
          <t>Driver/Sales Workers and Truck Drivers</t>
        </is>
      </c>
      <c r="D52" t="inlineStr">
        <is>
          <t>Driver/Sales Workers and Truck Drivers</t>
        </is>
      </c>
      <c r="E52" s="29" t="n">
        <v>6</v>
      </c>
      <c r="F52" s="29" t="n">
        <v>0</v>
      </c>
      <c r="G52" s="30">
        <f>E52+F52</f>
        <v/>
      </c>
      <c r="H52" s="30">
        <f>(E52+G52)/2</f>
        <v/>
      </c>
      <c r="I52" s="31" t="n">
        <v>58265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oews_title_catalog:oews_median</t>
        </is>
      </c>
    </row>
    <row r="53">
      <c r="A53" t="n">
        <v>7</v>
      </c>
      <c r="B53" t="inlineStr">
        <is>
          <t>supporting_staff</t>
        </is>
      </c>
      <c r="C53" t="inlineStr">
        <is>
          <t>Driver/Sales Workers and Truck Drivers</t>
        </is>
      </c>
      <c r="D53" t="inlineStr">
        <is>
          <t>Driver/Sales Workers and Truck Drivers</t>
        </is>
      </c>
      <c r="E53" s="29" t="n">
        <v>6</v>
      </c>
      <c r="F53" s="29" t="n">
        <v>0</v>
      </c>
      <c r="G53" s="30">
        <f>E53+F53</f>
        <v/>
      </c>
      <c r="H53" s="30">
        <f>(E53+G53)/2</f>
        <v/>
      </c>
      <c r="I53" s="31" t="n">
        <v>58265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oews_title_catalog:oews_median</t>
        </is>
      </c>
    </row>
    <row r="54">
      <c r="A54" t="n">
        <v>8</v>
      </c>
      <c r="B54" t="inlineStr">
        <is>
          <t>supporting_staff</t>
        </is>
      </c>
      <c r="C54" t="inlineStr">
        <is>
          <t>Driver/Sales Workers and Truck Drivers</t>
        </is>
      </c>
      <c r="D54" t="inlineStr">
        <is>
          <t>Driver/Sales Workers and Truck Drivers</t>
        </is>
      </c>
      <c r="E54" s="29" t="n">
        <v>6</v>
      </c>
      <c r="F54" s="29" t="n">
        <v>0</v>
      </c>
      <c r="G54" s="30">
        <f>E54+F54</f>
        <v/>
      </c>
      <c r="H54" s="30">
        <f>(E54+G54)/2</f>
        <v/>
      </c>
      <c r="I54" s="31" t="n">
        <v>58265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oews_title_catalog:oews_median</t>
        </is>
      </c>
    </row>
    <row r="55">
      <c r="A55" t="n">
        <v>9</v>
      </c>
      <c r="B55" t="inlineStr">
        <is>
          <t>supporting_staff</t>
        </is>
      </c>
      <c r="C55" t="inlineStr">
        <is>
          <t>Driver/Sales Workers and Truck Drivers</t>
        </is>
      </c>
      <c r="D55" t="inlineStr">
        <is>
          <t>Driver/Sales Workers and Truck Drivers</t>
        </is>
      </c>
      <c r="E55" s="29" t="n">
        <v>6</v>
      </c>
      <c r="F55" s="29" t="n">
        <v>0</v>
      </c>
      <c r="G55" s="30">
        <f>E55+F55</f>
        <v/>
      </c>
      <c r="H55" s="30">
        <f>(E55+G55)/2</f>
        <v/>
      </c>
      <c r="I55" s="31" t="n">
        <v>60013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oews_title_catalog:oews_median</t>
        </is>
      </c>
    </row>
    <row r="56">
      <c r="A56" t="n">
        <v>10</v>
      </c>
      <c r="B56" t="inlineStr">
        <is>
          <t>supporting_staff</t>
        </is>
      </c>
      <c r="C56" t="inlineStr">
        <is>
          <t>Driver/Sales Workers and Truck Drivers</t>
        </is>
      </c>
      <c r="D56" t="inlineStr">
        <is>
          <t>Driver/Sales Workers and Truck Drivers</t>
        </is>
      </c>
      <c r="E56" s="29" t="n">
        <v>6</v>
      </c>
      <c r="F56" s="29" t="n">
        <v>0</v>
      </c>
      <c r="G56" s="30">
        <f>E56+F56</f>
        <v/>
      </c>
      <c r="H56" s="30">
        <f>(E56+G56)/2</f>
        <v/>
      </c>
      <c r="I56" s="31" t="n">
        <v>60013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oews_title_catalog:oews_median</t>
        </is>
      </c>
    </row>
    <row r="57">
      <c r="A57" t="n">
        <v>11</v>
      </c>
      <c r="B57" t="inlineStr">
        <is>
          <t>supporting_staff</t>
        </is>
      </c>
      <c r="C57" t="inlineStr">
        <is>
          <t>Driver/Sales Workers and Truck Drivers</t>
        </is>
      </c>
      <c r="D57" t="inlineStr">
        <is>
          <t>Driver/Sales Workers and Truck Drivers</t>
        </is>
      </c>
      <c r="E57" s="29" t="n">
        <v>6</v>
      </c>
      <c r="F57" s="29" t="n">
        <v>0</v>
      </c>
      <c r="G57" s="30">
        <f>E57+F57</f>
        <v/>
      </c>
      <c r="H57" s="30">
        <f>(E57+G57)/2</f>
        <v/>
      </c>
      <c r="I57" s="31" t="n">
        <v>60013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oews_title_catalog:oews_median</t>
        </is>
      </c>
    </row>
    <row r="58">
      <c r="A58" t="n">
        <v>12</v>
      </c>
      <c r="B58" t="inlineStr">
        <is>
          <t>supporting_staff</t>
        </is>
      </c>
      <c r="C58" t="inlineStr">
        <is>
          <t>Driver/Sales Workers and Truck Drivers</t>
        </is>
      </c>
      <c r="D58" t="inlineStr">
        <is>
          <t>Driver/Sales Workers and Truck Drivers</t>
        </is>
      </c>
      <c r="E58" s="29" t="n">
        <v>6</v>
      </c>
      <c r="F58" s="29" t="n">
        <v>0</v>
      </c>
      <c r="G58" s="30">
        <f>E58+F58</f>
        <v/>
      </c>
      <c r="H58" s="30">
        <f>(E58+G58)/2</f>
        <v/>
      </c>
      <c r="I58" s="31" t="n">
        <v>60013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oews_title_catalog:oews_median</t>
        </is>
      </c>
    </row>
    <row r="59">
      <c r="A59" t="n">
        <v>13</v>
      </c>
      <c r="B59" t="inlineStr">
        <is>
          <t>supporting_staff</t>
        </is>
      </c>
      <c r="C59" t="inlineStr">
        <is>
          <t>Driver/Sales Workers and Truck Drivers</t>
        </is>
      </c>
      <c r="D59" t="inlineStr">
        <is>
          <t>Driver/Sales Workers and Truck Drivers</t>
        </is>
      </c>
      <c r="E59" s="29" t="n">
        <v>6</v>
      </c>
      <c r="F59" s="29" t="n">
        <v>0</v>
      </c>
      <c r="G59" s="30">
        <f>E59+F59</f>
        <v/>
      </c>
      <c r="H59" s="30">
        <f>(E59+G59)/2</f>
        <v/>
      </c>
      <c r="I59" s="31" t="n">
        <v>61813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oews_title_catalog:oews_median</t>
        </is>
      </c>
    </row>
    <row r="60">
      <c r="A60" t="n">
        <v>14</v>
      </c>
      <c r="B60" t="inlineStr">
        <is>
          <t>supporting_staff</t>
        </is>
      </c>
      <c r="C60" t="inlineStr">
        <is>
          <t>Driver/Sales Workers and Truck Drivers</t>
        </is>
      </c>
      <c r="D60" t="inlineStr">
        <is>
          <t>Driver/Sales Workers and Truck Drivers</t>
        </is>
      </c>
      <c r="E60" s="29" t="n">
        <v>6</v>
      </c>
      <c r="F60" s="29" t="n">
        <v>0</v>
      </c>
      <c r="G60" s="30">
        <f>E60+F60</f>
        <v/>
      </c>
      <c r="H60" s="30">
        <f>(E60+G60)/2</f>
        <v/>
      </c>
      <c r="I60" s="31" t="n">
        <v>61813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oews_title_catalog:oews_median</t>
        </is>
      </c>
    </row>
    <row r="61">
      <c r="A61" t="n">
        <v>15</v>
      </c>
      <c r="B61" t="inlineStr">
        <is>
          <t>supporting_staff</t>
        </is>
      </c>
      <c r="C61" t="inlineStr">
        <is>
          <t>Driver/Sales Workers and Truck Drivers</t>
        </is>
      </c>
      <c r="D61" t="inlineStr">
        <is>
          <t>Driver/Sales Workers and Truck Drivers</t>
        </is>
      </c>
      <c r="E61" s="29" t="n">
        <v>6</v>
      </c>
      <c r="F61" s="29" t="n">
        <v>0</v>
      </c>
      <c r="G61" s="30">
        <f>E61+F61</f>
        <v/>
      </c>
      <c r="H61" s="30">
        <f>(E61+G61)/2</f>
        <v/>
      </c>
      <c r="I61" s="31" t="n">
        <v>61813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oews_title_catalog:oews_median</t>
        </is>
      </c>
    </row>
    <row r="62">
      <c r="A62" t="n">
        <v>16</v>
      </c>
      <c r="B62" t="inlineStr">
        <is>
          <t>supporting_staff</t>
        </is>
      </c>
      <c r="C62" t="inlineStr">
        <is>
          <t>Driver/Sales Workers and Truck Drivers</t>
        </is>
      </c>
      <c r="D62" t="inlineStr">
        <is>
          <t>Driver/Sales Workers and Truck Drivers</t>
        </is>
      </c>
      <c r="E62" s="29" t="n">
        <v>6</v>
      </c>
      <c r="F62" s="29" t="n">
        <v>0</v>
      </c>
      <c r="G62" s="30">
        <f>E62+F62</f>
        <v/>
      </c>
      <c r="H62" s="30">
        <f>(E62+G62)/2</f>
        <v/>
      </c>
      <c r="I62" s="31" t="n">
        <v>61813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oews_title_catalog:oews_median</t>
        </is>
      </c>
    </row>
    <row r="63">
      <c r="A63" t="n">
        <v>17</v>
      </c>
      <c r="B63" t="inlineStr">
        <is>
          <t>supporting_staff</t>
        </is>
      </c>
      <c r="C63" t="inlineStr">
        <is>
          <t>Driver/Sales Workers and Truck Drivers</t>
        </is>
      </c>
      <c r="D63" t="inlineStr">
        <is>
          <t>Driver/Sales Workers and Truck Drivers</t>
        </is>
      </c>
      <c r="E63" s="29" t="n">
        <v>6</v>
      </c>
      <c r="F63" s="29" t="n">
        <v>0</v>
      </c>
      <c r="G63" s="30">
        <f>E63+F63</f>
        <v/>
      </c>
      <c r="H63" s="30">
        <f>(E63+G63)/2</f>
        <v/>
      </c>
      <c r="I63" s="31" t="n">
        <v>63668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oews_title_catalog:oews_median</t>
        </is>
      </c>
    </row>
    <row r="64">
      <c r="A64" t="n">
        <v>18</v>
      </c>
      <c r="B64" t="inlineStr">
        <is>
          <t>supporting_staff</t>
        </is>
      </c>
      <c r="C64" t="inlineStr">
        <is>
          <t>Driver/Sales Workers and Truck Drivers</t>
        </is>
      </c>
      <c r="D64" t="inlineStr">
        <is>
          <t>Driver/Sales Workers and Truck Drivers</t>
        </is>
      </c>
      <c r="E64" s="29" t="n">
        <v>6</v>
      </c>
      <c r="F64" s="29" t="n">
        <v>0</v>
      </c>
      <c r="G64" s="30">
        <f>E64+F64</f>
        <v/>
      </c>
      <c r="H64" s="30">
        <f>(E64+G64)/2</f>
        <v/>
      </c>
      <c r="I64" s="31" t="n">
        <v>63668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oews_title_catalog:oews_median</t>
        </is>
      </c>
    </row>
    <row r="65">
      <c r="A65" t="n">
        <v>19</v>
      </c>
      <c r="B65" t="inlineStr">
        <is>
          <t>supporting_staff</t>
        </is>
      </c>
      <c r="C65" t="inlineStr">
        <is>
          <t>Driver/Sales Workers and Truck Drivers</t>
        </is>
      </c>
      <c r="D65" t="inlineStr">
        <is>
          <t>Driver/Sales Workers and Truck Drivers</t>
        </is>
      </c>
      <c r="E65" s="29" t="n">
        <v>6</v>
      </c>
      <c r="F65" s="29" t="n">
        <v>0</v>
      </c>
      <c r="G65" s="30">
        <f>E65+F65</f>
        <v/>
      </c>
      <c r="H65" s="30">
        <f>(E65+G65)/2</f>
        <v/>
      </c>
      <c r="I65" s="31" t="n">
        <v>63668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oews_title_catalog:oews_median</t>
        </is>
      </c>
    </row>
    <row r="66">
      <c r="A66" t="n">
        <v>20</v>
      </c>
      <c r="B66" t="inlineStr">
        <is>
          <t>supporting_staff</t>
        </is>
      </c>
      <c r="C66" t="inlineStr">
        <is>
          <t>Driver/Sales Workers and Truck Drivers</t>
        </is>
      </c>
      <c r="D66" t="inlineStr">
        <is>
          <t>Driver/Sales Workers and Truck Drivers</t>
        </is>
      </c>
      <c r="E66" s="29" t="n">
        <v>6</v>
      </c>
      <c r="F66" s="29" t="n">
        <v>0</v>
      </c>
      <c r="G66" s="30">
        <f>E66+F66</f>
        <v/>
      </c>
      <c r="H66" s="30">
        <f>(E66+G66)/2</f>
        <v/>
      </c>
      <c r="I66" s="31" t="n">
        <v>63668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oews_title_catalog:oews_median</t>
        </is>
      </c>
    </row>
  </sheetData>
  <autoFilter ref="A26:N6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0.025625</v>
      </c>
      <c r="E12" s="13" t="n">
        <v>0.025625</v>
      </c>
      <c r="F12" s="13" t="n">
        <v>0.025625</v>
      </c>
      <c r="G12" s="13" t="n">
        <v>0.025625</v>
      </c>
      <c r="H12" s="13" t="n">
        <v>0.025625</v>
      </c>
      <c r="I12" s="13" t="n">
        <v>0.025625</v>
      </c>
      <c r="J12" s="13" t="n">
        <v>0.025625</v>
      </c>
      <c r="K12" s="13" t="n">
        <v>0.025625</v>
      </c>
      <c r="L12" s="13" t="n">
        <v>0.025625</v>
      </c>
      <c r="M12" s="13" t="n">
        <v>0.025625</v>
      </c>
      <c r="N12" s="13" t="n">
        <v>0.025625</v>
      </c>
      <c r="O12" s="13" t="n">
        <v>0.025625</v>
      </c>
      <c r="P12" s="13" t="n">
        <v>0.025625</v>
      </c>
      <c r="Q12" s="13" t="n">
        <v>0.025625</v>
      </c>
      <c r="R12" s="13" t="n">
        <v>0.025625</v>
      </c>
      <c r="S12" s="13" t="n">
        <v>0.025625</v>
      </c>
      <c r="T12" s="13" t="n">
        <v>0.025625</v>
      </c>
      <c r="U12" s="13" t="n">
        <v>0.025625</v>
      </c>
      <c r="V12" s="13" t="n">
        <v>0.025625</v>
      </c>
      <c r="W12" s="13" t="n">
        <v>0.025625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30</v>
      </c>
      <c r="E7" s="9" t="n">
        <v>30</v>
      </c>
      <c r="F7" s="9" t="n">
        <v>30</v>
      </c>
      <c r="G7" s="9" t="n">
        <v>30</v>
      </c>
      <c r="H7" s="9" t="n">
        <v>30</v>
      </c>
      <c r="I7" s="9" t="n">
        <v>30</v>
      </c>
      <c r="J7" s="9" t="n">
        <v>30</v>
      </c>
      <c r="K7" s="9" t="n">
        <v>30</v>
      </c>
      <c r="L7" s="9" t="n">
        <v>30</v>
      </c>
      <c r="M7" s="9" t="n">
        <v>30</v>
      </c>
      <c r="N7" s="9" t="n">
        <v>30</v>
      </c>
      <c r="O7" s="9" t="n">
        <v>30</v>
      </c>
      <c r="P7" s="9" t="n">
        <v>30</v>
      </c>
      <c r="Q7" s="9" t="n">
        <v>30</v>
      </c>
      <c r="R7" s="9" t="n">
        <v>30</v>
      </c>
      <c r="S7" s="9" t="n">
        <v>30</v>
      </c>
      <c r="T7" s="9" t="n">
        <v>30</v>
      </c>
      <c r="U7" s="9" t="n">
        <v>30</v>
      </c>
      <c r="V7" s="9" t="n">
        <v>30</v>
      </c>
      <c r="W7" s="9" t="n">
        <v>30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45</v>
      </c>
      <c r="E9" s="9" t="n">
        <v>45</v>
      </c>
      <c r="F9" s="9" t="n">
        <v>45</v>
      </c>
      <c r="G9" s="9" t="n">
        <v>45</v>
      </c>
      <c r="H9" s="9" t="n">
        <v>45</v>
      </c>
      <c r="I9" s="9" t="n">
        <v>45</v>
      </c>
      <c r="J9" s="9" t="n">
        <v>45</v>
      </c>
      <c r="K9" s="9" t="n">
        <v>45</v>
      </c>
      <c r="L9" s="9" t="n">
        <v>45</v>
      </c>
      <c r="M9" s="9" t="n">
        <v>45</v>
      </c>
      <c r="N9" s="9" t="n">
        <v>45</v>
      </c>
      <c r="O9" s="9" t="n">
        <v>45</v>
      </c>
      <c r="P9" s="9" t="n">
        <v>45</v>
      </c>
      <c r="Q9" s="9" t="n">
        <v>45</v>
      </c>
      <c r="R9" s="9" t="n">
        <v>45</v>
      </c>
      <c r="S9" s="9" t="n">
        <v>45</v>
      </c>
      <c r="T9" s="9" t="n">
        <v>45</v>
      </c>
      <c r="U9" s="9" t="n">
        <v>45</v>
      </c>
      <c r="V9" s="9" t="n">
        <v>45</v>
      </c>
      <c r="W9" s="9" t="n">
        <v>45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0.02</v>
      </c>
      <c r="E10" s="13" t="n">
        <v>0.02</v>
      </c>
      <c r="F10" s="13" t="n">
        <v>0.02</v>
      </c>
      <c r="G10" s="13" t="n">
        <v>0.02</v>
      </c>
      <c r="H10" s="13" t="n">
        <v>0.02</v>
      </c>
      <c r="I10" s="13" t="n">
        <v>0.02</v>
      </c>
      <c r="J10" s="13" t="n">
        <v>0.02</v>
      </c>
      <c r="K10" s="13" t="n">
        <v>0.02</v>
      </c>
      <c r="L10" s="13" t="n">
        <v>0.02</v>
      </c>
      <c r="M10" s="13" t="n">
        <v>0.02</v>
      </c>
      <c r="N10" s="13" t="n">
        <v>0.02</v>
      </c>
      <c r="O10" s="13" t="n">
        <v>0.02</v>
      </c>
      <c r="P10" s="13" t="n">
        <v>0.02</v>
      </c>
      <c r="Q10" s="13" t="n">
        <v>0.02</v>
      </c>
      <c r="R10" s="13" t="n">
        <v>0.02</v>
      </c>
      <c r="S10" s="13" t="n">
        <v>0.02</v>
      </c>
      <c r="T10" s="13" t="n">
        <v>0.02</v>
      </c>
      <c r="U10" s="13" t="n">
        <v>0.02</v>
      </c>
      <c r="V10" s="13" t="n">
        <v>0.02</v>
      </c>
      <c r="W10" s="13" t="n">
        <v>0.02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0</v>
      </c>
      <c r="D7" s="11" t="n">
        <v>315447</v>
      </c>
      <c r="E7" s="11" t="n">
        <v>447866</v>
      </c>
      <c r="F7" s="11" t="n">
        <v>568827</v>
      </c>
      <c r="G7" s="11" t="n">
        <v>677478</v>
      </c>
      <c r="H7" s="11" t="n">
        <v>777702</v>
      </c>
      <c r="I7" s="11" t="n">
        <v>863944</v>
      </c>
      <c r="J7" s="11" t="n">
        <v>935603</v>
      </c>
      <c r="K7" s="11" t="n">
        <v>991268</v>
      </c>
      <c r="L7" s="11" t="n">
        <v>1034853</v>
      </c>
      <c r="M7" s="11" t="n">
        <v>1061223</v>
      </c>
      <c r="N7" s="11" t="n">
        <v>1070711</v>
      </c>
      <c r="O7" s="11" t="n">
        <v>1070711</v>
      </c>
      <c r="P7" s="11" t="n">
        <v>1070711</v>
      </c>
      <c r="Q7" s="11" t="n">
        <v>1070711</v>
      </c>
      <c r="R7" s="11" t="n">
        <v>1070711</v>
      </c>
      <c r="S7" s="11" t="n">
        <v>1070711</v>
      </c>
      <c r="T7" s="11" t="n">
        <v>1070711</v>
      </c>
      <c r="U7" s="11" t="n">
        <v>1070711</v>
      </c>
      <c r="V7" s="11" t="n">
        <v>1070711</v>
      </c>
      <c r="W7" s="11" t="n">
        <v>1070711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2595</v>
      </c>
      <c r="V9" s="11" t="n">
        <v>24169</v>
      </c>
      <c r="W9" s="11" t="n">
        <v>31062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36000</v>
      </c>
      <c r="D12" s="11" t="n">
        <v>36000</v>
      </c>
      <c r="E12" s="11" t="n">
        <v>36000</v>
      </c>
      <c r="F12" s="11" t="n">
        <v>36000</v>
      </c>
      <c r="G12" s="11" t="n">
        <v>36000</v>
      </c>
      <c r="H12" s="11" t="n">
        <v>36000</v>
      </c>
      <c r="I12" s="11" t="n">
        <v>36000</v>
      </c>
      <c r="J12" s="11" t="n">
        <v>36000</v>
      </c>
      <c r="K12" s="11" t="n">
        <v>36000</v>
      </c>
      <c r="L12" s="11" t="n">
        <v>36000</v>
      </c>
      <c r="M12" s="11" t="n">
        <v>36000</v>
      </c>
      <c r="N12" s="11" t="n">
        <v>36000</v>
      </c>
      <c r="O12" s="11" t="n">
        <v>36000</v>
      </c>
      <c r="P12" s="11" t="n">
        <v>36000</v>
      </c>
      <c r="Q12" s="11" t="n">
        <v>36000</v>
      </c>
      <c r="R12" s="11" t="n">
        <v>36000</v>
      </c>
      <c r="S12" s="11" t="n">
        <v>36000</v>
      </c>
      <c r="T12" s="11" t="n">
        <v>36000</v>
      </c>
      <c r="U12" s="11" t="n">
        <v>36000</v>
      </c>
      <c r="V12" s="11" t="n">
        <v>36000</v>
      </c>
      <c r="W12" s="11" t="n">
        <v>36000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Shipment services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Shipment services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Shipment services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Shipment services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0.62</v>
      </c>
      <c r="D12" s="14" t="n">
        <v>0.68</v>
      </c>
      <c r="E12" s="14" t="n">
        <v>0.6640000000000001</v>
      </c>
      <c r="F12" s="14" t="n">
        <v>0.648</v>
      </c>
      <c r="G12" s="14" t="n">
        <v>0.632</v>
      </c>
      <c r="H12" s="14" t="n">
        <v>0.6160000000000001</v>
      </c>
      <c r="I12" s="14" t="n">
        <v>0.6000000000000001</v>
      </c>
      <c r="J12" s="14" t="n">
        <v>0.5840000000000001</v>
      </c>
      <c r="K12" s="14" t="n">
        <v>0.5680000000000001</v>
      </c>
      <c r="L12" s="14" t="n">
        <v>0.552</v>
      </c>
      <c r="M12" s="14" t="n">
        <v>0.536</v>
      </c>
      <c r="N12" s="14" t="n">
        <v>0.52</v>
      </c>
      <c r="O12" s="14" t="n">
        <v>0.5155555555555555</v>
      </c>
      <c r="P12" s="14" t="n">
        <v>0.5111111111111111</v>
      </c>
      <c r="Q12" s="14" t="n">
        <v>0.5066666666666667</v>
      </c>
      <c r="R12" s="14" t="n">
        <v>0.5022222222222222</v>
      </c>
      <c r="S12" s="14" t="n">
        <v>0.4977777777777778</v>
      </c>
      <c r="T12" s="14" t="n">
        <v>0.4933333333333333</v>
      </c>
      <c r="U12" s="14" t="n">
        <v>0.4888888888888889</v>
      </c>
      <c r="V12" s="14" t="n">
        <v>0.4844444444444445</v>
      </c>
      <c r="W12" s="14" t="n">
        <v>0.48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0.09</v>
      </c>
      <c r="D13" s="14" t="n">
        <v>0.028</v>
      </c>
      <c r="E13" s="14" t="n">
        <v>0.0264</v>
      </c>
      <c r="F13" s="14" t="n">
        <v>0.0248</v>
      </c>
      <c r="G13" s="14" t="n">
        <v>0.0232</v>
      </c>
      <c r="H13" s="14" t="n">
        <v>0.0216</v>
      </c>
      <c r="I13" s="14" t="n">
        <v>0.02</v>
      </c>
      <c r="J13" s="14" t="n">
        <v>0.0184</v>
      </c>
      <c r="K13" s="14" t="n">
        <v>0.0168</v>
      </c>
      <c r="L13" s="14" t="n">
        <v>0.0152</v>
      </c>
      <c r="M13" s="14" t="n">
        <v>0.0136</v>
      </c>
      <c r="N13" s="14" t="n">
        <v>0.012</v>
      </c>
      <c r="O13" s="14" t="n">
        <v>0.01155555555555556</v>
      </c>
      <c r="P13" s="14" t="n">
        <v>0.01111111111111111</v>
      </c>
      <c r="Q13" s="14" t="n">
        <v>0.01066666666666667</v>
      </c>
      <c r="R13" s="14" t="n">
        <v>0.01022222222222222</v>
      </c>
      <c r="S13" s="14" t="n">
        <v>0.009777777777777778</v>
      </c>
      <c r="T13" s="14" t="n">
        <v>0.009333333333333334</v>
      </c>
      <c r="U13" s="14" t="n">
        <v>0.008888888888888889</v>
      </c>
      <c r="V13" s="14" t="n">
        <v>0.008444444444444445</v>
      </c>
      <c r="W13" s="14" t="n">
        <v>0.008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72070.5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0.00045</v>
      </c>
      <c r="D17" s="14" t="n">
        <v>0.028</v>
      </c>
      <c r="E17" s="14" t="n">
        <v>0.0264</v>
      </c>
      <c r="F17" s="14" t="n">
        <v>0.0248</v>
      </c>
      <c r="G17" s="14" t="n">
        <v>0.0232</v>
      </c>
      <c r="H17" s="14" t="n">
        <v>0.0216</v>
      </c>
      <c r="I17" s="14" t="n">
        <v>0.02</v>
      </c>
      <c r="J17" s="14" t="n">
        <v>0.0184</v>
      </c>
      <c r="K17" s="14" t="n">
        <v>0.0168</v>
      </c>
      <c r="L17" s="14" t="n">
        <v>0.0152</v>
      </c>
      <c r="M17" s="14" t="n">
        <v>0.0136</v>
      </c>
      <c r="N17" s="14" t="n">
        <v>0.012</v>
      </c>
      <c r="O17" s="14" t="n">
        <v>0.01155555555555556</v>
      </c>
      <c r="P17" s="14" t="n">
        <v>0.01111111111111111</v>
      </c>
      <c r="Q17" s="14" t="n">
        <v>0.01066666666666667</v>
      </c>
      <c r="R17" s="14" t="n">
        <v>0.01022222222222222</v>
      </c>
      <c r="S17" s="14" t="n">
        <v>0.009777777777777778</v>
      </c>
      <c r="T17" s="14" t="n">
        <v>0.009333333333333334</v>
      </c>
      <c r="U17" s="14" t="n">
        <v>0.008888888888888889</v>
      </c>
      <c r="V17" s="14" t="n">
        <v>0.008444444444444445</v>
      </c>
      <c r="W17" s="14" t="n">
        <v>0.008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0.183976</v>
      </c>
      <c r="D22" s="14" t="n">
        <v>0.183976</v>
      </c>
      <c r="E22" s="14" t="n">
        <v>0.183976</v>
      </c>
      <c r="F22" s="14" t="n">
        <v>0.183976</v>
      </c>
      <c r="G22" s="14" t="n">
        <v>0.183976</v>
      </c>
      <c r="H22" s="14" t="n">
        <v>0.183976</v>
      </c>
      <c r="I22" s="14" t="n">
        <v>0.183976</v>
      </c>
      <c r="J22" s="14" t="n">
        <v>0.183976</v>
      </c>
      <c r="K22" s="14" t="n">
        <v>0.183976</v>
      </c>
      <c r="L22" s="14" t="n">
        <v>0.183976</v>
      </c>
      <c r="M22" s="14" t="n">
        <v>0.183976</v>
      </c>
      <c r="N22" s="14" t="n">
        <v>0.183976</v>
      </c>
      <c r="O22" s="14" t="n">
        <v>0.183976</v>
      </c>
      <c r="P22" s="14" t="n">
        <v>0.183976</v>
      </c>
      <c r="Q22" s="14" t="n">
        <v>0.183976</v>
      </c>
      <c r="R22" s="14" t="n">
        <v>0.183976</v>
      </c>
      <c r="S22" s="14" t="n">
        <v>0.183976</v>
      </c>
      <c r="T22" s="14" t="n">
        <v>0.183976</v>
      </c>
      <c r="U22" s="14" t="n">
        <v>0.183976</v>
      </c>
      <c r="V22" s="14" t="n">
        <v>0.183976</v>
      </c>
      <c r="W22" s="14" t="n">
        <v>0.183976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2340000</v>
      </c>
      <c r="D7" s="31" t="n">
        <v>252000</v>
      </c>
      <c r="E7" s="31" t="n">
        <v>271832.4</v>
      </c>
      <c r="F7" s="31" t="n">
        <v>291849.6</v>
      </c>
      <c r="G7" s="31" t="n">
        <v>312051.6</v>
      </c>
      <c r="H7" s="31" t="n">
        <v>332438.4</v>
      </c>
      <c r="I7" s="31" t="n">
        <v>353010</v>
      </c>
      <c r="J7" s="31" t="n">
        <v>373766.4</v>
      </c>
      <c r="K7" s="31" t="n">
        <v>394707.6</v>
      </c>
      <c r="L7" s="31" t="n">
        <v>415833.6</v>
      </c>
      <c r="M7" s="31" t="n">
        <v>437144.4</v>
      </c>
      <c r="N7" s="31" t="n">
        <v>458640</v>
      </c>
      <c r="O7" s="31" t="n">
        <v>464519.99412</v>
      </c>
      <c r="P7" s="31" t="n">
        <v>470400.00588</v>
      </c>
      <c r="Q7" s="31" t="n">
        <v>476280</v>
      </c>
      <c r="R7" s="31" t="n">
        <v>482159.99412</v>
      </c>
      <c r="S7" s="31" t="n">
        <v>488040.00588</v>
      </c>
      <c r="T7" s="31" t="n">
        <v>493920</v>
      </c>
      <c r="U7" s="31" t="n">
        <v>499799.99412</v>
      </c>
      <c r="V7" s="31" t="n">
        <v>505680.00588</v>
      </c>
      <c r="W7" s="31" t="n">
        <v>511560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1450800</v>
      </c>
      <c r="D8" s="31" t="n">
        <v>171360</v>
      </c>
      <c r="E8" s="31" t="n">
        <v>180496.7136</v>
      </c>
      <c r="F8" s="31" t="n">
        <v>189118.5408</v>
      </c>
      <c r="G8" s="31" t="n">
        <v>197216.6112</v>
      </c>
      <c r="H8" s="31" t="n">
        <v>204782.0544</v>
      </c>
      <c r="I8" s="31" t="n">
        <v>211806</v>
      </c>
      <c r="J8" s="31" t="n">
        <v>218279.5776</v>
      </c>
      <c r="K8" s="31" t="n">
        <v>224193.9168</v>
      </c>
      <c r="L8" s="31" t="n">
        <v>229540.1472</v>
      </c>
      <c r="M8" s="31" t="n">
        <v>234309.3984</v>
      </c>
      <c r="N8" s="31" t="n">
        <v>238492.8</v>
      </c>
      <c r="O8" s="31" t="n">
        <v>239485.863635</v>
      </c>
      <c r="P8" s="31" t="n">
        <v>240426.669672</v>
      </c>
      <c r="Q8" s="31" t="n">
        <v>241315.2</v>
      </c>
      <c r="R8" s="31" t="n">
        <v>242151.463714</v>
      </c>
      <c r="S8" s="31" t="n">
        <v>242935.469594</v>
      </c>
      <c r="T8" s="31" t="n">
        <v>243667.2</v>
      </c>
      <c r="U8" s="31" t="n">
        <v>244346.663792</v>
      </c>
      <c r="V8" s="31" t="n">
        <v>244973.869515</v>
      </c>
      <c r="W8" s="31" t="n">
        <v>245548.8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889200</v>
      </c>
      <c r="D9" s="31" t="n">
        <v>80640</v>
      </c>
      <c r="E9" s="31" t="n">
        <v>91335.68640000001</v>
      </c>
      <c r="F9" s="31" t="n">
        <v>102731.0592</v>
      </c>
      <c r="G9" s="31" t="n">
        <v>114834.9888</v>
      </c>
      <c r="H9" s="31" t="n">
        <v>127656.3456</v>
      </c>
      <c r="I9" s="31" t="n">
        <v>141204</v>
      </c>
      <c r="J9" s="31" t="n">
        <v>155486.8224</v>
      </c>
      <c r="K9" s="31" t="n">
        <v>170513.6832</v>
      </c>
      <c r="L9" s="31" t="n">
        <v>186293.4528</v>
      </c>
      <c r="M9" s="31" t="n">
        <v>202835.0016</v>
      </c>
      <c r="N9" s="31" t="n">
        <v>220147.2</v>
      </c>
      <c r="O9" s="31" t="n">
        <v>225034.130485</v>
      </c>
      <c r="P9" s="31" t="n">
        <v>229973.336208</v>
      </c>
      <c r="Q9" s="31" t="n">
        <v>234964.8</v>
      </c>
      <c r="R9" s="31" t="n">
        <v>240008.530406</v>
      </c>
      <c r="S9" s="31" t="n">
        <v>245104.536286</v>
      </c>
      <c r="T9" s="31" t="n">
        <v>250252.8</v>
      </c>
      <c r="U9" s="31" t="n">
        <v>255453.330328</v>
      </c>
      <c r="V9" s="31" t="n">
        <v>260706.136365</v>
      </c>
      <c r="W9" s="31" t="n">
        <v>266011.2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210600</v>
      </c>
      <c r="D10" s="31" t="n">
        <v>7056</v>
      </c>
      <c r="E10" s="31" t="n">
        <v>7176.37536</v>
      </c>
      <c r="F10" s="31" t="n">
        <v>7237.87008</v>
      </c>
      <c r="G10" s="31" t="n">
        <v>7239.59712</v>
      </c>
      <c r="H10" s="31" t="n">
        <v>7180.66944</v>
      </c>
      <c r="I10" s="31" t="n">
        <v>7060.2</v>
      </c>
      <c r="J10" s="31" t="n">
        <v>6877.30176</v>
      </c>
      <c r="K10" s="31" t="n">
        <v>6631.08768</v>
      </c>
      <c r="L10" s="31" t="n">
        <v>6320.67072</v>
      </c>
      <c r="M10" s="31" t="n">
        <v>5945.16384</v>
      </c>
      <c r="N10" s="31" t="n">
        <v>5503.68</v>
      </c>
      <c r="O10" s="31" t="n">
        <v>5367.786599</v>
      </c>
      <c r="P10" s="31" t="n">
        <v>5226.666732</v>
      </c>
      <c r="Q10" s="31" t="n">
        <v>5080.32</v>
      </c>
      <c r="R10" s="31" t="n">
        <v>4928.746607</v>
      </c>
      <c r="S10" s="31" t="n">
        <v>4771.946724</v>
      </c>
      <c r="T10" s="31" t="n">
        <v>4609.92</v>
      </c>
      <c r="U10" s="31" t="n">
        <v>4442.666614</v>
      </c>
      <c r="V10" s="31" t="n">
        <v>4270.186716</v>
      </c>
      <c r="W10" s="31" t="n">
        <v>4092.48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36000</v>
      </c>
      <c r="D12" s="31" t="n">
        <v>36000</v>
      </c>
      <c r="E12" s="31" t="n">
        <v>36000</v>
      </c>
      <c r="F12" s="31" t="n">
        <v>36000</v>
      </c>
      <c r="G12" s="31" t="n">
        <v>36000</v>
      </c>
      <c r="H12" s="31" t="n">
        <v>36000</v>
      </c>
      <c r="I12" s="31" t="n">
        <v>36000</v>
      </c>
      <c r="J12" s="31" t="n">
        <v>36000</v>
      </c>
      <c r="K12" s="31" t="n">
        <v>36000</v>
      </c>
      <c r="L12" s="31" t="n">
        <v>36000</v>
      </c>
      <c r="M12" s="31" t="n">
        <v>36000</v>
      </c>
      <c r="N12" s="31" t="n">
        <v>36000</v>
      </c>
      <c r="O12" s="31" t="n">
        <v>36000</v>
      </c>
      <c r="P12" s="31" t="n">
        <v>36000</v>
      </c>
      <c r="Q12" s="31" t="n">
        <v>36000</v>
      </c>
      <c r="R12" s="31" t="n">
        <v>36000</v>
      </c>
      <c r="S12" s="31" t="n">
        <v>36000</v>
      </c>
      <c r="T12" s="31" t="n">
        <v>36000</v>
      </c>
      <c r="U12" s="31" t="n">
        <v>36000</v>
      </c>
      <c r="V12" s="31" t="n">
        <v>36000</v>
      </c>
      <c r="W12" s="31" t="n">
        <v>36000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72070.5</v>
      </c>
      <c r="D13" s="31" t="n">
        <v>161469</v>
      </c>
      <c r="E13" s="31" t="n">
        <v>161469</v>
      </c>
      <c r="F13" s="31" t="n">
        <v>161469</v>
      </c>
      <c r="G13" s="31" t="n">
        <v>161469</v>
      </c>
      <c r="H13" s="31" t="n">
        <v>166315</v>
      </c>
      <c r="I13" s="31" t="n">
        <v>166315</v>
      </c>
      <c r="J13" s="31" t="n">
        <v>166315</v>
      </c>
      <c r="K13" s="31" t="n">
        <v>166315</v>
      </c>
      <c r="L13" s="31" t="n">
        <v>171303</v>
      </c>
      <c r="M13" s="31" t="n">
        <v>171303</v>
      </c>
      <c r="N13" s="31" t="n">
        <v>171303</v>
      </c>
      <c r="O13" s="31" t="n">
        <v>171303</v>
      </c>
      <c r="P13" s="31" t="n">
        <v>176441</v>
      </c>
      <c r="Q13" s="31" t="n">
        <v>176441</v>
      </c>
      <c r="R13" s="31" t="n">
        <v>176441</v>
      </c>
      <c r="S13" s="31" t="n">
        <v>176441</v>
      </c>
      <c r="T13" s="31" t="n">
        <v>181736</v>
      </c>
      <c r="U13" s="31" t="n">
        <v>181736</v>
      </c>
      <c r="V13" s="31" t="n">
        <v>181736</v>
      </c>
      <c r="W13" s="31" t="n">
        <v>181736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1053</v>
      </c>
      <c r="D14" s="31" t="n">
        <v>7056</v>
      </c>
      <c r="E14" s="31" t="n">
        <v>7176.37536</v>
      </c>
      <c r="F14" s="31" t="n">
        <v>7237.87008</v>
      </c>
      <c r="G14" s="31" t="n">
        <v>7239.59712</v>
      </c>
      <c r="H14" s="31" t="n">
        <v>7180.66944</v>
      </c>
      <c r="I14" s="31" t="n">
        <v>7060.2</v>
      </c>
      <c r="J14" s="31" t="n">
        <v>6877.30176</v>
      </c>
      <c r="K14" s="31" t="n">
        <v>6631.08768</v>
      </c>
      <c r="L14" s="31" t="n">
        <v>6320.67072</v>
      </c>
      <c r="M14" s="31" t="n">
        <v>5945.16384</v>
      </c>
      <c r="N14" s="31" t="n">
        <v>5503.68</v>
      </c>
      <c r="O14" s="31" t="n">
        <v>5367.786599</v>
      </c>
      <c r="P14" s="31" t="n">
        <v>5226.666732</v>
      </c>
      <c r="Q14" s="31" t="n">
        <v>5080.32</v>
      </c>
      <c r="R14" s="31" t="n">
        <v>4928.746607</v>
      </c>
      <c r="S14" s="31" t="n">
        <v>4771.946724</v>
      </c>
      <c r="T14" s="31" t="n">
        <v>4609.92</v>
      </c>
      <c r="U14" s="31" t="n">
        <v>4442.666614</v>
      </c>
      <c r="V14" s="31" t="n">
        <v>4270.186716</v>
      </c>
      <c r="W14" s="31" t="n">
        <v>4092.48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569476.5</v>
      </c>
      <c r="D15" s="31" t="n">
        <v>-130941</v>
      </c>
      <c r="E15" s="31" t="n">
        <v>-120486.06432</v>
      </c>
      <c r="F15" s="31" t="n">
        <v>-109213.68096</v>
      </c>
      <c r="G15" s="31" t="n">
        <v>-97113.20544000001</v>
      </c>
      <c r="H15" s="31" t="n">
        <v>-89019.99328</v>
      </c>
      <c r="I15" s="31" t="n">
        <v>-75231.39999999999</v>
      </c>
      <c r="J15" s="31" t="n">
        <v>-60582.78112</v>
      </c>
      <c r="K15" s="31" t="n">
        <v>-45063.49216</v>
      </c>
      <c r="L15" s="31" t="n">
        <v>-33650.88864</v>
      </c>
      <c r="M15" s="31" t="n">
        <v>-16358.32608</v>
      </c>
      <c r="N15" s="31" t="n">
        <v>1836.84</v>
      </c>
      <c r="O15" s="31" t="n">
        <v>6995.557287</v>
      </c>
      <c r="P15" s="31" t="n">
        <v>7079.002744</v>
      </c>
      <c r="Q15" s="31" t="n">
        <v>12363.16</v>
      </c>
      <c r="R15" s="31" t="n">
        <v>17710.037193</v>
      </c>
      <c r="S15" s="31" t="n">
        <v>23119.642838</v>
      </c>
      <c r="T15" s="31" t="n">
        <v>23296.96</v>
      </c>
      <c r="U15" s="31" t="n">
        <v>28831.997099</v>
      </c>
      <c r="V15" s="31" t="n">
        <v>34429.762932</v>
      </c>
      <c r="W15" s="31" t="n">
        <v>40090.24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104770.008564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337.934476</v>
      </c>
      <c r="O18" s="31" t="n">
        <v>1287.014647</v>
      </c>
      <c r="P18" s="31" t="n">
        <v>1302.366609</v>
      </c>
      <c r="Q18" s="31" t="n">
        <v>2274.524724</v>
      </c>
      <c r="R18" s="31" t="n">
        <v>3258.221803</v>
      </c>
      <c r="S18" s="31" t="n">
        <v>4253.459411</v>
      </c>
      <c r="T18" s="31" t="n">
        <v>4286.081513</v>
      </c>
      <c r="U18" s="31" t="n">
        <v>5304.395498</v>
      </c>
      <c r="V18" s="31" t="n">
        <v>6334.250065</v>
      </c>
      <c r="W18" s="31" t="n">
        <v>7375.641994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464706.491436</v>
      </c>
      <c r="D19" s="31" t="n">
        <v>-130941</v>
      </c>
      <c r="E19" s="31" t="n">
        <v>-120486.06432</v>
      </c>
      <c r="F19" s="31" t="n">
        <v>-109213.68096</v>
      </c>
      <c r="G19" s="31" t="n">
        <v>-97113.20544000001</v>
      </c>
      <c r="H19" s="31" t="n">
        <v>-89019.99328</v>
      </c>
      <c r="I19" s="31" t="n">
        <v>-75231.39999999999</v>
      </c>
      <c r="J19" s="31" t="n">
        <v>-60582.78112</v>
      </c>
      <c r="K19" s="31" t="n">
        <v>-45063.49216</v>
      </c>
      <c r="L19" s="31" t="n">
        <v>-33650.88864</v>
      </c>
      <c r="M19" s="31" t="n">
        <v>-16358.32608</v>
      </c>
      <c r="N19" s="31" t="n">
        <v>1498.905524</v>
      </c>
      <c r="O19" s="31" t="n">
        <v>5708.54264</v>
      </c>
      <c r="P19" s="31" t="n">
        <v>5776.636135</v>
      </c>
      <c r="Q19" s="31" t="n">
        <v>10088.635276</v>
      </c>
      <c r="R19" s="31" t="n">
        <v>14451.815391</v>
      </c>
      <c r="S19" s="31" t="n">
        <v>18866.183427</v>
      </c>
      <c r="T19" s="31" t="n">
        <v>19010.878487</v>
      </c>
      <c r="U19" s="31" t="n">
        <v>23527.601601</v>
      </c>
      <c r="V19" s="31" t="n">
        <v>28095.512867</v>
      </c>
      <c r="W19" s="31" t="n">
        <v>32714.598006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0</v>
      </c>
      <c r="D23" s="31" t="n">
        <v>191469.75</v>
      </c>
      <c r="E23" s="31" t="n">
        <v>196160.148706</v>
      </c>
      <c r="F23" s="31" t="n">
        <v>200531.8472</v>
      </c>
      <c r="G23" s="31" t="n">
        <v>204582.332498</v>
      </c>
      <c r="H23" s="31" t="n">
        <v>210728.994278</v>
      </c>
      <c r="I23" s="31" t="n">
        <v>214120.44513</v>
      </c>
      <c r="J23" s="31" t="n">
        <v>217174.077324</v>
      </c>
      <c r="K23" s="31" t="n">
        <v>219884.596733</v>
      </c>
      <c r="L23" s="31" t="n">
        <v>224742.372393</v>
      </c>
      <c r="M23" s="31" t="n">
        <v>226752.114278</v>
      </c>
      <c r="N23" s="31" t="n">
        <v>228401.853524</v>
      </c>
      <c r="O23" s="31" t="n">
        <v>232491.465206</v>
      </c>
      <c r="P23" s="31" t="n">
        <v>239192.681324</v>
      </c>
      <c r="Q23" s="31" t="n">
        <v>247054.872358</v>
      </c>
      <c r="R23" s="31" t="n">
        <v>257907.892555</v>
      </c>
      <c r="S23" s="31" t="n">
        <v>275212.423427</v>
      </c>
      <c r="T23" s="31" t="n">
        <v>295280.721402</v>
      </c>
      <c r="U23" s="31" t="n">
        <v>313977.788911</v>
      </c>
      <c r="V23" s="31" t="n">
        <v>314165.804569</v>
      </c>
      <c r="W23" s="31" t="n">
        <v>314313.587244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82173.91304299999</v>
      </c>
      <c r="E24" s="31" t="n">
        <v>88641</v>
      </c>
      <c r="F24" s="31" t="n">
        <v>97283.2</v>
      </c>
      <c r="G24" s="31" t="n">
        <v>102874.153846</v>
      </c>
      <c r="H24" s="31" t="n">
        <v>108403.826087</v>
      </c>
      <c r="I24" s="31" t="n">
        <v>115111.956522</v>
      </c>
      <c r="J24" s="31" t="n">
        <v>123219.692308</v>
      </c>
      <c r="K24" s="31" t="n">
        <v>130123.384615</v>
      </c>
      <c r="L24" s="31" t="n">
        <v>135597.913043</v>
      </c>
      <c r="M24" s="31" t="n">
        <v>142547.086957</v>
      </c>
      <c r="N24" s="31" t="n">
        <v>152880</v>
      </c>
      <c r="O24" s="31" t="n">
        <v>153138.4596</v>
      </c>
      <c r="P24" s="31" t="n">
        <v>153391.306265</v>
      </c>
      <c r="Q24" s="31" t="n">
        <v>155308.695652</v>
      </c>
      <c r="R24" s="31" t="n">
        <v>160719.99804</v>
      </c>
      <c r="S24" s="31" t="n">
        <v>160892.309631</v>
      </c>
      <c r="T24" s="31" t="n">
        <v>161060.869565</v>
      </c>
      <c r="U24" s="31" t="n">
        <v>162978.258952</v>
      </c>
      <c r="V24" s="31" t="n">
        <v>168560.00196</v>
      </c>
      <c r="W24" s="31" t="n">
        <v>168646.153846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0</v>
      </c>
      <c r="D25" s="31" t="n">
        <v>9313.043478</v>
      </c>
      <c r="E25" s="31" t="n">
        <v>9809.603999999999</v>
      </c>
      <c r="F25" s="31" t="n">
        <v>10506.5856</v>
      </c>
      <c r="G25" s="31" t="n">
        <v>10836.077538</v>
      </c>
      <c r="H25" s="31" t="n">
        <v>11129.459478</v>
      </c>
      <c r="I25" s="31" t="n">
        <v>11511.195652</v>
      </c>
      <c r="J25" s="31" t="n">
        <v>11993.383385</v>
      </c>
      <c r="K25" s="31" t="n">
        <v>12318.347077</v>
      </c>
      <c r="L25" s="31" t="n">
        <v>12475.008</v>
      </c>
      <c r="M25" s="31" t="n">
        <v>12734.206435</v>
      </c>
      <c r="N25" s="31" t="n">
        <v>13249.6</v>
      </c>
      <c r="O25" s="31" t="n">
        <v>13158.563936</v>
      </c>
      <c r="P25" s="31" t="n">
        <v>13066.66683</v>
      </c>
      <c r="Q25" s="31" t="n">
        <v>13114.956522</v>
      </c>
      <c r="R25" s="31" t="n">
        <v>13452.859095</v>
      </c>
      <c r="S25" s="31" t="n">
        <v>13348.102725</v>
      </c>
      <c r="T25" s="31" t="n">
        <v>13242.782609</v>
      </c>
      <c r="U25" s="31" t="n">
        <v>13279.709989</v>
      </c>
      <c r="V25" s="31" t="n">
        <v>13609.659418</v>
      </c>
      <c r="W25" s="31" t="n">
        <v>13491.692308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0</v>
      </c>
      <c r="D26" s="31" t="n">
        <v>287996.706522</v>
      </c>
      <c r="E26" s="31" t="n">
        <v>300047.400706</v>
      </c>
      <c r="F26" s="31" t="n">
        <v>314158.6248</v>
      </c>
      <c r="G26" s="31" t="n">
        <v>324533.595882</v>
      </c>
      <c r="H26" s="31" t="n">
        <v>336911.047843</v>
      </c>
      <c r="I26" s="31" t="n">
        <v>347803.797304</v>
      </c>
      <c r="J26" s="31" t="n">
        <v>359862.481016</v>
      </c>
      <c r="K26" s="31" t="n">
        <v>370220.480425</v>
      </c>
      <c r="L26" s="31" t="n">
        <v>381131.965437</v>
      </c>
      <c r="M26" s="31" t="n">
        <v>390776.29567</v>
      </c>
      <c r="N26" s="31" t="n">
        <v>403704.253524</v>
      </c>
      <c r="O26" s="31" t="n">
        <v>408078.888624</v>
      </c>
      <c r="P26" s="31" t="n">
        <v>415058.654537</v>
      </c>
      <c r="Q26" s="31" t="n">
        <v>425004.124532</v>
      </c>
      <c r="R26" s="31" t="n">
        <v>441723.949572</v>
      </c>
      <c r="S26" s="31" t="n">
        <v>459213.6359</v>
      </c>
      <c r="T26" s="31" t="n">
        <v>479462.773576</v>
      </c>
      <c r="U26" s="31" t="n">
        <v>500231.757734</v>
      </c>
      <c r="V26" s="31" t="n">
        <v>506449.066064</v>
      </c>
      <c r="W26" s="31" t="n">
        <v>506682.633398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0</v>
      </c>
      <c r="H28" s="31" t="n">
        <v>0</v>
      </c>
      <c r="I28" s="31" t="n">
        <v>0</v>
      </c>
      <c r="J28" s="31" t="n">
        <v>0</v>
      </c>
      <c r="K28" s="31" t="n">
        <v>0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0</v>
      </c>
      <c r="D29" s="31" t="n">
        <v>287996.706522</v>
      </c>
      <c r="E29" s="31" t="n">
        <v>300047.400706</v>
      </c>
      <c r="F29" s="31" t="n">
        <v>314158.6248</v>
      </c>
      <c r="G29" s="31" t="n">
        <v>324533.595882</v>
      </c>
      <c r="H29" s="31" t="n">
        <v>336911.047843</v>
      </c>
      <c r="I29" s="31" t="n">
        <v>347803.797304</v>
      </c>
      <c r="J29" s="31" t="n">
        <v>359862.481016</v>
      </c>
      <c r="K29" s="31" t="n">
        <v>370220.480425</v>
      </c>
      <c r="L29" s="31" t="n">
        <v>381131.965437</v>
      </c>
      <c r="M29" s="31" t="n">
        <v>390776.29567</v>
      </c>
      <c r="N29" s="31" t="n">
        <v>403704.253524</v>
      </c>
      <c r="O29" s="31" t="n">
        <v>408078.888624</v>
      </c>
      <c r="P29" s="31" t="n">
        <v>415058.654537</v>
      </c>
      <c r="Q29" s="31" t="n">
        <v>425004.124532</v>
      </c>
      <c r="R29" s="31" t="n">
        <v>441723.949572</v>
      </c>
      <c r="S29" s="31" t="n">
        <v>459213.6359</v>
      </c>
      <c r="T29" s="31" t="n">
        <v>479462.773576</v>
      </c>
      <c r="U29" s="31" t="n">
        <v>500231.757734</v>
      </c>
      <c r="V29" s="31" t="n">
        <v>506449.066064</v>
      </c>
      <c r="W29" s="31" t="n">
        <v>506682.633398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0</v>
      </c>
      <c r="D30" s="31" t="n">
        <v>103490.706522</v>
      </c>
      <c r="E30" s="31" t="n">
        <v>103608.465026</v>
      </c>
      <c r="F30" s="31" t="n">
        <v>105972.37008</v>
      </c>
      <c r="G30" s="31" t="n">
        <v>104809.546602</v>
      </c>
      <c r="H30" s="31" t="n">
        <v>105982.991843</v>
      </c>
      <c r="I30" s="31" t="n">
        <v>105865.141304</v>
      </c>
      <c r="J30" s="31" t="n">
        <v>106847.606136</v>
      </c>
      <c r="K30" s="31" t="n">
        <v>106604.097705</v>
      </c>
      <c r="L30" s="31" t="n">
        <v>107581.471357</v>
      </c>
      <c r="M30" s="31" t="n">
        <v>107214.12767</v>
      </c>
      <c r="N30" s="31" t="n">
        <v>109155.18</v>
      </c>
      <c r="O30" s="31" t="n">
        <v>107821.27246</v>
      </c>
      <c r="P30" s="31" t="n">
        <v>109024.402238</v>
      </c>
      <c r="Q30" s="31" t="n">
        <v>108881.236957</v>
      </c>
      <c r="R30" s="31" t="n">
        <v>111149.246607</v>
      </c>
      <c r="S30" s="31" t="n">
        <v>109772.749507</v>
      </c>
      <c r="T30" s="31" t="n">
        <v>111011.008696</v>
      </c>
      <c r="U30" s="31" t="n">
        <v>110847.391253</v>
      </c>
      <c r="V30" s="31" t="n">
        <v>113138.186716</v>
      </c>
      <c r="W30" s="31" t="n">
        <v>111719.156044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5040</v>
      </c>
      <c r="E31" s="31" t="n">
        <v>5436.648</v>
      </c>
      <c r="F31" s="31" t="n">
        <v>5836.992</v>
      </c>
      <c r="G31" s="31" t="n">
        <v>6241.032</v>
      </c>
      <c r="H31" s="31" t="n">
        <v>6648.768</v>
      </c>
      <c r="I31" s="31" t="n">
        <v>7060.2</v>
      </c>
      <c r="J31" s="31" t="n">
        <v>7475.328</v>
      </c>
      <c r="K31" s="31" t="n">
        <v>7894.152</v>
      </c>
      <c r="L31" s="31" t="n">
        <v>8316.672</v>
      </c>
      <c r="M31" s="31" t="n">
        <v>8742.888000000001</v>
      </c>
      <c r="N31" s="31" t="n">
        <v>9172.799999999999</v>
      </c>
      <c r="O31" s="31" t="n">
        <v>9290.399882</v>
      </c>
      <c r="P31" s="31" t="n">
        <v>9408.000118</v>
      </c>
      <c r="Q31" s="31" t="n">
        <v>9525.6</v>
      </c>
      <c r="R31" s="31" t="n">
        <v>9643.199882000001</v>
      </c>
      <c r="S31" s="31" t="n">
        <v>9760.800117999999</v>
      </c>
      <c r="T31" s="31" t="n">
        <v>9878.4</v>
      </c>
      <c r="U31" s="31" t="n">
        <v>9995.999882</v>
      </c>
      <c r="V31" s="31" t="n">
        <v>10113.600118</v>
      </c>
      <c r="W31" s="31" t="n">
        <v>10231.2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0</v>
      </c>
      <c r="D34" s="31" t="n">
        <v>103490.706522</v>
      </c>
      <c r="E34" s="31" t="n">
        <v>103608.465026</v>
      </c>
      <c r="F34" s="31" t="n">
        <v>105972.37008</v>
      </c>
      <c r="G34" s="31" t="n">
        <v>104809.546602</v>
      </c>
      <c r="H34" s="31" t="n">
        <v>105982.991843</v>
      </c>
      <c r="I34" s="31" t="n">
        <v>105865.141304</v>
      </c>
      <c r="J34" s="31" t="n">
        <v>106847.606136</v>
      </c>
      <c r="K34" s="31" t="n">
        <v>106604.097705</v>
      </c>
      <c r="L34" s="31" t="n">
        <v>107581.471357</v>
      </c>
      <c r="M34" s="31" t="n">
        <v>107214.12767</v>
      </c>
      <c r="N34" s="31" t="n">
        <v>109155.18</v>
      </c>
      <c r="O34" s="31" t="n">
        <v>107821.27246</v>
      </c>
      <c r="P34" s="31" t="n">
        <v>109024.402238</v>
      </c>
      <c r="Q34" s="31" t="n">
        <v>108881.236957</v>
      </c>
      <c r="R34" s="31" t="n">
        <v>111149.246607</v>
      </c>
      <c r="S34" s="31" t="n">
        <v>109772.749507</v>
      </c>
      <c r="T34" s="31" t="n">
        <v>111011.008696</v>
      </c>
      <c r="U34" s="31" t="n">
        <v>110847.391253</v>
      </c>
      <c r="V34" s="31" t="n">
        <v>113138.186716</v>
      </c>
      <c r="W34" s="31" t="n">
        <v>111719.156044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0</v>
      </c>
      <c r="D36" s="31" t="n">
        <v>103490.706522</v>
      </c>
      <c r="E36" s="31" t="n">
        <v>103608.465026</v>
      </c>
      <c r="F36" s="31" t="n">
        <v>105972.37008</v>
      </c>
      <c r="G36" s="31" t="n">
        <v>104809.546602</v>
      </c>
      <c r="H36" s="31" t="n">
        <v>105982.991843</v>
      </c>
      <c r="I36" s="31" t="n">
        <v>105865.141304</v>
      </c>
      <c r="J36" s="31" t="n">
        <v>106847.606136</v>
      </c>
      <c r="K36" s="31" t="n">
        <v>106604.097705</v>
      </c>
      <c r="L36" s="31" t="n">
        <v>107581.471357</v>
      </c>
      <c r="M36" s="31" t="n">
        <v>107214.12767</v>
      </c>
      <c r="N36" s="31" t="n">
        <v>109155.18</v>
      </c>
      <c r="O36" s="31" t="n">
        <v>107821.27246</v>
      </c>
      <c r="P36" s="31" t="n">
        <v>109024.402238</v>
      </c>
      <c r="Q36" s="31" t="n">
        <v>108881.236957</v>
      </c>
      <c r="R36" s="31" t="n">
        <v>111149.246607</v>
      </c>
      <c r="S36" s="31" t="n">
        <v>109772.749507</v>
      </c>
      <c r="T36" s="31" t="n">
        <v>111011.008696</v>
      </c>
      <c r="U36" s="31" t="n">
        <v>110847.391253</v>
      </c>
      <c r="V36" s="31" t="n">
        <v>113138.186716</v>
      </c>
      <c r="W36" s="31" t="n">
        <v>111719.156044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0</v>
      </c>
      <c r="D37" s="31" t="n">
        <v>315447</v>
      </c>
      <c r="E37" s="31" t="n">
        <v>447866</v>
      </c>
      <c r="F37" s="31" t="n">
        <v>568827</v>
      </c>
      <c r="G37" s="31" t="n">
        <v>677478</v>
      </c>
      <c r="H37" s="31" t="n">
        <v>777702</v>
      </c>
      <c r="I37" s="31" t="n">
        <v>863944</v>
      </c>
      <c r="J37" s="31" t="n">
        <v>935603</v>
      </c>
      <c r="K37" s="31" t="n">
        <v>991268</v>
      </c>
      <c r="L37" s="31" t="n">
        <v>1034853</v>
      </c>
      <c r="M37" s="31" t="n">
        <v>1061223</v>
      </c>
      <c r="N37" s="31" t="n">
        <v>1070711</v>
      </c>
      <c r="O37" s="31" t="n">
        <v>1070711</v>
      </c>
      <c r="P37" s="31" t="n">
        <v>1070711</v>
      </c>
      <c r="Q37" s="31" t="n">
        <v>1070711</v>
      </c>
      <c r="R37" s="31" t="n">
        <v>1070711</v>
      </c>
      <c r="S37" s="31" t="n">
        <v>1070711</v>
      </c>
      <c r="T37" s="31" t="n">
        <v>1070711</v>
      </c>
      <c r="U37" s="31" t="n">
        <v>1070711</v>
      </c>
      <c r="V37" s="31" t="n">
        <v>1070711</v>
      </c>
      <c r="W37" s="31" t="n">
        <v>1070711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0</v>
      </c>
      <c r="D38" s="31" t="n">
        <v>-130941</v>
      </c>
      <c r="E38" s="31" t="n">
        <v>-251427.06432</v>
      </c>
      <c r="F38" s="31" t="n">
        <v>-360640.74528</v>
      </c>
      <c r="G38" s="31" t="n">
        <v>-457753.95072</v>
      </c>
      <c r="H38" s="31" t="n">
        <v>-546773.944</v>
      </c>
      <c r="I38" s="31" t="n">
        <v>-622005.344</v>
      </c>
      <c r="J38" s="31" t="n">
        <v>-682588.12512</v>
      </c>
      <c r="K38" s="31" t="n">
        <v>-727651.61728</v>
      </c>
      <c r="L38" s="31" t="n">
        <v>-761302.50592</v>
      </c>
      <c r="M38" s="31" t="n">
        <v>-777660.8320000001</v>
      </c>
      <c r="N38" s="31" t="n">
        <v>-776161.926476</v>
      </c>
      <c r="O38" s="31" t="n">
        <v>-770453.383836</v>
      </c>
      <c r="P38" s="31" t="n">
        <v>-764676.747701</v>
      </c>
      <c r="Q38" s="31" t="n">
        <v>-754588.1124250001</v>
      </c>
      <c r="R38" s="31" t="n">
        <v>-740136.297034</v>
      </c>
      <c r="S38" s="31" t="n">
        <v>-721270.113607</v>
      </c>
      <c r="T38" s="31" t="n">
        <v>-702259.23512</v>
      </c>
      <c r="U38" s="31" t="n">
        <v>-681326.633519</v>
      </c>
      <c r="V38" s="31" t="n">
        <v>-677400.120652</v>
      </c>
      <c r="W38" s="31" t="n">
        <v>-675747.522646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0</v>
      </c>
      <c r="D40" s="31" t="n">
        <v>184506</v>
      </c>
      <c r="E40" s="31" t="n">
        <v>196438.93568</v>
      </c>
      <c r="F40" s="31" t="n">
        <v>208186.25472</v>
      </c>
      <c r="G40" s="31" t="n">
        <v>219724.04928</v>
      </c>
      <c r="H40" s="31" t="n">
        <v>230928.056</v>
      </c>
      <c r="I40" s="31" t="n">
        <v>241938.656</v>
      </c>
      <c r="J40" s="31" t="n">
        <v>253014.87488</v>
      </c>
      <c r="K40" s="31" t="n">
        <v>263616.38272</v>
      </c>
      <c r="L40" s="31" t="n">
        <v>273550.49408</v>
      </c>
      <c r="M40" s="31" t="n">
        <v>283562.168</v>
      </c>
      <c r="N40" s="31" t="n">
        <v>294549.073524</v>
      </c>
      <c r="O40" s="31" t="n">
        <v>300257.616164</v>
      </c>
      <c r="P40" s="31" t="n">
        <v>306034.252299</v>
      </c>
      <c r="Q40" s="31" t="n">
        <v>316122.887575</v>
      </c>
      <c r="R40" s="31" t="n">
        <v>330574.702966</v>
      </c>
      <c r="S40" s="31" t="n">
        <v>349440.886393</v>
      </c>
      <c r="T40" s="31" t="n">
        <v>368451.76488</v>
      </c>
      <c r="U40" s="31" t="n">
        <v>389384.366481</v>
      </c>
      <c r="V40" s="31" t="n">
        <v>393310.879348</v>
      </c>
      <c r="W40" s="31" t="n">
        <v>394963.477354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0</v>
      </c>
      <c r="D41" s="31" t="n">
        <v>287996.706522</v>
      </c>
      <c r="E41" s="31" t="n">
        <v>300047.400706</v>
      </c>
      <c r="F41" s="31" t="n">
        <v>314158.6248</v>
      </c>
      <c r="G41" s="31" t="n">
        <v>324533.595882</v>
      </c>
      <c r="H41" s="31" t="n">
        <v>336911.047843</v>
      </c>
      <c r="I41" s="31" t="n">
        <v>347803.797304</v>
      </c>
      <c r="J41" s="31" t="n">
        <v>359862.481016</v>
      </c>
      <c r="K41" s="31" t="n">
        <v>370220.480425</v>
      </c>
      <c r="L41" s="31" t="n">
        <v>381131.965437</v>
      </c>
      <c r="M41" s="31" t="n">
        <v>390776.29567</v>
      </c>
      <c r="N41" s="31" t="n">
        <v>403704.253524</v>
      </c>
      <c r="O41" s="31" t="n">
        <v>408078.888624</v>
      </c>
      <c r="P41" s="31" t="n">
        <v>415058.654537</v>
      </c>
      <c r="Q41" s="31" t="n">
        <v>425004.124532</v>
      </c>
      <c r="R41" s="31" t="n">
        <v>441723.949572</v>
      </c>
      <c r="S41" s="31" t="n">
        <v>459213.6359</v>
      </c>
      <c r="T41" s="31" t="n">
        <v>479462.773576</v>
      </c>
      <c r="U41" s="31" t="n">
        <v>500231.757734</v>
      </c>
      <c r="V41" s="31" t="n">
        <v>506449.066064</v>
      </c>
      <c r="W41" s="31" t="n">
        <v>506682.633398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0</v>
      </c>
      <c r="D45" s="31" t="n">
        <v>0</v>
      </c>
      <c r="E45" s="31" t="n">
        <v>191469.75</v>
      </c>
      <c r="F45" s="31" t="n">
        <v>196160.148706</v>
      </c>
      <c r="G45" s="31" t="n">
        <v>200531.8472</v>
      </c>
      <c r="H45" s="31" t="n">
        <v>204582.332498</v>
      </c>
      <c r="I45" s="31" t="n">
        <v>210728.994278</v>
      </c>
      <c r="J45" s="31" t="n">
        <v>214120.44513</v>
      </c>
      <c r="K45" s="31" t="n">
        <v>217174.077324</v>
      </c>
      <c r="L45" s="31" t="n">
        <v>219884.596733</v>
      </c>
      <c r="M45" s="31" t="n">
        <v>224742.372393</v>
      </c>
      <c r="N45" s="31" t="n">
        <v>226752.114278</v>
      </c>
      <c r="O45" s="31" t="n">
        <v>228401.853524</v>
      </c>
      <c r="P45" s="31" t="n">
        <v>232491.465206</v>
      </c>
      <c r="Q45" s="31" t="n">
        <v>239192.681324</v>
      </c>
      <c r="R45" s="31" t="n">
        <v>247054.872358</v>
      </c>
      <c r="S45" s="31" t="n">
        <v>257907.892555</v>
      </c>
      <c r="T45" s="31" t="n">
        <v>275212.423427</v>
      </c>
      <c r="U45" s="31" t="n">
        <v>295280.721402</v>
      </c>
      <c r="V45" s="31" t="n">
        <v>313977.788911</v>
      </c>
      <c r="W45" s="31" t="n">
        <v>314165.804569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464706.491436</v>
      </c>
      <c r="D46" s="31" t="n">
        <v>-130941</v>
      </c>
      <c r="E46" s="31" t="n">
        <v>-120486.06432</v>
      </c>
      <c r="F46" s="31" t="n">
        <v>-109213.68096</v>
      </c>
      <c r="G46" s="31" t="n">
        <v>-97113.20544000001</v>
      </c>
      <c r="H46" s="31" t="n">
        <v>-89019.99328</v>
      </c>
      <c r="I46" s="31" t="n">
        <v>-75231.39999999999</v>
      </c>
      <c r="J46" s="31" t="n">
        <v>-60582.78112</v>
      </c>
      <c r="K46" s="31" t="n">
        <v>-45063.49216</v>
      </c>
      <c r="L46" s="31" t="n">
        <v>-33650.88864</v>
      </c>
      <c r="M46" s="31" t="n">
        <v>-16358.32608</v>
      </c>
      <c r="N46" s="31" t="n">
        <v>1498.905524</v>
      </c>
      <c r="O46" s="31" t="n">
        <v>5708.54264</v>
      </c>
      <c r="P46" s="31" t="n">
        <v>5776.636135</v>
      </c>
      <c r="Q46" s="31" t="n">
        <v>10088.635276</v>
      </c>
      <c r="R46" s="31" t="n">
        <v>14451.815391</v>
      </c>
      <c r="S46" s="31" t="n">
        <v>18866.183427</v>
      </c>
      <c r="T46" s="31" t="n">
        <v>19010.878487</v>
      </c>
      <c r="U46" s="31" t="n">
        <v>23527.601601</v>
      </c>
      <c r="V46" s="31" t="n">
        <v>28095.512867</v>
      </c>
      <c r="W46" s="31" t="n">
        <v>32714.598006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1" t="n">
        <v>0</v>
      </c>
      <c r="Q47" s="31" t="n">
        <v>0</v>
      </c>
      <c r="R47" s="31" t="n">
        <v>0</v>
      </c>
      <c r="S47" s="31" t="n">
        <v>0</v>
      </c>
      <c r="T47" s="31" t="n">
        <v>0</v>
      </c>
      <c r="U47" s="31" t="n">
        <v>0</v>
      </c>
      <c r="V47" s="31" t="n">
        <v>0</v>
      </c>
      <c r="W47" s="31" t="n">
        <v>0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-96526.95652199999</v>
      </c>
      <c r="E48" s="31" t="n">
        <v>-7360.295478</v>
      </c>
      <c r="F48" s="31" t="n">
        <v>-9739.525600000001</v>
      </c>
      <c r="G48" s="31" t="n">
        <v>-6324.485785</v>
      </c>
      <c r="H48" s="31" t="n">
        <v>-6230.790181</v>
      </c>
      <c r="I48" s="31" t="n">
        <v>-7501.298609</v>
      </c>
      <c r="J48" s="31" t="n">
        <v>-9005.051518</v>
      </c>
      <c r="K48" s="31" t="n">
        <v>-7647.48</v>
      </c>
      <c r="L48" s="31" t="n">
        <v>-6053.709351</v>
      </c>
      <c r="M48" s="31" t="n">
        <v>-7634.588348</v>
      </c>
      <c r="N48" s="31" t="n">
        <v>-11278.218609</v>
      </c>
      <c r="O48" s="31" t="n">
        <v>-285.023418</v>
      </c>
      <c r="P48" s="31" t="n">
        <v>-278.549794</v>
      </c>
      <c r="Q48" s="31" t="n">
        <v>-2083.278961</v>
      </c>
      <c r="R48" s="31" t="n">
        <v>-5866.804844</v>
      </c>
      <c r="S48" s="31" t="n">
        <v>-185.155456</v>
      </c>
      <c r="T48" s="31" t="n">
        <v>-180.839701</v>
      </c>
      <c r="U48" s="31" t="n">
        <v>-2071.916649</v>
      </c>
      <c r="V48" s="31" t="n">
        <v>-6029.292672</v>
      </c>
      <c r="W48" s="31" t="n">
        <v>-85.784659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103490.706522</v>
      </c>
      <c r="E49" s="31" t="n">
        <v>117.758504</v>
      </c>
      <c r="F49" s="31" t="n">
        <v>2363.905054</v>
      </c>
      <c r="G49" s="31" t="n">
        <v>-1162.823478</v>
      </c>
      <c r="H49" s="31" t="n">
        <v>1173.445241</v>
      </c>
      <c r="I49" s="31" t="n">
        <v>-117.850539</v>
      </c>
      <c r="J49" s="31" t="n">
        <v>982.464832</v>
      </c>
      <c r="K49" s="31" t="n">
        <v>-243.508431</v>
      </c>
      <c r="L49" s="31" t="n">
        <v>977.373651</v>
      </c>
      <c r="M49" s="31" t="n">
        <v>-367.343687</v>
      </c>
      <c r="N49" s="31" t="n">
        <v>1941.05233</v>
      </c>
      <c r="O49" s="31" t="n">
        <v>-1333.90754</v>
      </c>
      <c r="P49" s="31" t="n">
        <v>1203.129778</v>
      </c>
      <c r="Q49" s="31" t="n">
        <v>-143.165281</v>
      </c>
      <c r="R49" s="31" t="n">
        <v>2268.00965</v>
      </c>
      <c r="S49" s="31" t="n">
        <v>-1376.497099</v>
      </c>
      <c r="T49" s="31" t="n">
        <v>1238.259188</v>
      </c>
      <c r="U49" s="31" t="n">
        <v>-163.617442</v>
      </c>
      <c r="V49" s="31" t="n">
        <v>2290.795463</v>
      </c>
      <c r="W49" s="31" t="n">
        <v>-1419.030672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-123977.25</v>
      </c>
      <c r="E50" s="31" t="n">
        <v>-127728.601294</v>
      </c>
      <c r="F50" s="31" t="n">
        <v>-116589.301506</v>
      </c>
      <c r="G50" s="31" t="n">
        <v>-104600.514702</v>
      </c>
      <c r="H50" s="31" t="n">
        <v>-94077.338219</v>
      </c>
      <c r="I50" s="31" t="n">
        <v>-82850.54914800001</v>
      </c>
      <c r="J50" s="31" t="n">
        <v>-68605.36780599999</v>
      </c>
      <c r="K50" s="31" t="n">
        <v>-52954.480591</v>
      </c>
      <c r="L50" s="31" t="n">
        <v>-38727.22434</v>
      </c>
      <c r="M50" s="31" t="n">
        <v>-24360.258115</v>
      </c>
      <c r="N50" s="31" t="n">
        <v>-7838.260754</v>
      </c>
      <c r="O50" s="31" t="n">
        <v>4089.611682</v>
      </c>
      <c r="P50" s="31" t="n">
        <v>6701.216118</v>
      </c>
      <c r="Q50" s="31" t="n">
        <v>7862.191033</v>
      </c>
      <c r="R50" s="31" t="n">
        <v>10853.020197</v>
      </c>
      <c r="S50" s="31" t="n">
        <v>17304.530872</v>
      </c>
      <c r="T50" s="31" t="n">
        <v>20068.297975</v>
      </c>
      <c r="U50" s="31" t="n">
        <v>21292.067509</v>
      </c>
      <c r="V50" s="31" t="n">
        <v>24357.015658</v>
      </c>
      <c r="W50" s="31" t="n">
        <v>31209.782675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0</v>
      </c>
      <c r="E51" s="31" t="n">
        <v>0</v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0</v>
      </c>
      <c r="K51" s="31" t="n">
        <v>0</v>
      </c>
      <c r="L51" s="31" t="n">
        <v>0</v>
      </c>
      <c r="M51" s="31" t="n">
        <v>0</v>
      </c>
      <c r="N51" s="31" t="n">
        <v>0</v>
      </c>
      <c r="O51" s="31" t="n">
        <v>0</v>
      </c>
      <c r="P51" s="31" t="n">
        <v>0</v>
      </c>
      <c r="Q51" s="31" t="n">
        <v>0</v>
      </c>
      <c r="R51" s="31" t="n">
        <v>0</v>
      </c>
      <c r="S51" s="31" t="n">
        <v>0</v>
      </c>
      <c r="T51" s="31" t="n">
        <v>0</v>
      </c>
      <c r="U51" s="31" t="n">
        <v>0</v>
      </c>
      <c r="V51" s="31" t="n">
        <v>0</v>
      </c>
      <c r="W51" s="31" t="n">
        <v>0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0</v>
      </c>
      <c r="E52" s="31" t="n">
        <v>0</v>
      </c>
      <c r="F52" s="31" t="n">
        <v>0</v>
      </c>
      <c r="G52" s="31" t="n">
        <v>0</v>
      </c>
      <c r="H52" s="31" t="n">
        <v>0</v>
      </c>
      <c r="I52" s="31" t="n">
        <v>0</v>
      </c>
      <c r="J52" s="31" t="n">
        <v>0</v>
      </c>
      <c r="K52" s="31" t="n">
        <v>0</v>
      </c>
      <c r="L52" s="31" t="n">
        <v>0</v>
      </c>
      <c r="M52" s="31" t="n">
        <v>0</v>
      </c>
      <c r="N52" s="31" t="n">
        <v>0</v>
      </c>
      <c r="O52" s="31" t="n">
        <v>0</v>
      </c>
      <c r="P52" s="31" t="n">
        <v>0</v>
      </c>
      <c r="Q52" s="31" t="n">
        <v>0</v>
      </c>
      <c r="R52" s="31" t="n">
        <v>0</v>
      </c>
      <c r="S52" s="31" t="n">
        <v>0</v>
      </c>
      <c r="T52" s="31" t="n">
        <v>0</v>
      </c>
      <c r="U52" s="31" t="n">
        <v>0</v>
      </c>
      <c r="V52" s="31" t="n">
        <v>0</v>
      </c>
      <c r="W52" s="31" t="n">
        <v>0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315447</v>
      </c>
      <c r="E55" s="31" t="n">
        <v>132419</v>
      </c>
      <c r="F55" s="31" t="n">
        <v>120961</v>
      </c>
      <c r="G55" s="31" t="n">
        <v>108651</v>
      </c>
      <c r="H55" s="31" t="n">
        <v>100224</v>
      </c>
      <c r="I55" s="31" t="n">
        <v>86242</v>
      </c>
      <c r="J55" s="31" t="n">
        <v>71659</v>
      </c>
      <c r="K55" s="31" t="n">
        <v>55665</v>
      </c>
      <c r="L55" s="31" t="n">
        <v>43585</v>
      </c>
      <c r="M55" s="31" t="n">
        <v>26370</v>
      </c>
      <c r="N55" s="31" t="n">
        <v>9488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2595</v>
      </c>
      <c r="V56" s="31" t="n">
        <v>24169</v>
      </c>
      <c r="W56" s="31" t="n">
        <v>31062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315447</v>
      </c>
      <c r="E57" s="31" t="n">
        <v>132419</v>
      </c>
      <c r="F57" s="31" t="n">
        <v>120961</v>
      </c>
      <c r="G57" s="31" t="n">
        <v>108651</v>
      </c>
      <c r="H57" s="31" t="n">
        <v>100224</v>
      </c>
      <c r="I57" s="31" t="n">
        <v>86242</v>
      </c>
      <c r="J57" s="31" t="n">
        <v>71659</v>
      </c>
      <c r="K57" s="31" t="n">
        <v>55665</v>
      </c>
      <c r="L57" s="31" t="n">
        <v>43585</v>
      </c>
      <c r="M57" s="31" t="n">
        <v>26370</v>
      </c>
      <c r="N57" s="31" t="n">
        <v>9488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0</v>
      </c>
      <c r="T57" s="31" t="n">
        <v>0</v>
      </c>
      <c r="U57" s="31" t="n">
        <v>-2595</v>
      </c>
      <c r="V57" s="31" t="n">
        <v>-24169</v>
      </c>
      <c r="W57" s="31" t="n">
        <v>-31062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191469.75</v>
      </c>
      <c r="E58" s="31" t="n">
        <v>4690.398706</v>
      </c>
      <c r="F58" s="31" t="n">
        <v>4371.698494</v>
      </c>
      <c r="G58" s="31" t="n">
        <v>4050.485298</v>
      </c>
      <c r="H58" s="31" t="n">
        <v>6146.661781</v>
      </c>
      <c r="I58" s="31" t="n">
        <v>3391.450852</v>
      </c>
      <c r="J58" s="31" t="n">
        <v>3053.632194</v>
      </c>
      <c r="K58" s="31" t="n">
        <v>2710.519409</v>
      </c>
      <c r="L58" s="31" t="n">
        <v>4857.77566</v>
      </c>
      <c r="M58" s="31" t="n">
        <v>2009.741885</v>
      </c>
      <c r="N58" s="31" t="n">
        <v>1649.739246</v>
      </c>
      <c r="O58" s="31" t="n">
        <v>4089.611682</v>
      </c>
      <c r="P58" s="31" t="n">
        <v>6701.216118</v>
      </c>
      <c r="Q58" s="31" t="n">
        <v>7862.191033</v>
      </c>
      <c r="R58" s="31" t="n">
        <v>10853.020197</v>
      </c>
      <c r="S58" s="31" t="n">
        <v>17304.530872</v>
      </c>
      <c r="T58" s="31" t="n">
        <v>20068.297975</v>
      </c>
      <c r="U58" s="31" t="n">
        <v>18697.067509</v>
      </c>
      <c r="V58" s="31" t="n">
        <v>188.015658</v>
      </c>
      <c r="W58" s="31" t="n">
        <v>147.782675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0</v>
      </c>
      <c r="D59" s="31" t="n">
        <v>191469.75</v>
      </c>
      <c r="E59" s="31" t="n">
        <v>196160.148706</v>
      </c>
      <c r="F59" s="31" t="n">
        <v>200531.8472</v>
      </c>
      <c r="G59" s="31" t="n">
        <v>204582.332498</v>
      </c>
      <c r="H59" s="31" t="n">
        <v>210728.994278</v>
      </c>
      <c r="I59" s="31" t="n">
        <v>214120.44513</v>
      </c>
      <c r="J59" s="31" t="n">
        <v>217174.077324</v>
      </c>
      <c r="K59" s="31" t="n">
        <v>219884.596733</v>
      </c>
      <c r="L59" s="31" t="n">
        <v>224742.372393</v>
      </c>
      <c r="M59" s="31" t="n">
        <v>226752.114278</v>
      </c>
      <c r="N59" s="31" t="n">
        <v>228401.853524</v>
      </c>
      <c r="O59" s="31" t="n">
        <v>232491.465206</v>
      </c>
      <c r="P59" s="31" t="n">
        <v>239192.681324</v>
      </c>
      <c r="Q59" s="31" t="n">
        <v>247054.872358</v>
      </c>
      <c r="R59" s="31" t="n">
        <v>257907.892555</v>
      </c>
      <c r="S59" s="31" t="n">
        <v>275212.423427</v>
      </c>
      <c r="T59" s="31" t="n">
        <v>295280.721402</v>
      </c>
      <c r="U59" s="31" t="n">
        <v>313977.788911</v>
      </c>
      <c r="V59" s="31" t="n">
        <v>314165.804569</v>
      </c>
      <c r="W59" s="31" t="n">
        <v>314313.587244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A27:N66</t>
        </is>
      </c>
      <c r="E16" s="39">
        <f>SUM(ABS('Payroll Schedule'!C15-SUMIFS('Payroll Schedule'!$G$27:$G$66,'Payroll Schedule'!$A$27:$A$66,0)),ABS('Payroll Schedule'!C16-SUMIFS('Payroll Schedule'!$H$27:$H$66,'Payroll Schedule'!$A$27:$A$66,0)),ABS('Payroll Schedule'!C17-SUMIFS('Payroll Schedule'!$M$27:$M$66,'Payroll Schedule'!$A$27:$A$66,0)),ABS('Payroll Schedule'!D15-SUMIFS('Payroll Schedule'!$G$27:$G$66,'Payroll Schedule'!$A$27:$A$66,1)),ABS('Payroll Schedule'!D16-SUMIFS('Payroll Schedule'!$H$27:$H$66,'Payroll Schedule'!$A$27:$A$66,1)),ABS('Payroll Schedule'!D17-SUMIFS('Payroll Schedule'!$M$27:$M$66,'Payroll Schedule'!$A$27:$A$66,1)),ABS('Payroll Schedule'!E15-SUMIFS('Payroll Schedule'!$G$27:$G$66,'Payroll Schedule'!$A$27:$A$66,2)),ABS('Payroll Schedule'!E16-SUMIFS('Payroll Schedule'!$H$27:$H$66,'Payroll Schedule'!$A$27:$A$66,2)),ABS('Payroll Schedule'!E17-SUMIFS('Payroll Schedule'!$M$27:$M$66,'Payroll Schedule'!$A$27:$A$66,2)),ABS('Payroll Schedule'!F15-SUMIFS('Payroll Schedule'!$G$27:$G$66,'Payroll Schedule'!$A$27:$A$66,3)),ABS('Payroll Schedule'!F16-SUMIFS('Payroll Schedule'!$H$27:$H$66,'Payroll Schedule'!$A$27:$A$66,3)),ABS('Payroll Schedule'!F17-SUMIFS('Payroll Schedule'!$M$27:$M$66,'Payroll Schedule'!$A$27:$A$66,3)),ABS('Payroll Schedule'!G15-SUMIFS('Payroll Schedule'!$G$27:$G$66,'Payroll Schedule'!$A$27:$A$66,4)),ABS('Payroll Schedule'!G16-SUMIFS('Payroll Schedule'!$H$27:$H$66,'Payroll Schedule'!$A$27:$A$66,4)),ABS('Payroll Schedule'!G17-SUMIFS('Payroll Schedule'!$M$27:$M$66,'Payroll Schedule'!$A$27:$A$66,4)),ABS('Payroll Schedule'!H15-SUMIFS('Payroll Schedule'!$G$27:$G$66,'Payroll Schedule'!$A$27:$A$66,5)),ABS('Payroll Schedule'!H16-SUMIFS('Payroll Schedule'!$H$27:$H$66,'Payroll Schedule'!$A$27:$A$66,5)),ABS('Payroll Schedule'!H17-SUMIFS('Payroll Schedule'!$M$27:$M$66,'Payroll Schedule'!$A$27:$A$66,5)),ABS('Payroll Schedule'!I15-SUMIFS('Payroll Schedule'!$G$27:$G$66,'Payroll Schedule'!$A$27:$A$66,6)),ABS('Payroll Schedule'!I16-SUMIFS('Payroll Schedule'!$H$27:$H$66,'Payroll Schedule'!$A$27:$A$66,6)),ABS('Payroll Schedule'!I17-SUMIFS('Payroll Schedule'!$M$27:$M$66,'Payroll Schedule'!$A$27:$A$66,6)),ABS('Payroll Schedule'!J15-SUMIFS('Payroll Schedule'!$G$27:$G$66,'Payroll Schedule'!$A$27:$A$66,7)),ABS('Payroll Schedule'!J16-SUMIFS('Payroll Schedule'!$H$27:$H$66,'Payroll Schedule'!$A$27:$A$66,7)),ABS('Payroll Schedule'!J17-SUMIFS('Payroll Schedule'!$M$27:$M$66,'Payroll Schedule'!$A$27:$A$66,7)),ABS('Payroll Schedule'!K15-SUMIFS('Payroll Schedule'!$G$27:$G$66,'Payroll Schedule'!$A$27:$A$66,8)),ABS('Payroll Schedule'!K16-SUMIFS('Payroll Schedule'!$H$27:$H$66,'Payroll Schedule'!$A$27:$A$66,8)),ABS('Payroll Schedule'!K17-SUMIFS('Payroll Schedule'!$M$27:$M$66,'Payroll Schedule'!$A$27:$A$66,8)),ABS('Payroll Schedule'!L15-SUMIFS('Payroll Schedule'!$G$27:$G$66,'Payroll Schedule'!$A$27:$A$66,9)),ABS('Payroll Schedule'!L16-SUMIFS('Payroll Schedule'!$H$27:$H$66,'Payroll Schedule'!$A$27:$A$66,9)),ABS('Payroll Schedule'!L17-SUMIFS('Payroll Schedule'!$M$27:$M$66,'Payroll Schedule'!$A$27:$A$66,9)),ABS('Payroll Schedule'!M15-SUMIFS('Payroll Schedule'!$G$27:$G$66,'Payroll Schedule'!$A$27:$A$66,10)),ABS('Payroll Schedule'!M16-SUMIFS('Payroll Schedule'!$H$27:$H$66,'Payroll Schedule'!$A$27:$A$66,10)),ABS('Payroll Schedule'!M17-SUMIFS('Payroll Schedule'!$M$27:$M$66,'Payroll Schedule'!$A$27:$A$66,10)),ABS('Payroll Schedule'!N15-SUMIFS('Payroll Schedule'!$G$27:$G$66,'Payroll Schedule'!$A$27:$A$66,11)),ABS('Payroll Schedule'!N16-SUMIFS('Payroll Schedule'!$H$27:$H$66,'Payroll Schedule'!$A$27:$A$66,11)),ABS('Payroll Schedule'!N17-SUMIFS('Payroll Schedule'!$M$27:$M$66,'Payroll Schedule'!$A$27:$A$66,11)),ABS('Payroll Schedule'!O15-SUMIFS('Payroll Schedule'!$G$27:$G$66,'Payroll Schedule'!$A$27:$A$66,12)),ABS('Payroll Schedule'!O16-SUMIFS('Payroll Schedule'!$H$27:$H$66,'Payroll Schedule'!$A$27:$A$66,12)),ABS('Payroll Schedule'!O17-SUMIFS('Payroll Schedule'!$M$27:$M$66,'Payroll Schedule'!$A$27:$A$66,12)),ABS('Payroll Schedule'!P15-SUMIFS('Payroll Schedule'!$G$27:$G$66,'Payroll Schedule'!$A$27:$A$66,13)),ABS('Payroll Schedule'!P16-SUMIFS('Payroll Schedule'!$H$27:$H$66,'Payroll Schedule'!$A$27:$A$66,13)),ABS('Payroll Schedule'!P17-SUMIFS('Payroll Schedule'!$M$27:$M$66,'Payroll Schedule'!$A$27:$A$66,13)),ABS('Payroll Schedule'!Q15-SUMIFS('Payroll Schedule'!$G$27:$G$66,'Payroll Schedule'!$A$27:$A$66,14)),ABS('Payroll Schedule'!Q16-SUMIFS('Payroll Schedule'!$H$27:$H$66,'Payroll Schedule'!$A$27:$A$66,14)),ABS('Payroll Schedule'!Q17-SUMIFS('Payroll Schedule'!$M$27:$M$66,'Payroll Schedule'!$A$27:$A$66,14)),ABS('Payroll Schedule'!R15-SUMIFS('Payroll Schedule'!$G$27:$G$66,'Payroll Schedule'!$A$27:$A$66,15)),ABS('Payroll Schedule'!R16-SUMIFS('Payroll Schedule'!$H$27:$H$66,'Payroll Schedule'!$A$27:$A$66,15)),ABS('Payroll Schedule'!R17-SUMIFS('Payroll Schedule'!$M$27:$M$66,'Payroll Schedule'!$A$27:$A$66,15)),ABS('Payroll Schedule'!S15-SUMIFS('Payroll Schedule'!$G$27:$G$66,'Payroll Schedule'!$A$27:$A$66,16)),ABS('Payroll Schedule'!S16-SUMIFS('Payroll Schedule'!$H$27:$H$66,'Payroll Schedule'!$A$27:$A$66,16)),ABS('Payroll Schedule'!S17-SUMIFS('Payroll Schedule'!$M$27:$M$66,'Payroll Schedule'!$A$27:$A$66,16)),ABS('Payroll Schedule'!T15-SUMIFS('Payroll Schedule'!$G$27:$G$66,'Payroll Schedule'!$A$27:$A$66,17)),ABS('Payroll Schedule'!T16-SUMIFS('Payroll Schedule'!$H$27:$H$66,'Payroll Schedule'!$A$27:$A$66,17)),ABS('Payroll Schedule'!T17-SUMIFS('Payroll Schedule'!$M$27:$M$66,'Payroll Schedule'!$A$27:$A$66,17)),ABS('Payroll Schedule'!U15-SUMIFS('Payroll Schedule'!$G$27:$G$66,'Payroll Schedule'!$A$27:$A$66,18)),ABS('Payroll Schedule'!U16-SUMIFS('Payroll Schedule'!$H$27:$H$66,'Payroll Schedule'!$A$27:$A$66,18)),ABS('Payroll Schedule'!U17-SUMIFS('Payroll Schedule'!$M$27:$M$66,'Payroll Schedule'!$A$27:$A$66,18)),ABS('Payroll Schedule'!V15-SUMIFS('Payroll Schedule'!$G$27:$G$66,'Payroll Schedule'!$A$27:$A$66,19)),ABS('Payroll Schedule'!V16-SUMIFS('Payroll Schedule'!$H$27:$H$66,'Payroll Schedule'!$A$27:$A$66,19)),ABS('Payroll Schedule'!V17-SUMIFS('Payroll Schedule'!$M$27:$M$66,'Payroll Schedule'!$A$27:$A$66,19)),ABS('Payroll Schedule'!W15-SUMIFS('Payroll Schedule'!$G$27:$G$66,'Payroll Schedule'!$A$27:$A$66,20)),ABS('Payroll Schedule'!W16-SUMIFS('Payroll Schedule'!$H$27:$H$66,'Payroll Schedule'!$A$27:$A$66,20)),ABS('Payroll Schedule'!W17-SUMIFS('Payroll Schedule'!$M$27:$M$66,'Payroll Schedule'!$A$27:$A$66,20)))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E27:H66</t>
        </is>
      </c>
      <c r="E18" s="39">
        <f>SUMPRODUCT(ABS('Payroll Schedule'!G27:G66-('Payroll Schedule'!E27:E66+'Payroll Schedule'!F27:F66)))+SUMPRODUCT(ABS('Payroll Schedule'!H27:H66-(('Payroll Schedule'!E27:E66+'Payroll Schedule'!G27:G66)/2)))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I27:M66</t>
        </is>
      </c>
      <c r="E19" s="39">
        <f>SUMPRODUCT(ABS('Payroll Schedule'!K27:K66-('Payroll Schedule'!H27:H66*'Payroll Schedule'!I27:I66/4)))+SUMPRODUCT(ABS('Payroll Schedule'!L27:L66-('Payroll Schedule'!K27:K66*'Payroll Schedule'!J27:J66)))+SUMPRODUCT(ABS('Payroll Schedule'!M27:M66-('Payroll Schedule'!K27:K66+'Payroll Schedule'!L27:L66)))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Schedule'!G27:G66</t>
        </is>
      </c>
      <c r="E61" s="39">
        <f>40</f>
        <v/>
      </c>
      <c r="F61" s="39" t="n">
        <v>40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Schedule'!H27:H66</t>
        </is>
      </c>
      <c r="E62" s="39">
        <f>40</f>
        <v/>
      </c>
      <c r="F62" s="39" t="n">
        <v>40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Schedule'!K27:K66</t>
        </is>
      </c>
      <c r="E63" s="39">
        <f>40</f>
        <v/>
      </c>
      <c r="F63" s="39" t="n">
        <v>40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Schedule'!L27:L66</t>
        </is>
      </c>
      <c r="E64" s="39">
        <f>40</f>
        <v/>
      </c>
      <c r="F64" s="39" t="n">
        <v>40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Schedule'!M27:M66</t>
        </is>
      </c>
      <c r="E65" s="39">
        <f>40</f>
        <v/>
      </c>
      <c r="F65" s="39" t="n">
        <v>40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Schedule'!C15:W66</t>
        </is>
      </c>
      <c r="E158" s="39">
        <f>SUMPRODUCT(--ISERROR('Payroll Schedule'!C15:W66))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Express Global Shipping Inc.</t>
        </is>
      </c>
    </row>
    <row r="8">
      <c r="A8" s="45" t="inlineStr">
        <is>
          <t>Business Start Date</t>
        </is>
      </c>
      <c r="B8" s="46" t="inlineStr">
        <is>
          <t>05/15/1998</t>
        </is>
      </c>
    </row>
    <row r="9">
      <c r="A9" s="45" t="inlineStr">
        <is>
          <t>NAICS-6</t>
        </is>
      </c>
      <c r="B9" s="46" t="inlineStr">
        <is>
          <t>488999</t>
        </is>
      </c>
    </row>
    <row r="10">
      <c r="A10" s="45" t="inlineStr">
        <is>
          <t>Draft ID</t>
        </is>
      </c>
      <c r="B10" s="46" t="inlineStr">
        <is>
          <t>6410558a436640bf823ea10f268043dd</t>
        </is>
      </c>
    </row>
    <row r="11">
      <c r="A11" s="45" t="inlineStr">
        <is>
          <t>Planning Run ID</t>
        </is>
      </c>
      <c r="B11" s="46" t="inlineStr">
        <is>
          <t>a196e6849b774857bb585e39ff305471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4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Express Global Shipping Inc. Financial Model</dc:title>
  <dc:subject>Client financial model workbook</dc:subject>
  <dcterms:created xsi:type="dcterms:W3CDTF">2026-05-20T07:45:36Z</dcterms:created>
  <dcterms:modified xsi:type="dcterms:W3CDTF">2026-05-20T07:45:38Z</dcterms:modified>
</cp:coreProperties>
</file>