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donut</t>
        </is>
      </c>
    </row>
    <row r="8">
      <c r="A8" s="8" t="inlineStr">
        <is>
          <t>Primary line of business / donut - Capacity</t>
        </is>
      </c>
      <c r="B8" s="8" t="inlineStr">
        <is>
          <t>Source driver</t>
        </is>
      </c>
      <c r="C8" s="9" t="n">
        <v>15600</v>
      </c>
      <c r="D8" s="9" t="n">
        <v>50535.325</v>
      </c>
      <c r="E8" s="9" t="n">
        <v>50535.325</v>
      </c>
      <c r="F8" s="9" t="n">
        <v>50535.325</v>
      </c>
      <c r="G8" s="9" t="n">
        <v>50535.325</v>
      </c>
      <c r="H8" s="9" t="n">
        <v>50535.325</v>
      </c>
      <c r="I8" s="9" t="n">
        <v>50535.325</v>
      </c>
      <c r="J8" s="9" t="n">
        <v>50535.325</v>
      </c>
      <c r="K8" s="9" t="n">
        <v>50535.325</v>
      </c>
      <c r="L8" s="9" t="n">
        <v>50535.325</v>
      </c>
      <c r="M8" s="9" t="n">
        <v>50535.325</v>
      </c>
      <c r="N8" s="9" t="n">
        <v>50535.325</v>
      </c>
      <c r="O8" s="9" t="n">
        <v>50535.325</v>
      </c>
      <c r="P8" s="9" t="n">
        <v>50535.325</v>
      </c>
      <c r="Q8" s="9" t="n">
        <v>50535.325</v>
      </c>
      <c r="R8" s="9" t="n">
        <v>50535.325</v>
      </c>
      <c r="S8" s="9" t="n">
        <v>50535.325</v>
      </c>
      <c r="T8" s="9" t="n">
        <v>50535.325</v>
      </c>
      <c r="U8" s="9" t="n">
        <v>50535.325</v>
      </c>
      <c r="V8" s="9" t="n">
        <v>50535.325</v>
      </c>
      <c r="W8" s="9" t="n">
        <v>50535.325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donut - Unit Price</t>
        </is>
      </c>
      <c r="B9" s="8" t="inlineStr">
        <is>
          <t>Source driver</t>
        </is>
      </c>
      <c r="C9" s="11" t="n">
        <v>2</v>
      </c>
      <c r="D9" s="11" t="n">
        <v>4</v>
      </c>
      <c r="E9" s="11" t="n">
        <v>4.1</v>
      </c>
      <c r="F9" s="11" t="n">
        <v>4.2</v>
      </c>
      <c r="G9" s="11" t="n">
        <v>4.3</v>
      </c>
      <c r="H9" s="11" t="n">
        <v>4.4</v>
      </c>
      <c r="I9" s="11" t="n">
        <v>4.5</v>
      </c>
      <c r="J9" s="11" t="n">
        <v>4.6</v>
      </c>
      <c r="K9" s="11" t="n">
        <v>4.7</v>
      </c>
      <c r="L9" s="11" t="n">
        <v>4.8</v>
      </c>
      <c r="M9" s="11" t="n">
        <v>4.9</v>
      </c>
      <c r="N9" s="11" t="n">
        <v>5</v>
      </c>
      <c r="O9" s="11" t="n">
        <v>5.055556</v>
      </c>
      <c r="P9" s="11" t="n">
        <v>5.111111</v>
      </c>
      <c r="Q9" s="11" t="n">
        <v>5.166667</v>
      </c>
      <c r="R9" s="11" t="n">
        <v>5.222222</v>
      </c>
      <c r="S9" s="11" t="n">
        <v>5.277778</v>
      </c>
      <c r="T9" s="11" t="n">
        <v>5.333333</v>
      </c>
      <c r="U9" s="11" t="n">
        <v>5.388889</v>
      </c>
      <c r="V9" s="11" t="n">
        <v>5.444444</v>
      </c>
      <c r="W9" s="11" t="n">
        <v>5.5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donut - Utilization</t>
        </is>
      </c>
      <c r="B10" s="8" t="inlineStr">
        <is>
          <t>Source driver</t>
        </is>
      </c>
      <c r="C10" s="13" t="n">
        <v>0.75</v>
      </c>
      <c r="D10" s="13" t="n">
        <v>0.75</v>
      </c>
      <c r="E10" s="13" t="n">
        <v>0.759</v>
      </c>
      <c r="F10" s="13" t="n">
        <v>0.768</v>
      </c>
      <c r="G10" s="13" t="n">
        <v>0.777</v>
      </c>
      <c r="H10" s="13" t="n">
        <v>0.786</v>
      </c>
      <c r="I10" s="13" t="n">
        <v>0.795</v>
      </c>
      <c r="J10" s="13" t="n">
        <v>0.804</v>
      </c>
      <c r="K10" s="13" t="n">
        <v>0.8129999999999999</v>
      </c>
      <c r="L10" s="13" t="n">
        <v>0.822</v>
      </c>
      <c r="M10" s="13" t="n">
        <v>0.831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donut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0.01</v>
      </c>
      <c r="E18" s="13" t="n">
        <v>0.01</v>
      </c>
      <c r="F18" s="13" t="n">
        <v>0.01</v>
      </c>
      <c r="G18" s="13" t="n">
        <v>0.01</v>
      </c>
      <c r="H18" s="13" t="n">
        <v>0.01</v>
      </c>
      <c r="I18" s="13" t="n">
        <v>0.01</v>
      </c>
      <c r="J18" s="13" t="n">
        <v>0.01</v>
      </c>
      <c r="K18" s="13" t="n">
        <v>0.01</v>
      </c>
      <c r="L18" s="13" t="n">
        <v>0.01</v>
      </c>
      <c r="M18" s="13" t="n">
        <v>0.01</v>
      </c>
      <c r="N18" s="13" t="n">
        <v>0.01</v>
      </c>
      <c r="O18" s="13" t="n">
        <v>0.01</v>
      </c>
      <c r="P18" s="13" t="n">
        <v>0.01</v>
      </c>
      <c r="Q18" s="13" t="n">
        <v>0.01</v>
      </c>
      <c r="R18" s="13" t="n">
        <v>0.01</v>
      </c>
      <c r="S18" s="13" t="n">
        <v>0.01</v>
      </c>
      <c r="T18" s="13" t="n">
        <v>0.01</v>
      </c>
      <c r="U18" s="13" t="n">
        <v>0.01</v>
      </c>
      <c r="V18" s="13" t="n">
        <v>0.01</v>
      </c>
      <c r="W18" s="13" t="n">
        <v>0.01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0.06</v>
      </c>
      <c r="E19" s="13" t="n">
        <v>0.06</v>
      </c>
      <c r="F19" s="13" t="n">
        <v>0.06</v>
      </c>
      <c r="G19" s="13" t="n">
        <v>0.06</v>
      </c>
      <c r="H19" s="13" t="n">
        <v>0.06</v>
      </c>
      <c r="I19" s="13" t="n">
        <v>0.06</v>
      </c>
      <c r="J19" s="13" t="n">
        <v>0.06</v>
      </c>
      <c r="K19" s="13" t="n">
        <v>0.06</v>
      </c>
      <c r="L19" s="13" t="n">
        <v>0.06</v>
      </c>
      <c r="M19" s="13" t="n">
        <v>0.06</v>
      </c>
      <c r="N19" s="13" t="n">
        <v>0.06</v>
      </c>
      <c r="O19" s="13" t="n">
        <v>0.06</v>
      </c>
      <c r="P19" s="13" t="n">
        <v>0.06</v>
      </c>
      <c r="Q19" s="13" t="n">
        <v>0.06</v>
      </c>
      <c r="R19" s="13" t="n">
        <v>0.06</v>
      </c>
      <c r="S19" s="13" t="n">
        <v>0.06</v>
      </c>
      <c r="T19" s="13" t="n">
        <v>0.06</v>
      </c>
      <c r="U19" s="13" t="n">
        <v>0.06</v>
      </c>
      <c r="V19" s="13" t="n">
        <v>0.06</v>
      </c>
      <c r="W19" s="13" t="n">
        <v>0.06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0.06</v>
      </c>
      <c r="E20" s="13" t="n">
        <v>0.06</v>
      </c>
      <c r="F20" s="13" t="n">
        <v>0.06</v>
      </c>
      <c r="G20" s="13" t="n">
        <v>0.06</v>
      </c>
      <c r="H20" s="13" t="n">
        <v>0.06</v>
      </c>
      <c r="I20" s="13" t="n">
        <v>0.06</v>
      </c>
      <c r="J20" s="13" t="n">
        <v>0.06</v>
      </c>
      <c r="K20" s="13" t="n">
        <v>0.06</v>
      </c>
      <c r="L20" s="13" t="n">
        <v>0.06</v>
      </c>
      <c r="M20" s="13" t="n">
        <v>0.06</v>
      </c>
      <c r="N20" s="13" t="n">
        <v>0.06</v>
      </c>
      <c r="O20" s="13" t="n">
        <v>0.06</v>
      </c>
      <c r="P20" s="13" t="n">
        <v>0.06</v>
      </c>
      <c r="Q20" s="13" t="n">
        <v>0.06</v>
      </c>
      <c r="R20" s="13" t="n">
        <v>0.06</v>
      </c>
      <c r="S20" s="13" t="n">
        <v>0.06</v>
      </c>
      <c r="T20" s="13" t="n">
        <v>0.06</v>
      </c>
      <c r="U20" s="13" t="n">
        <v>0.06</v>
      </c>
      <c r="V20" s="13" t="n">
        <v>0.06</v>
      </c>
      <c r="W20" s="13" t="n">
        <v>0.06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0.72</v>
      </c>
      <c r="E22" s="13" t="n">
        <v>0.72</v>
      </c>
      <c r="F22" s="13" t="n">
        <v>0.72</v>
      </c>
      <c r="G22" s="13" t="n">
        <v>0.72</v>
      </c>
      <c r="H22" s="13" t="n">
        <v>0.72</v>
      </c>
      <c r="I22" s="13" t="n">
        <v>0.72</v>
      </c>
      <c r="J22" s="13" t="n">
        <v>0.72</v>
      </c>
      <c r="K22" s="13" t="n">
        <v>0.72</v>
      </c>
      <c r="L22" s="13" t="n">
        <v>0.72</v>
      </c>
      <c r="M22" s="13" t="n">
        <v>0.72</v>
      </c>
      <c r="N22" s="13" t="n">
        <v>0.72</v>
      </c>
      <c r="O22" s="13" t="n">
        <v>0.72</v>
      </c>
      <c r="P22" s="13" t="n">
        <v>0.72</v>
      </c>
      <c r="Q22" s="13" t="n">
        <v>0.72</v>
      </c>
      <c r="R22" s="13" t="n">
        <v>0.72</v>
      </c>
      <c r="S22" s="13" t="n">
        <v>0.72</v>
      </c>
      <c r="T22" s="13" t="n">
        <v>0.72</v>
      </c>
      <c r="U22" s="13" t="n">
        <v>0.72</v>
      </c>
      <c r="V22" s="13" t="n">
        <v>0.72</v>
      </c>
      <c r="W22" s="13" t="n">
        <v>0.72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0.8</v>
      </c>
      <c r="E23" s="13" t="n">
        <v>0.8</v>
      </c>
      <c r="F23" s="13" t="n">
        <v>0.8</v>
      </c>
      <c r="G23" s="13" t="n">
        <v>0.8</v>
      </c>
      <c r="H23" s="13" t="n">
        <v>0.8</v>
      </c>
      <c r="I23" s="13" t="n">
        <v>0.8</v>
      </c>
      <c r="J23" s="13" t="n">
        <v>0.8</v>
      </c>
      <c r="K23" s="13" t="n">
        <v>0.8</v>
      </c>
      <c r="L23" s="13" t="n">
        <v>0.8</v>
      </c>
      <c r="M23" s="13" t="n">
        <v>0.8</v>
      </c>
      <c r="N23" s="13" t="n">
        <v>0.8</v>
      </c>
      <c r="O23" s="13" t="n">
        <v>0.8</v>
      </c>
      <c r="P23" s="13" t="n">
        <v>0.8</v>
      </c>
      <c r="Q23" s="13" t="n">
        <v>0.8</v>
      </c>
      <c r="R23" s="13" t="n">
        <v>0.8</v>
      </c>
      <c r="S23" s="13" t="n">
        <v>0.8</v>
      </c>
      <c r="T23" s="13" t="n">
        <v>0.8</v>
      </c>
      <c r="U23" s="13" t="n">
        <v>0.8</v>
      </c>
      <c r="V23" s="13" t="n">
        <v>0.8</v>
      </c>
      <c r="W23" s="13" t="n">
        <v>0.8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0.27</v>
      </c>
      <c r="E24" s="13" t="n">
        <v>0.27</v>
      </c>
      <c r="F24" s="13" t="n">
        <v>0.27</v>
      </c>
      <c r="G24" s="13" t="n">
        <v>0.27</v>
      </c>
      <c r="H24" s="13" t="n">
        <v>0.27</v>
      </c>
      <c r="I24" s="13" t="n">
        <v>0.27</v>
      </c>
      <c r="J24" s="13" t="n">
        <v>0.27</v>
      </c>
      <c r="K24" s="13" t="n">
        <v>0.27</v>
      </c>
      <c r="L24" s="13" t="n">
        <v>0.27</v>
      </c>
      <c r="M24" s="13" t="n">
        <v>0.27</v>
      </c>
      <c r="N24" s="13" t="n">
        <v>0.27</v>
      </c>
      <c r="O24" s="13" t="n">
        <v>0.27</v>
      </c>
      <c r="P24" s="13" t="n">
        <v>0.27</v>
      </c>
      <c r="Q24" s="13" t="n">
        <v>0.27</v>
      </c>
      <c r="R24" s="13" t="n">
        <v>0.27</v>
      </c>
      <c r="S24" s="13" t="n">
        <v>0.27</v>
      </c>
      <c r="T24" s="13" t="n">
        <v>0.27</v>
      </c>
      <c r="U24" s="13" t="n">
        <v>0.27</v>
      </c>
      <c r="V24" s="13" t="n">
        <v>0.27</v>
      </c>
      <c r="W24" s="13" t="n">
        <v>0.27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0.04</v>
      </c>
      <c r="E25" s="13" t="n">
        <v>0.04</v>
      </c>
      <c r="F25" s="13" t="n">
        <v>0.04</v>
      </c>
      <c r="G25" s="13" t="n">
        <v>0.04</v>
      </c>
      <c r="H25" s="13" t="n">
        <v>0.04</v>
      </c>
      <c r="I25" s="13" t="n">
        <v>0.04</v>
      </c>
      <c r="J25" s="13" t="n">
        <v>0.04</v>
      </c>
      <c r="K25" s="13" t="n">
        <v>0.04</v>
      </c>
      <c r="L25" s="13" t="n">
        <v>0.04</v>
      </c>
      <c r="M25" s="13" t="n">
        <v>0.04</v>
      </c>
      <c r="N25" s="13" t="n">
        <v>0.04</v>
      </c>
      <c r="O25" s="13" t="n">
        <v>0.04</v>
      </c>
      <c r="P25" s="13" t="n">
        <v>0.04</v>
      </c>
      <c r="Q25" s="13" t="n">
        <v>0.04</v>
      </c>
      <c r="R25" s="13" t="n">
        <v>0.04</v>
      </c>
      <c r="S25" s="13" t="n">
        <v>0.04</v>
      </c>
      <c r="T25" s="13" t="n">
        <v>0.04</v>
      </c>
      <c r="U25" s="13" t="n">
        <v>0.04</v>
      </c>
      <c r="V25" s="13" t="n">
        <v>0.04</v>
      </c>
      <c r="W25" s="13" t="n">
        <v>0.04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0.27</v>
      </c>
      <c r="E26" s="13" t="n">
        <v>0.27</v>
      </c>
      <c r="F26" s="13" t="n">
        <v>0.27</v>
      </c>
      <c r="G26" s="13" t="n">
        <v>0.27</v>
      </c>
      <c r="H26" s="13" t="n">
        <v>0.27</v>
      </c>
      <c r="I26" s="13" t="n">
        <v>0.27</v>
      </c>
      <c r="J26" s="13" t="n">
        <v>0.27</v>
      </c>
      <c r="K26" s="13" t="n">
        <v>0.27</v>
      </c>
      <c r="L26" s="13" t="n">
        <v>0.27</v>
      </c>
      <c r="M26" s="13" t="n">
        <v>0.27</v>
      </c>
      <c r="N26" s="13" t="n">
        <v>0.27</v>
      </c>
      <c r="O26" s="13" t="n">
        <v>0.27</v>
      </c>
      <c r="P26" s="13" t="n">
        <v>0.27</v>
      </c>
      <c r="Q26" s="13" t="n">
        <v>0.27</v>
      </c>
      <c r="R26" s="13" t="n">
        <v>0.27</v>
      </c>
      <c r="S26" s="13" t="n">
        <v>0.27</v>
      </c>
      <c r="T26" s="13" t="n">
        <v>0.27</v>
      </c>
      <c r="U26" s="13" t="n">
        <v>0.27</v>
      </c>
      <c r="V26" s="13" t="n">
        <v>0.27</v>
      </c>
      <c r="W26" s="13" t="n">
        <v>0.27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0.01</v>
      </c>
      <c r="E27" s="13" t="n">
        <v>0.01</v>
      </c>
      <c r="F27" s="13" t="n">
        <v>0.01</v>
      </c>
      <c r="G27" s="13" t="n">
        <v>0.01</v>
      </c>
      <c r="H27" s="13" t="n">
        <v>0.01</v>
      </c>
      <c r="I27" s="13" t="n">
        <v>0.01</v>
      </c>
      <c r="J27" s="13" t="n">
        <v>0.01</v>
      </c>
      <c r="K27" s="13" t="n">
        <v>0.01</v>
      </c>
      <c r="L27" s="13" t="n">
        <v>0.01</v>
      </c>
      <c r="M27" s="13" t="n">
        <v>0.01</v>
      </c>
      <c r="N27" s="13" t="n">
        <v>0.01</v>
      </c>
      <c r="O27" s="13" t="n">
        <v>0.01</v>
      </c>
      <c r="P27" s="13" t="n">
        <v>0.01</v>
      </c>
      <c r="Q27" s="13" t="n">
        <v>0.01</v>
      </c>
      <c r="R27" s="13" t="n">
        <v>0.01</v>
      </c>
      <c r="S27" s="13" t="n">
        <v>0.01</v>
      </c>
      <c r="T27" s="13" t="n">
        <v>0.01</v>
      </c>
      <c r="U27" s="13" t="n">
        <v>0.01</v>
      </c>
      <c r="V27" s="13" t="n">
        <v>0.01</v>
      </c>
      <c r="W27" s="13" t="n">
        <v>0.01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0.02</v>
      </c>
      <c r="I28" s="13" t="n">
        <v>0.02</v>
      </c>
      <c r="J28" s="13" t="n">
        <v>0.02</v>
      </c>
      <c r="K28" s="13" t="n">
        <v>0.02</v>
      </c>
      <c r="L28" s="13" t="n">
        <v>0.02</v>
      </c>
      <c r="M28" s="13" t="n">
        <v>0.02</v>
      </c>
      <c r="N28" s="13" t="n">
        <v>0.02</v>
      </c>
      <c r="O28" s="13" t="n">
        <v>0.02</v>
      </c>
      <c r="P28" s="13" t="n">
        <v>0.02</v>
      </c>
      <c r="Q28" s="13" t="n">
        <v>0.02</v>
      </c>
      <c r="R28" s="13" t="n">
        <v>0.02</v>
      </c>
      <c r="S28" s="13" t="n">
        <v>0.02</v>
      </c>
      <c r="T28" s="13" t="n">
        <v>0.02</v>
      </c>
      <c r="U28" s="13" t="n">
        <v>0.02</v>
      </c>
      <c r="V28" s="13" t="n">
        <v>0.02</v>
      </c>
      <c r="W28" s="13" t="n">
        <v>0.02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floor</t>
        </is>
      </c>
    </row>
    <row r="10">
      <c r="A10" t="inlineStr">
        <is>
          <t>Wage Positioning Multiplier</t>
        </is>
      </c>
      <c r="B10" t="n">
        <v>1.05</v>
      </c>
    </row>
    <row r="11">
      <c r="A11" t="inlineStr">
        <is>
          <t>Capacity Units per Supporting FTE</t>
        </is>
      </c>
      <c r="B11" t="n">
        <v>20214.13</v>
      </c>
    </row>
    <row r="12">
      <c r="A12" t="inlineStr">
        <is>
          <t>Target Payroll % of Revenue</t>
        </is>
      </c>
      <c r="B12" t="n">
        <v>0.45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Owner and Manager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75820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Owner and Manager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75820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Owner and Manager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75820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Owner and Manager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75820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Owner and Manager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78095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Owner and Manager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78095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Owner and Manager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78095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Owner and Manager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78095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Owner and Manager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80437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Owner and Manager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80437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Owner and Manager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80437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Owner and Manager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80437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Owner and Manager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82851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Owner and Manager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82851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Owner and Manager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82851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Owner and Manager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82851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Owner and Manager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85336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Owner and Manager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85336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Owner and Manager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85336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Owner and Manager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85336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Lead Baker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36550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Lead Baker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36550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Lead Baker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36550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Lead Baker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36550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Lead Baker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37646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Lead Baker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37646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Lead Baker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37646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Lead Baker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37646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Lead Baker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38776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Lead Baker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38776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Lead Baker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38776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Lead Baker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38776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Lead Baker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39939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Lead Baker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39939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Lead Baker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39939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Lead Baker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39939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Lead Baker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41137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Lead Baker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41137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Lead Baker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41137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Lead Baker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41137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Fast Food and Counter Workers</t>
        </is>
      </c>
      <c r="D67" t="inlineStr">
        <is>
          <t>Fast Food and Counter Workers</t>
        </is>
      </c>
      <c r="E67" s="29" t="n">
        <v>0.5</v>
      </c>
      <c r="F67" s="29" t="n">
        <v>0</v>
      </c>
      <c r="G67" s="30">
        <f>E67+F67</f>
        <v/>
      </c>
      <c r="H67" s="30">
        <f>(E67+G67)/2</f>
        <v/>
      </c>
      <c r="I67" s="31" t="n">
        <v>36246</v>
      </c>
      <c r="J67" s="32" t="n">
        <v>0.18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Fast Food and Counter Workers</t>
        </is>
      </c>
      <c r="D68" t="inlineStr">
        <is>
          <t>Fast Food and Counter Workers</t>
        </is>
      </c>
      <c r="E68" s="29" t="n">
        <v>0.5</v>
      </c>
      <c r="F68" s="29" t="n">
        <v>0</v>
      </c>
      <c r="G68" s="30">
        <f>E68+F68</f>
        <v/>
      </c>
      <c r="H68" s="30">
        <f>(E68+G68)/2</f>
        <v/>
      </c>
      <c r="I68" s="31" t="n">
        <v>36246</v>
      </c>
      <c r="J68" s="32" t="n">
        <v>0.18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Fast Food and Counter Workers</t>
        </is>
      </c>
      <c r="D69" t="inlineStr">
        <is>
          <t>Fast Food and Counter Workers</t>
        </is>
      </c>
      <c r="E69" s="29" t="n">
        <v>0.5</v>
      </c>
      <c r="F69" s="29" t="n">
        <v>0</v>
      </c>
      <c r="G69" s="30">
        <f>E69+F69</f>
        <v/>
      </c>
      <c r="H69" s="30">
        <f>(E69+G69)/2</f>
        <v/>
      </c>
      <c r="I69" s="31" t="n">
        <v>36246</v>
      </c>
      <c r="J69" s="32" t="n">
        <v>0.18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Fast Food and Counter Workers</t>
        </is>
      </c>
      <c r="D70" t="inlineStr">
        <is>
          <t>Fast Food and Counter Workers</t>
        </is>
      </c>
      <c r="E70" s="29" t="n">
        <v>0.5</v>
      </c>
      <c r="F70" s="29" t="n">
        <v>0</v>
      </c>
      <c r="G70" s="30">
        <f>E70+F70</f>
        <v/>
      </c>
      <c r="H70" s="30">
        <f>(E70+G70)/2</f>
        <v/>
      </c>
      <c r="I70" s="31" t="n">
        <v>36246</v>
      </c>
      <c r="J70" s="32" t="n">
        <v>0.18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Fast Food and Counter Workers</t>
        </is>
      </c>
      <c r="D71" t="inlineStr">
        <is>
          <t>Fast Food and Counter Workers</t>
        </is>
      </c>
      <c r="E71" s="29" t="n">
        <v>0.5</v>
      </c>
      <c r="F71" s="29" t="n">
        <v>0</v>
      </c>
      <c r="G71" s="30">
        <f>E71+F71</f>
        <v/>
      </c>
      <c r="H71" s="30">
        <f>(E71+G71)/2</f>
        <v/>
      </c>
      <c r="I71" s="31" t="n">
        <v>37333</v>
      </c>
      <c r="J71" s="32" t="n">
        <v>0.18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Fast Food and Counter Workers</t>
        </is>
      </c>
      <c r="D72" t="inlineStr">
        <is>
          <t>Fast Food and Counter Workers</t>
        </is>
      </c>
      <c r="E72" s="29" t="n">
        <v>0.5</v>
      </c>
      <c r="F72" s="29" t="n">
        <v>0</v>
      </c>
      <c r="G72" s="30">
        <f>E72+F72</f>
        <v/>
      </c>
      <c r="H72" s="30">
        <f>(E72+G72)/2</f>
        <v/>
      </c>
      <c r="I72" s="31" t="n">
        <v>37333</v>
      </c>
      <c r="J72" s="32" t="n">
        <v>0.18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Fast Food and Counter Workers</t>
        </is>
      </c>
      <c r="D73" t="inlineStr">
        <is>
          <t>Fast Food and Counter Workers</t>
        </is>
      </c>
      <c r="E73" s="29" t="n">
        <v>0.5</v>
      </c>
      <c r="F73" s="29" t="n">
        <v>0</v>
      </c>
      <c r="G73" s="30">
        <f>E73+F73</f>
        <v/>
      </c>
      <c r="H73" s="30">
        <f>(E73+G73)/2</f>
        <v/>
      </c>
      <c r="I73" s="31" t="n">
        <v>37333</v>
      </c>
      <c r="J73" s="32" t="n">
        <v>0.18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Fast Food and Counter Workers</t>
        </is>
      </c>
      <c r="D74" t="inlineStr">
        <is>
          <t>Fast Food and Counter Workers</t>
        </is>
      </c>
      <c r="E74" s="29" t="n">
        <v>0.5</v>
      </c>
      <c r="F74" s="29" t="n">
        <v>0</v>
      </c>
      <c r="G74" s="30">
        <f>E74+F74</f>
        <v/>
      </c>
      <c r="H74" s="30">
        <f>(E74+G74)/2</f>
        <v/>
      </c>
      <c r="I74" s="31" t="n">
        <v>37333</v>
      </c>
      <c r="J74" s="32" t="n">
        <v>0.18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Fast Food and Counter Workers</t>
        </is>
      </c>
      <c r="D75" t="inlineStr">
        <is>
          <t>Fast Food and Counter Workers</t>
        </is>
      </c>
      <c r="E75" s="29" t="n">
        <v>0.5</v>
      </c>
      <c r="F75" s="29" t="n">
        <v>0</v>
      </c>
      <c r="G75" s="30">
        <f>E75+F75</f>
        <v/>
      </c>
      <c r="H75" s="30">
        <f>(E75+G75)/2</f>
        <v/>
      </c>
      <c r="I75" s="31" t="n">
        <v>38453</v>
      </c>
      <c r="J75" s="32" t="n">
        <v>0.18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Fast Food and Counter Workers</t>
        </is>
      </c>
      <c r="D76" t="inlineStr">
        <is>
          <t>Fast Food and Counter Workers</t>
        </is>
      </c>
      <c r="E76" s="29" t="n">
        <v>0.5</v>
      </c>
      <c r="F76" s="29" t="n">
        <v>0</v>
      </c>
      <c r="G76" s="30">
        <f>E76+F76</f>
        <v/>
      </c>
      <c r="H76" s="30">
        <f>(E76+G76)/2</f>
        <v/>
      </c>
      <c r="I76" s="31" t="n">
        <v>38453</v>
      </c>
      <c r="J76" s="32" t="n">
        <v>0.18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Fast Food and Counter Workers</t>
        </is>
      </c>
      <c r="D77" t="inlineStr">
        <is>
          <t>Fast Food and Counter Workers</t>
        </is>
      </c>
      <c r="E77" s="29" t="n">
        <v>0.5</v>
      </c>
      <c r="F77" s="29" t="n">
        <v>0</v>
      </c>
      <c r="G77" s="30">
        <f>E77+F77</f>
        <v/>
      </c>
      <c r="H77" s="30">
        <f>(E77+G77)/2</f>
        <v/>
      </c>
      <c r="I77" s="31" t="n">
        <v>38453</v>
      </c>
      <c r="J77" s="32" t="n">
        <v>0.18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Fast Food and Counter Workers</t>
        </is>
      </c>
      <c r="D78" t="inlineStr">
        <is>
          <t>Fast Food and Counter Workers</t>
        </is>
      </c>
      <c r="E78" s="29" t="n">
        <v>0.5</v>
      </c>
      <c r="F78" s="29" t="n">
        <v>0</v>
      </c>
      <c r="G78" s="30">
        <f>E78+F78</f>
        <v/>
      </c>
      <c r="H78" s="30">
        <f>(E78+G78)/2</f>
        <v/>
      </c>
      <c r="I78" s="31" t="n">
        <v>38453</v>
      </c>
      <c r="J78" s="32" t="n">
        <v>0.18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Fast Food and Counter Workers</t>
        </is>
      </c>
      <c r="D79" t="inlineStr">
        <is>
          <t>Fast Food and Counter Workers</t>
        </is>
      </c>
      <c r="E79" s="29" t="n">
        <v>0.5</v>
      </c>
      <c r="F79" s="29" t="n">
        <v>0</v>
      </c>
      <c r="G79" s="30">
        <f>E79+F79</f>
        <v/>
      </c>
      <c r="H79" s="30">
        <f>(E79+G79)/2</f>
        <v/>
      </c>
      <c r="I79" s="31" t="n">
        <v>39607</v>
      </c>
      <c r="J79" s="32" t="n">
        <v>0.18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Fast Food and Counter Workers</t>
        </is>
      </c>
      <c r="D80" t="inlineStr">
        <is>
          <t>Fast Food and Counter Workers</t>
        </is>
      </c>
      <c r="E80" s="29" t="n">
        <v>0.5</v>
      </c>
      <c r="F80" s="29" t="n">
        <v>0</v>
      </c>
      <c r="G80" s="30">
        <f>E80+F80</f>
        <v/>
      </c>
      <c r="H80" s="30">
        <f>(E80+G80)/2</f>
        <v/>
      </c>
      <c r="I80" s="31" t="n">
        <v>39607</v>
      </c>
      <c r="J80" s="32" t="n">
        <v>0.18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Fast Food and Counter Workers</t>
        </is>
      </c>
      <c r="D81" t="inlineStr">
        <is>
          <t>Fast Food and Counter Workers</t>
        </is>
      </c>
      <c r="E81" s="29" t="n">
        <v>0.5</v>
      </c>
      <c r="F81" s="29" t="n">
        <v>0</v>
      </c>
      <c r="G81" s="30">
        <f>E81+F81</f>
        <v/>
      </c>
      <c r="H81" s="30">
        <f>(E81+G81)/2</f>
        <v/>
      </c>
      <c r="I81" s="31" t="n">
        <v>39607</v>
      </c>
      <c r="J81" s="32" t="n">
        <v>0.18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Fast Food and Counter Workers</t>
        </is>
      </c>
      <c r="D82" t="inlineStr">
        <is>
          <t>Fast Food and Counter Workers</t>
        </is>
      </c>
      <c r="E82" s="29" t="n">
        <v>0.5</v>
      </c>
      <c r="F82" s="29" t="n">
        <v>0</v>
      </c>
      <c r="G82" s="30">
        <f>E82+F82</f>
        <v/>
      </c>
      <c r="H82" s="30">
        <f>(E82+G82)/2</f>
        <v/>
      </c>
      <c r="I82" s="31" t="n">
        <v>39607</v>
      </c>
      <c r="J82" s="32" t="n">
        <v>0.18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Fast Food and Counter Workers</t>
        </is>
      </c>
      <c r="D83" t="inlineStr">
        <is>
          <t>Fast Food and Counter Workers</t>
        </is>
      </c>
      <c r="E83" s="29" t="n">
        <v>0.5</v>
      </c>
      <c r="F83" s="29" t="n">
        <v>0</v>
      </c>
      <c r="G83" s="30">
        <f>E83+F83</f>
        <v/>
      </c>
      <c r="H83" s="30">
        <f>(E83+G83)/2</f>
        <v/>
      </c>
      <c r="I83" s="31" t="n">
        <v>40795</v>
      </c>
      <c r="J83" s="32" t="n">
        <v>0.18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Fast Food and Counter Workers</t>
        </is>
      </c>
      <c r="D84" t="inlineStr">
        <is>
          <t>Fast Food and Counter Workers</t>
        </is>
      </c>
      <c r="E84" s="29" t="n">
        <v>0.5</v>
      </c>
      <c r="F84" s="29" t="n">
        <v>0</v>
      </c>
      <c r="G84" s="30">
        <f>E84+F84</f>
        <v/>
      </c>
      <c r="H84" s="30">
        <f>(E84+G84)/2</f>
        <v/>
      </c>
      <c r="I84" s="31" t="n">
        <v>40795</v>
      </c>
      <c r="J84" s="32" t="n">
        <v>0.18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Fast Food and Counter Workers</t>
        </is>
      </c>
      <c r="D85" t="inlineStr">
        <is>
          <t>Fast Food and Counter Workers</t>
        </is>
      </c>
      <c r="E85" s="29" t="n">
        <v>0.5</v>
      </c>
      <c r="F85" s="29" t="n">
        <v>0</v>
      </c>
      <c r="G85" s="30">
        <f>E85+F85</f>
        <v/>
      </c>
      <c r="H85" s="30">
        <f>(E85+G85)/2</f>
        <v/>
      </c>
      <c r="I85" s="31" t="n">
        <v>40795</v>
      </c>
      <c r="J85" s="32" t="n">
        <v>0.18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Fast Food and Counter Workers</t>
        </is>
      </c>
      <c r="D86" t="inlineStr">
        <is>
          <t>Fast Food and Counter Workers</t>
        </is>
      </c>
      <c r="E86" s="29" t="n">
        <v>0.5</v>
      </c>
      <c r="F86" s="29" t="n">
        <v>0</v>
      </c>
      <c r="G86" s="30">
        <f>E86+F86</f>
        <v/>
      </c>
      <c r="H86" s="30">
        <f>(E86+G86)/2</f>
        <v/>
      </c>
      <c r="I86" s="31" t="n">
        <v>40795</v>
      </c>
      <c r="J86" s="32" t="n">
        <v>0.18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0.02375</v>
      </c>
      <c r="E12" s="13" t="n">
        <v>0.02375</v>
      </c>
      <c r="F12" s="13" t="n">
        <v>0.02375</v>
      </c>
      <c r="G12" s="13" t="n">
        <v>0.02375</v>
      </c>
      <c r="H12" s="13" t="n">
        <v>0.02375</v>
      </c>
      <c r="I12" s="13" t="n">
        <v>0.02375</v>
      </c>
      <c r="J12" s="13" t="n">
        <v>0.02375</v>
      </c>
      <c r="K12" s="13" t="n">
        <v>0.02375</v>
      </c>
      <c r="L12" s="13" t="n">
        <v>0.02375</v>
      </c>
      <c r="M12" s="13" t="n">
        <v>0.02375</v>
      </c>
      <c r="N12" s="13" t="n">
        <v>0.02375</v>
      </c>
      <c r="O12" s="13" t="n">
        <v>0.02375</v>
      </c>
      <c r="P12" s="13" t="n">
        <v>0.02375</v>
      </c>
      <c r="Q12" s="13" t="n">
        <v>0.02375</v>
      </c>
      <c r="R12" s="13" t="n">
        <v>0.02375</v>
      </c>
      <c r="S12" s="13" t="n">
        <v>0.02375</v>
      </c>
      <c r="T12" s="13" t="n">
        <v>0.02375</v>
      </c>
      <c r="U12" s="13" t="n">
        <v>0.02375</v>
      </c>
      <c r="V12" s="13" t="n">
        <v>0.02375</v>
      </c>
      <c r="W12" s="13" t="n">
        <v>0.02375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15000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97.2</v>
      </c>
      <c r="E8" s="35" t="n">
        <v>97.79836299999999</v>
      </c>
      <c r="F8" s="35" t="n">
        <v>98.36891900000001</v>
      </c>
      <c r="G8" s="35" t="n">
        <v>98.91132500000001</v>
      </c>
      <c r="H8" s="35" t="n">
        <v>99.425169</v>
      </c>
      <c r="I8" s="35" t="n">
        <v>99.91016500000001</v>
      </c>
      <c r="J8" s="35" t="n">
        <v>100.365856</v>
      </c>
      <c r="K8" s="35" t="n">
        <v>100.792009</v>
      </c>
      <c r="L8" s="35" t="n">
        <v>101.188323</v>
      </c>
      <c r="M8" s="35" t="n">
        <v>101.554423</v>
      </c>
      <c r="N8" s="35" t="n">
        <v>101.889958</v>
      </c>
      <c r="O8" s="35" t="n">
        <v>102.194609</v>
      </c>
      <c r="P8" s="35" t="n">
        <v>102.468184</v>
      </c>
      <c r="Q8" s="35" t="n">
        <v>102.710317</v>
      </c>
      <c r="R8" s="35" t="n">
        <v>102.92077</v>
      </c>
      <c r="S8" s="35" t="n">
        <v>103.099235</v>
      </c>
      <c r="T8" s="35" t="n">
        <v>103.245429</v>
      </c>
      <c r="U8" s="35" t="n">
        <v>103.359103</v>
      </c>
      <c r="V8" s="35" t="n">
        <v>103.440033</v>
      </c>
      <c r="W8" s="35" t="n">
        <v>103.487926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0.000324</v>
      </c>
      <c r="E10" s="13" t="n">
        <v>0.000646</v>
      </c>
      <c r="F10" s="13" t="n">
        <v>0.000966</v>
      </c>
      <c r="G10" s="13" t="n">
        <v>0.001285</v>
      </c>
      <c r="H10" s="13" t="n">
        <v>0.001602</v>
      </c>
      <c r="I10" s="13" t="n">
        <v>0.001919</v>
      </c>
      <c r="J10" s="13" t="n">
        <v>0.002234</v>
      </c>
      <c r="K10" s="13" t="n">
        <v>0.002548</v>
      </c>
      <c r="L10" s="13" t="n">
        <v>0.002862</v>
      </c>
      <c r="M10" s="13" t="n">
        <v>0.003176</v>
      </c>
      <c r="N10" s="13" t="n">
        <v>0.00349</v>
      </c>
      <c r="O10" s="13" t="n">
        <v>0.003803</v>
      </c>
      <c r="P10" s="13" t="n">
        <v>0.004117</v>
      </c>
      <c r="Q10" s="13" t="n">
        <v>0.004431</v>
      </c>
      <c r="R10" s="13" t="n">
        <v>0.004746</v>
      </c>
      <c r="S10" s="13" t="n">
        <v>0.005062</v>
      </c>
      <c r="T10" s="13" t="n">
        <v>0.005379</v>
      </c>
      <c r="U10" s="13" t="n">
        <v>0.005697</v>
      </c>
      <c r="V10" s="13" t="n">
        <v>0.006017</v>
      </c>
      <c r="W10" s="13" t="n">
        <v>0.006338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3</v>
      </c>
      <c r="E8" s="9" t="n">
        <v>3</v>
      </c>
      <c r="F8" s="9" t="n">
        <v>3</v>
      </c>
      <c r="G8" s="9" t="n">
        <v>3</v>
      </c>
      <c r="H8" s="9" t="n">
        <v>3</v>
      </c>
      <c r="I8" s="9" t="n">
        <v>3</v>
      </c>
      <c r="J8" s="9" t="n">
        <v>3</v>
      </c>
      <c r="K8" s="9" t="n">
        <v>3</v>
      </c>
      <c r="L8" s="9" t="n">
        <v>3</v>
      </c>
      <c r="M8" s="9" t="n">
        <v>3</v>
      </c>
      <c r="N8" s="9" t="n">
        <v>3</v>
      </c>
      <c r="O8" s="9" t="n">
        <v>3</v>
      </c>
      <c r="P8" s="9" t="n">
        <v>3</v>
      </c>
      <c r="Q8" s="9" t="n">
        <v>3</v>
      </c>
      <c r="R8" s="9" t="n">
        <v>3</v>
      </c>
      <c r="S8" s="9" t="n">
        <v>3</v>
      </c>
      <c r="T8" s="9" t="n">
        <v>3</v>
      </c>
      <c r="U8" s="9" t="n">
        <v>3</v>
      </c>
      <c r="V8" s="9" t="n">
        <v>3</v>
      </c>
      <c r="W8" s="9" t="n">
        <v>3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15</v>
      </c>
      <c r="E9" s="9" t="n">
        <v>15</v>
      </c>
      <c r="F9" s="9" t="n">
        <v>15</v>
      </c>
      <c r="G9" s="9" t="n">
        <v>15</v>
      </c>
      <c r="H9" s="9" t="n">
        <v>15</v>
      </c>
      <c r="I9" s="9" t="n">
        <v>15</v>
      </c>
      <c r="J9" s="9" t="n">
        <v>15</v>
      </c>
      <c r="K9" s="9" t="n">
        <v>15</v>
      </c>
      <c r="L9" s="9" t="n">
        <v>15</v>
      </c>
      <c r="M9" s="9" t="n">
        <v>15</v>
      </c>
      <c r="N9" s="9" t="n">
        <v>15</v>
      </c>
      <c r="O9" s="9" t="n">
        <v>15</v>
      </c>
      <c r="P9" s="9" t="n">
        <v>15</v>
      </c>
      <c r="Q9" s="9" t="n">
        <v>15</v>
      </c>
      <c r="R9" s="9" t="n">
        <v>15</v>
      </c>
      <c r="S9" s="9" t="n">
        <v>15</v>
      </c>
      <c r="T9" s="9" t="n">
        <v>15</v>
      </c>
      <c r="U9" s="9" t="n">
        <v>15</v>
      </c>
      <c r="V9" s="9" t="n">
        <v>15</v>
      </c>
      <c r="W9" s="9" t="n">
        <v>15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2000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800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3000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20000</v>
      </c>
      <c r="D7" s="11" t="n">
        <v>166188</v>
      </c>
      <c r="E7" s="11" t="n">
        <v>217463</v>
      </c>
      <c r="F7" s="11" t="n">
        <v>263661</v>
      </c>
      <c r="G7" s="11" t="n">
        <v>305081</v>
      </c>
      <c r="H7" s="11" t="n">
        <v>342558</v>
      </c>
      <c r="I7" s="11" t="n">
        <v>373612</v>
      </c>
      <c r="J7" s="11" t="n">
        <v>398280</v>
      </c>
      <c r="K7" s="11" t="n">
        <v>416415</v>
      </c>
      <c r="L7" s="11" t="n">
        <v>429248</v>
      </c>
      <c r="M7" s="11" t="n">
        <v>434111</v>
      </c>
      <c r="N7" s="11" t="n">
        <v>434111</v>
      </c>
      <c r="O7" s="11" t="n">
        <v>434111</v>
      </c>
      <c r="P7" s="11" t="n">
        <v>434111</v>
      </c>
      <c r="Q7" s="11" t="n">
        <v>434111</v>
      </c>
      <c r="R7" s="11" t="n">
        <v>434111</v>
      </c>
      <c r="S7" s="11" t="n">
        <v>434111</v>
      </c>
      <c r="T7" s="11" t="n">
        <v>434111</v>
      </c>
      <c r="U7" s="11" t="n">
        <v>434111</v>
      </c>
      <c r="V7" s="11" t="n">
        <v>434111</v>
      </c>
      <c r="W7" s="11" t="n">
        <v>434111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8274</v>
      </c>
      <c r="T9" s="11" t="n">
        <v>13264</v>
      </c>
      <c r="U9" s="11" t="n">
        <v>16435</v>
      </c>
      <c r="V9" s="11" t="n">
        <v>19085</v>
      </c>
      <c r="W9" s="11" t="n">
        <v>21283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6000</v>
      </c>
      <c r="D12" s="11" t="n">
        <v>6000</v>
      </c>
      <c r="E12" s="11" t="n">
        <v>6000</v>
      </c>
      <c r="F12" s="11" t="n">
        <v>6000</v>
      </c>
      <c r="G12" s="11" t="n">
        <v>6000</v>
      </c>
      <c r="H12" s="11" t="n">
        <v>6000</v>
      </c>
      <c r="I12" s="11" t="n">
        <v>6000</v>
      </c>
      <c r="J12" s="11" t="n">
        <v>6000</v>
      </c>
      <c r="K12" s="11" t="n">
        <v>6000</v>
      </c>
      <c r="L12" s="11" t="n">
        <v>6000</v>
      </c>
      <c r="M12" s="11" t="n">
        <v>6000</v>
      </c>
      <c r="N12" s="11" t="n">
        <v>6000</v>
      </c>
      <c r="O12" s="11" t="n">
        <v>6000</v>
      </c>
      <c r="P12" s="11" t="n">
        <v>6000</v>
      </c>
      <c r="Q12" s="11" t="n">
        <v>6000</v>
      </c>
      <c r="R12" s="11" t="n">
        <v>6000</v>
      </c>
      <c r="S12" s="11" t="n">
        <v>6000</v>
      </c>
      <c r="T12" s="11" t="n">
        <v>6000</v>
      </c>
      <c r="U12" s="11" t="n">
        <v>6000</v>
      </c>
      <c r="V12" s="11" t="n">
        <v>6000</v>
      </c>
      <c r="W12" s="11" t="n">
        <v>6000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donut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donut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donut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donut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0.29</v>
      </c>
      <c r="D12" s="14" t="n">
        <v>0.73</v>
      </c>
      <c r="E12" s="14" t="n">
        <v>0.7170000000000001</v>
      </c>
      <c r="F12" s="14" t="n">
        <v>0.704</v>
      </c>
      <c r="G12" s="14" t="n">
        <v>0.6910000000000001</v>
      </c>
      <c r="H12" s="14" t="n">
        <v>0.6779999999999999</v>
      </c>
      <c r="I12" s="14" t="n">
        <v>0.665</v>
      </c>
      <c r="J12" s="14" t="n">
        <v>0.6519999999999999</v>
      </c>
      <c r="K12" s="14" t="n">
        <v>0.639</v>
      </c>
      <c r="L12" s="14" t="n">
        <v>0.6259999999999999</v>
      </c>
      <c r="M12" s="14" t="n">
        <v>0.613</v>
      </c>
      <c r="N12" s="14" t="n">
        <v>0.6</v>
      </c>
      <c r="O12" s="14" t="n">
        <v>0.5944444444444444</v>
      </c>
      <c r="P12" s="14" t="n">
        <v>0.5888888888888889</v>
      </c>
      <c r="Q12" s="14" t="n">
        <v>0.5833333333333334</v>
      </c>
      <c r="R12" s="14" t="n">
        <v>0.5777777777777777</v>
      </c>
      <c r="S12" s="14" t="n">
        <v>0.5722222222222222</v>
      </c>
      <c r="T12" s="14" t="n">
        <v>0.5666666666666667</v>
      </c>
      <c r="U12" s="14" t="n">
        <v>0.5611111111111111</v>
      </c>
      <c r="V12" s="14" t="n">
        <v>0.5555555555555556</v>
      </c>
      <c r="W12" s="14" t="n">
        <v>0.55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0.027027</v>
      </c>
      <c r="D13" s="14" t="n">
        <v>0.165</v>
      </c>
      <c r="E13" s="14" t="n">
        <v>0.1565</v>
      </c>
      <c r="F13" s="14" t="n">
        <v>0.148</v>
      </c>
      <c r="G13" s="14" t="n">
        <v>0.1395</v>
      </c>
      <c r="H13" s="14" t="n">
        <v>0.131</v>
      </c>
      <c r="I13" s="14" t="n">
        <v>0.1225</v>
      </c>
      <c r="J13" s="14" t="n">
        <v>0.114</v>
      </c>
      <c r="K13" s="14" t="n">
        <v>0.1055</v>
      </c>
      <c r="L13" s="14" t="n">
        <v>0.097</v>
      </c>
      <c r="M13" s="14" t="n">
        <v>0.08850000000000001</v>
      </c>
      <c r="N13" s="14" t="n">
        <v>0.08</v>
      </c>
      <c r="O13" s="14" t="n">
        <v>0.07777777777777778</v>
      </c>
      <c r="P13" s="14" t="n">
        <v>0.07555555555555556</v>
      </c>
      <c r="Q13" s="14" t="n">
        <v>0.07333333333333333</v>
      </c>
      <c r="R13" s="14" t="n">
        <v>0.07111111111111111</v>
      </c>
      <c r="S13" s="14" t="n">
        <v>0.06888888888888889</v>
      </c>
      <c r="T13" s="14" t="n">
        <v>0.06666666666666667</v>
      </c>
      <c r="U13" s="14" t="n">
        <v>0.06444444444444444</v>
      </c>
      <c r="V13" s="14" t="n">
        <v>0.06222222222222222</v>
      </c>
      <c r="W13" s="14" t="n">
        <v>0.06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45830.625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0.010121</v>
      </c>
      <c r="D17" s="14" t="n">
        <v>0.165</v>
      </c>
      <c r="E17" s="14" t="n">
        <v>0.1565</v>
      </c>
      <c r="F17" s="14" t="n">
        <v>0.148</v>
      </c>
      <c r="G17" s="14" t="n">
        <v>0.1395</v>
      </c>
      <c r="H17" s="14" t="n">
        <v>0.131</v>
      </c>
      <c r="I17" s="14" t="n">
        <v>0.1225</v>
      </c>
      <c r="J17" s="14" t="n">
        <v>0.114</v>
      </c>
      <c r="K17" s="14" t="n">
        <v>0.1055</v>
      </c>
      <c r="L17" s="14" t="n">
        <v>0.097</v>
      </c>
      <c r="M17" s="14" t="n">
        <v>0.08850000000000001</v>
      </c>
      <c r="N17" s="14" t="n">
        <v>0.08</v>
      </c>
      <c r="O17" s="14" t="n">
        <v>0.07777777777777778</v>
      </c>
      <c r="P17" s="14" t="n">
        <v>0.07555555555555556</v>
      </c>
      <c r="Q17" s="14" t="n">
        <v>0.07333333333333333</v>
      </c>
      <c r="R17" s="14" t="n">
        <v>0.07111111111111111</v>
      </c>
      <c r="S17" s="14" t="n">
        <v>0.06888888888888889</v>
      </c>
      <c r="T17" s="14" t="n">
        <v>0.06666666666666667</v>
      </c>
      <c r="U17" s="14" t="n">
        <v>0.06444444444444444</v>
      </c>
      <c r="V17" s="14" t="n">
        <v>0.06222222222222222</v>
      </c>
      <c r="W17" s="14" t="n">
        <v>0.06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0.2024</v>
      </c>
      <c r="D22" s="14" t="n">
        <v>0.2024</v>
      </c>
      <c r="E22" s="14" t="n">
        <v>0.2024</v>
      </c>
      <c r="F22" s="14" t="n">
        <v>0.2024</v>
      </c>
      <c r="G22" s="14" t="n">
        <v>0.2024</v>
      </c>
      <c r="H22" s="14" t="n">
        <v>0.2024</v>
      </c>
      <c r="I22" s="14" t="n">
        <v>0.2024</v>
      </c>
      <c r="J22" s="14" t="n">
        <v>0.2024</v>
      </c>
      <c r="K22" s="14" t="n">
        <v>0.2024</v>
      </c>
      <c r="L22" s="14" t="n">
        <v>0.2024</v>
      </c>
      <c r="M22" s="14" t="n">
        <v>0.2024</v>
      </c>
      <c r="N22" s="14" t="n">
        <v>0.2024</v>
      </c>
      <c r="O22" s="14" t="n">
        <v>0.2024</v>
      </c>
      <c r="P22" s="14" t="n">
        <v>0.2024</v>
      </c>
      <c r="Q22" s="14" t="n">
        <v>0.2024</v>
      </c>
      <c r="R22" s="14" t="n">
        <v>0.2024</v>
      </c>
      <c r="S22" s="14" t="n">
        <v>0.2024</v>
      </c>
      <c r="T22" s="14" t="n">
        <v>0.2024</v>
      </c>
      <c r="U22" s="14" t="n">
        <v>0.2024</v>
      </c>
      <c r="V22" s="14" t="n">
        <v>0.2024</v>
      </c>
      <c r="W22" s="14" t="n">
        <v>0.2024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23400</v>
      </c>
      <c r="D7" s="31" t="n">
        <v>151605.975</v>
      </c>
      <c r="E7" s="31" t="n">
        <v>157260.877867</v>
      </c>
      <c r="F7" s="31" t="n">
        <v>163006.74432</v>
      </c>
      <c r="G7" s="31" t="n">
        <v>168843.574357</v>
      </c>
      <c r="H7" s="31" t="n">
        <v>174771.36798</v>
      </c>
      <c r="I7" s="31" t="n">
        <v>180790.125188</v>
      </c>
      <c r="J7" s="31" t="n">
        <v>186899.84598</v>
      </c>
      <c r="K7" s="31" t="n">
        <v>193100.530357</v>
      </c>
      <c r="L7" s="31" t="n">
        <v>199392.17832</v>
      </c>
      <c r="M7" s="31" t="n">
        <v>205774.789867</v>
      </c>
      <c r="N7" s="31" t="n">
        <v>212248.365</v>
      </c>
      <c r="O7" s="31" t="n">
        <v>214606.699033</v>
      </c>
      <c r="P7" s="31" t="n">
        <v>216964.990617</v>
      </c>
      <c r="Q7" s="31" t="n">
        <v>219323.32465</v>
      </c>
      <c r="R7" s="31" t="n">
        <v>221681.616233</v>
      </c>
      <c r="S7" s="31" t="n">
        <v>224039.950267</v>
      </c>
      <c r="T7" s="31" t="n">
        <v>226398.24185</v>
      </c>
      <c r="U7" s="31" t="n">
        <v>228756.575883</v>
      </c>
      <c r="V7" s="31" t="n">
        <v>231114.867467</v>
      </c>
      <c r="W7" s="31" t="n">
        <v>233473.2015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6786</v>
      </c>
      <c r="D8" s="31" t="n">
        <v>110672.36175</v>
      </c>
      <c r="E8" s="31" t="n">
        <v>112756.049431</v>
      </c>
      <c r="F8" s="31" t="n">
        <v>114756.748001</v>
      </c>
      <c r="G8" s="31" t="n">
        <v>116670.909881</v>
      </c>
      <c r="H8" s="31" t="n">
        <v>118494.98749</v>
      </c>
      <c r="I8" s="31" t="n">
        <v>120225.43325</v>
      </c>
      <c r="J8" s="31" t="n">
        <v>121858.699579</v>
      </c>
      <c r="K8" s="31" t="n">
        <v>123391.238898</v>
      </c>
      <c r="L8" s="31" t="n">
        <v>124819.503628</v>
      </c>
      <c r="M8" s="31" t="n">
        <v>126139.946189</v>
      </c>
      <c r="N8" s="31" t="n">
        <v>127349.019</v>
      </c>
      <c r="O8" s="31" t="n">
        <v>127571.759981</v>
      </c>
      <c r="P8" s="31" t="n">
        <v>127768.272252</v>
      </c>
      <c r="Q8" s="31" t="n">
        <v>127938.606046</v>
      </c>
      <c r="R8" s="31" t="n">
        <v>128082.711602</v>
      </c>
      <c r="S8" s="31" t="n">
        <v>128200.638208</v>
      </c>
      <c r="T8" s="31" t="n">
        <v>128292.337048</v>
      </c>
      <c r="U8" s="31" t="n">
        <v>128357.856468</v>
      </c>
      <c r="V8" s="31" t="n">
        <v>128397.148593</v>
      </c>
      <c r="W8" s="31" t="n">
        <v>128410.260825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16614</v>
      </c>
      <c r="D9" s="31" t="n">
        <v>40933.61325</v>
      </c>
      <c r="E9" s="31" t="n">
        <v>44504.828437</v>
      </c>
      <c r="F9" s="31" t="n">
        <v>48249.996319</v>
      </c>
      <c r="G9" s="31" t="n">
        <v>52172.664476</v>
      </c>
      <c r="H9" s="31" t="n">
        <v>56276.38049</v>
      </c>
      <c r="I9" s="31" t="n">
        <v>60564.691938</v>
      </c>
      <c r="J9" s="31" t="n">
        <v>65041.146401</v>
      </c>
      <c r="K9" s="31" t="n">
        <v>69709.291459</v>
      </c>
      <c r="L9" s="31" t="n">
        <v>74572.674692</v>
      </c>
      <c r="M9" s="31" t="n">
        <v>79634.843679</v>
      </c>
      <c r="N9" s="31" t="n">
        <v>84899.34600000001</v>
      </c>
      <c r="O9" s="31" t="n">
        <v>87034.939052</v>
      </c>
      <c r="P9" s="31" t="n">
        <v>89196.71836499999</v>
      </c>
      <c r="Q9" s="31" t="n">
        <v>91384.71860399999</v>
      </c>
      <c r="R9" s="31" t="n">
        <v>93598.90463200001</v>
      </c>
      <c r="S9" s="31" t="n">
        <v>95839.312058</v>
      </c>
      <c r="T9" s="31" t="n">
        <v>98105.904802</v>
      </c>
      <c r="U9" s="31" t="n">
        <v>100398.719415</v>
      </c>
      <c r="V9" s="31" t="n">
        <v>102717.718874</v>
      </c>
      <c r="W9" s="31" t="n">
        <v>105062.940675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632.4318</v>
      </c>
      <c r="D10" s="31" t="n">
        <v>25014.985875</v>
      </c>
      <c r="E10" s="31" t="n">
        <v>24611.327386</v>
      </c>
      <c r="F10" s="31" t="n">
        <v>24124.998159</v>
      </c>
      <c r="G10" s="31" t="n">
        <v>23553.678623</v>
      </c>
      <c r="H10" s="31" t="n">
        <v>22895.049205</v>
      </c>
      <c r="I10" s="31" t="n">
        <v>22146.790335</v>
      </c>
      <c r="J10" s="31" t="n">
        <v>21306.582442</v>
      </c>
      <c r="K10" s="31" t="n">
        <v>20372.105953</v>
      </c>
      <c r="L10" s="31" t="n">
        <v>19341.041297</v>
      </c>
      <c r="M10" s="31" t="n">
        <v>18211.068903</v>
      </c>
      <c r="N10" s="31" t="n">
        <v>16979.8692</v>
      </c>
      <c r="O10" s="31" t="n">
        <v>16691.632147</v>
      </c>
      <c r="P10" s="31" t="n">
        <v>16392.910402</v>
      </c>
      <c r="Q10" s="31" t="n">
        <v>16083.710474</v>
      </c>
      <c r="R10" s="31" t="n">
        <v>15764.026043</v>
      </c>
      <c r="S10" s="31" t="n">
        <v>15433.863241</v>
      </c>
      <c r="T10" s="31" t="n">
        <v>15093.216123</v>
      </c>
      <c r="U10" s="31" t="n">
        <v>14742.090446</v>
      </c>
      <c r="V10" s="31" t="n">
        <v>14380.480642</v>
      </c>
      <c r="W10" s="31" t="n">
        <v>14008.39209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6000</v>
      </c>
      <c r="D12" s="31" t="n">
        <v>6000</v>
      </c>
      <c r="E12" s="31" t="n">
        <v>6000</v>
      </c>
      <c r="F12" s="31" t="n">
        <v>6000</v>
      </c>
      <c r="G12" s="31" t="n">
        <v>6000</v>
      </c>
      <c r="H12" s="31" t="n">
        <v>6000</v>
      </c>
      <c r="I12" s="31" t="n">
        <v>6000</v>
      </c>
      <c r="J12" s="31" t="n">
        <v>6000</v>
      </c>
      <c r="K12" s="31" t="n">
        <v>6000</v>
      </c>
      <c r="L12" s="31" t="n">
        <v>6000</v>
      </c>
      <c r="M12" s="31" t="n">
        <v>6000</v>
      </c>
      <c r="N12" s="31" t="n">
        <v>6000</v>
      </c>
      <c r="O12" s="31" t="n">
        <v>6000</v>
      </c>
      <c r="P12" s="31" t="n">
        <v>6000</v>
      </c>
      <c r="Q12" s="31" t="n">
        <v>6000</v>
      </c>
      <c r="R12" s="31" t="n">
        <v>6000</v>
      </c>
      <c r="S12" s="31" t="n">
        <v>6000</v>
      </c>
      <c r="T12" s="31" t="n">
        <v>6000</v>
      </c>
      <c r="U12" s="31" t="n">
        <v>6000</v>
      </c>
      <c r="V12" s="31" t="n">
        <v>6000</v>
      </c>
      <c r="W12" s="31" t="n">
        <v>6000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45830.625</v>
      </c>
      <c r="D13" s="31" t="n">
        <v>39620</v>
      </c>
      <c r="E13" s="31" t="n">
        <v>39620</v>
      </c>
      <c r="F13" s="31" t="n">
        <v>39620</v>
      </c>
      <c r="G13" s="31" t="n">
        <v>39620</v>
      </c>
      <c r="H13" s="31" t="n">
        <v>40809</v>
      </c>
      <c r="I13" s="31" t="n">
        <v>40809</v>
      </c>
      <c r="J13" s="31" t="n">
        <v>40809</v>
      </c>
      <c r="K13" s="31" t="n">
        <v>40809</v>
      </c>
      <c r="L13" s="31" t="n">
        <v>42032</v>
      </c>
      <c r="M13" s="31" t="n">
        <v>42032</v>
      </c>
      <c r="N13" s="31" t="n">
        <v>42032</v>
      </c>
      <c r="O13" s="31" t="n">
        <v>42032</v>
      </c>
      <c r="P13" s="31" t="n">
        <v>43294</v>
      </c>
      <c r="Q13" s="31" t="n">
        <v>43294</v>
      </c>
      <c r="R13" s="31" t="n">
        <v>43294</v>
      </c>
      <c r="S13" s="31" t="n">
        <v>43294</v>
      </c>
      <c r="T13" s="31" t="n">
        <v>44590</v>
      </c>
      <c r="U13" s="31" t="n">
        <v>44590</v>
      </c>
      <c r="V13" s="31" t="n">
        <v>44590</v>
      </c>
      <c r="W13" s="31" t="n">
        <v>44590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236.8314</v>
      </c>
      <c r="D14" s="31" t="n">
        <v>25014.985875</v>
      </c>
      <c r="E14" s="31" t="n">
        <v>24611.327386</v>
      </c>
      <c r="F14" s="31" t="n">
        <v>24124.998159</v>
      </c>
      <c r="G14" s="31" t="n">
        <v>23553.678623</v>
      </c>
      <c r="H14" s="31" t="n">
        <v>22895.049205</v>
      </c>
      <c r="I14" s="31" t="n">
        <v>22146.790335</v>
      </c>
      <c r="J14" s="31" t="n">
        <v>21306.582442</v>
      </c>
      <c r="K14" s="31" t="n">
        <v>20372.105953</v>
      </c>
      <c r="L14" s="31" t="n">
        <v>19341.041297</v>
      </c>
      <c r="M14" s="31" t="n">
        <v>18211.068903</v>
      </c>
      <c r="N14" s="31" t="n">
        <v>16979.8692</v>
      </c>
      <c r="O14" s="31" t="n">
        <v>16691.632147</v>
      </c>
      <c r="P14" s="31" t="n">
        <v>16392.910402</v>
      </c>
      <c r="Q14" s="31" t="n">
        <v>16083.710474</v>
      </c>
      <c r="R14" s="31" t="n">
        <v>15764.026043</v>
      </c>
      <c r="S14" s="31" t="n">
        <v>15433.863241</v>
      </c>
      <c r="T14" s="31" t="n">
        <v>15093.216123</v>
      </c>
      <c r="U14" s="31" t="n">
        <v>14742.090446</v>
      </c>
      <c r="V14" s="31" t="n">
        <v>14380.480642</v>
      </c>
      <c r="W14" s="31" t="n">
        <v>14008.39209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-36085.8882</v>
      </c>
      <c r="D15" s="31" t="n">
        <v>-54716.3585</v>
      </c>
      <c r="E15" s="31" t="n">
        <v>-50337.826336</v>
      </c>
      <c r="F15" s="31" t="n">
        <v>-45620</v>
      </c>
      <c r="G15" s="31" t="n">
        <v>-40554.692769</v>
      </c>
      <c r="H15" s="31" t="n">
        <v>-36322.717921</v>
      </c>
      <c r="I15" s="31" t="n">
        <v>-30537.888733</v>
      </c>
      <c r="J15" s="31" t="n">
        <v>-24381.018482</v>
      </c>
      <c r="K15" s="31" t="n">
        <v>-17843.920446</v>
      </c>
      <c r="L15" s="31" t="n">
        <v>-12141.407902</v>
      </c>
      <c r="M15" s="31" t="n">
        <v>-4819.294128</v>
      </c>
      <c r="N15" s="31" t="n">
        <v>2907.6076</v>
      </c>
      <c r="O15" s="31" t="n">
        <v>5619.674758</v>
      </c>
      <c r="P15" s="31" t="n">
        <v>7116.89756</v>
      </c>
      <c r="Q15" s="31" t="n">
        <v>9923.297655</v>
      </c>
      <c r="R15" s="31" t="n">
        <v>12776.852545</v>
      </c>
      <c r="S15" s="31" t="n">
        <v>15677.585577</v>
      </c>
      <c r="T15" s="31" t="n">
        <v>17329.472555</v>
      </c>
      <c r="U15" s="31" t="n">
        <v>20324.538524</v>
      </c>
      <c r="V15" s="31" t="n">
        <v>23366.757589</v>
      </c>
      <c r="W15" s="31" t="n">
        <v>26456.156495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4.86</v>
      </c>
      <c r="E17" s="31" t="n">
        <v>9.749651999999999</v>
      </c>
      <c r="F17" s="31" t="n">
        <v>14.664255</v>
      </c>
      <c r="G17" s="31" t="n">
        <v>19.61436</v>
      </c>
      <c r="H17" s="31" t="n">
        <v>24.580111</v>
      </c>
      <c r="I17" s="31" t="n">
        <v>29.587594</v>
      </c>
      <c r="J17" s="31" t="n">
        <v>34.601439</v>
      </c>
      <c r="K17" s="31" t="n">
        <v>39.632413</v>
      </c>
      <c r="L17" s="31" t="n">
        <v>44.691509</v>
      </c>
      <c r="M17" s="31" t="n">
        <v>49.774205</v>
      </c>
      <c r="N17" s="31" t="n">
        <v>54.875919</v>
      </c>
      <c r="O17" s="31" t="n">
        <v>59.97625</v>
      </c>
      <c r="P17" s="31" t="n">
        <v>65.102086</v>
      </c>
      <c r="Q17" s="31" t="n">
        <v>70.232934</v>
      </c>
      <c r="R17" s="31" t="n">
        <v>75.37993400000001</v>
      </c>
      <c r="S17" s="31" t="n">
        <v>80.53832199999999</v>
      </c>
      <c r="T17" s="31" t="n">
        <v>85.703266</v>
      </c>
      <c r="U17" s="31" t="n">
        <v>90.869878</v>
      </c>
      <c r="V17" s="31" t="n">
        <v>96.049179</v>
      </c>
      <c r="W17" s="31" t="n">
        <v>101.220135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577.392892</v>
      </c>
      <c r="O18" s="31" t="n">
        <v>1125.282978</v>
      </c>
      <c r="P18" s="31" t="n">
        <v>1427.283404</v>
      </c>
      <c r="Q18" s="31" t="n">
        <v>1994.2603</v>
      </c>
      <c r="R18" s="31" t="n">
        <v>2570.778056</v>
      </c>
      <c r="S18" s="31" t="n">
        <v>3156.842364</v>
      </c>
      <c r="T18" s="31" t="n">
        <v>3490.138904</v>
      </c>
      <c r="U18" s="31" t="n">
        <v>4095.294534</v>
      </c>
      <c r="V18" s="31" t="n">
        <v>4709.991382</v>
      </c>
      <c r="W18" s="31" t="n">
        <v>5334.239119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-36085.8882</v>
      </c>
      <c r="D19" s="31" t="n">
        <v>-54721.2185</v>
      </c>
      <c r="E19" s="31" t="n">
        <v>-50347.575988</v>
      </c>
      <c r="F19" s="31" t="n">
        <v>-45634.664255</v>
      </c>
      <c r="G19" s="31" t="n">
        <v>-40574.307129</v>
      </c>
      <c r="H19" s="31" t="n">
        <v>-36347.298033</v>
      </c>
      <c r="I19" s="31" t="n">
        <v>-30567.476327</v>
      </c>
      <c r="J19" s="31" t="n">
        <v>-24415.619921</v>
      </c>
      <c r="K19" s="31" t="n">
        <v>-17883.55286</v>
      </c>
      <c r="L19" s="31" t="n">
        <v>-12186.099412</v>
      </c>
      <c r="M19" s="31" t="n">
        <v>-4869.068332</v>
      </c>
      <c r="N19" s="31" t="n">
        <v>2275.338789</v>
      </c>
      <c r="O19" s="31" t="n">
        <v>4434.41553</v>
      </c>
      <c r="P19" s="31" t="n">
        <v>5624.512071</v>
      </c>
      <c r="Q19" s="31" t="n">
        <v>7858.804422</v>
      </c>
      <c r="R19" s="31" t="n">
        <v>10130.694554</v>
      </c>
      <c r="S19" s="31" t="n">
        <v>12440.204891</v>
      </c>
      <c r="T19" s="31" t="n">
        <v>13753.630385</v>
      </c>
      <c r="U19" s="31" t="n">
        <v>16138.374112</v>
      </c>
      <c r="V19" s="31" t="n">
        <v>18560.717028</v>
      </c>
      <c r="W19" s="31" t="n">
        <v>21020.697241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2000</v>
      </c>
      <c r="D23" s="31" t="n">
        <v>103160.664228</v>
      </c>
      <c r="E23" s="31" t="n">
        <v>103800.465424</v>
      </c>
      <c r="F23" s="31" t="n">
        <v>104313.222335</v>
      </c>
      <c r="G23" s="31" t="n">
        <v>104698.279272</v>
      </c>
      <c r="H23" s="31" t="n">
        <v>105548.412803</v>
      </c>
      <c r="I23" s="31" t="n">
        <v>105664.188868</v>
      </c>
      <c r="J23" s="31" t="n">
        <v>105640.114983</v>
      </c>
      <c r="K23" s="31" t="n">
        <v>105471.810081</v>
      </c>
      <c r="L23" s="31" t="n">
        <v>105766.173215</v>
      </c>
      <c r="M23" s="31" t="n">
        <v>105296.797496</v>
      </c>
      <c r="N23" s="31" t="n">
        <v>107289.007412</v>
      </c>
      <c r="O23" s="31" t="n">
        <v>111475.318243</v>
      </c>
      <c r="P23" s="31" t="n">
        <v>117064.250898</v>
      </c>
      <c r="Q23" s="31" t="n">
        <v>124784.19751</v>
      </c>
      <c r="R23" s="31" t="n">
        <v>134978.427175</v>
      </c>
      <c r="S23" s="31" t="n">
        <v>138908.22959</v>
      </c>
      <c r="T23" s="31" t="n">
        <v>139379.865782</v>
      </c>
      <c r="U23" s="31" t="n">
        <v>138954.116662</v>
      </c>
      <c r="V23" s="31" t="n">
        <v>138497.707402</v>
      </c>
      <c r="W23" s="31" t="n">
        <v>138011.738516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1" t="n">
        <v>0</v>
      </c>
      <c r="Q24" s="31" t="n">
        <v>0</v>
      </c>
      <c r="R24" s="31" t="n">
        <v>0</v>
      </c>
      <c r="S24" s="31" t="n">
        <v>0</v>
      </c>
      <c r="T24" s="31" t="n">
        <v>0</v>
      </c>
      <c r="U24" s="31" t="n">
        <v>0</v>
      </c>
      <c r="V24" s="31" t="n">
        <v>0</v>
      </c>
      <c r="W24" s="31" t="n">
        <v>0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800</v>
      </c>
      <c r="D25" s="31" t="n">
        <v>3608.881361</v>
      </c>
      <c r="E25" s="31" t="n">
        <v>3676.827699</v>
      </c>
      <c r="F25" s="31" t="n">
        <v>3825.224933</v>
      </c>
      <c r="G25" s="31" t="n">
        <v>3846.293732</v>
      </c>
      <c r="H25" s="31" t="n">
        <v>3863.966983</v>
      </c>
      <c r="I25" s="31" t="n">
        <v>3920.394562</v>
      </c>
      <c r="J25" s="31" t="n">
        <v>4017.319766</v>
      </c>
      <c r="K25" s="31" t="n">
        <v>4067.843041</v>
      </c>
      <c r="L25" s="31" t="n">
        <v>4070.201205</v>
      </c>
      <c r="M25" s="31" t="n">
        <v>4113.259115</v>
      </c>
      <c r="N25" s="31" t="n">
        <v>4244.9673</v>
      </c>
      <c r="O25" s="31" t="n">
        <v>4205.662417</v>
      </c>
      <c r="P25" s="31" t="n">
        <v>4166.356704</v>
      </c>
      <c r="Q25" s="31" t="n">
        <v>4171.911067</v>
      </c>
      <c r="R25" s="31" t="n">
        <v>4269.42372</v>
      </c>
      <c r="S25" s="31" t="n">
        <v>4226.394666</v>
      </c>
      <c r="T25" s="31" t="n">
        <v>4183.445773</v>
      </c>
      <c r="U25" s="31" t="n">
        <v>4185.582276</v>
      </c>
      <c r="V25" s="31" t="n">
        <v>4279.904953</v>
      </c>
      <c r="W25" s="31" t="n">
        <v>4233.305302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2800</v>
      </c>
      <c r="D26" s="31" t="n">
        <v>106769.54559</v>
      </c>
      <c r="E26" s="31" t="n">
        <v>107477.293123</v>
      </c>
      <c r="F26" s="31" t="n">
        <v>108138.447268</v>
      </c>
      <c r="G26" s="31" t="n">
        <v>108544.573004</v>
      </c>
      <c r="H26" s="31" t="n">
        <v>109412.379786</v>
      </c>
      <c r="I26" s="31" t="n">
        <v>109584.583431</v>
      </c>
      <c r="J26" s="31" t="n">
        <v>109657.434749</v>
      </c>
      <c r="K26" s="31" t="n">
        <v>109539.653122</v>
      </c>
      <c r="L26" s="31" t="n">
        <v>109836.374421</v>
      </c>
      <c r="M26" s="31" t="n">
        <v>109410.056611</v>
      </c>
      <c r="N26" s="31" t="n">
        <v>111533.974712</v>
      </c>
      <c r="O26" s="31" t="n">
        <v>115680.98066</v>
      </c>
      <c r="P26" s="31" t="n">
        <v>121230.607602</v>
      </c>
      <c r="Q26" s="31" t="n">
        <v>128956.108577</v>
      </c>
      <c r="R26" s="31" t="n">
        <v>139247.850895</v>
      </c>
      <c r="S26" s="31" t="n">
        <v>143134.624256</v>
      </c>
      <c r="T26" s="31" t="n">
        <v>143563.311555</v>
      </c>
      <c r="U26" s="31" t="n">
        <v>143139.698938</v>
      </c>
      <c r="V26" s="31" t="n">
        <v>142777.612355</v>
      </c>
      <c r="W26" s="31" t="n">
        <v>142245.043818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15000</v>
      </c>
      <c r="D27" s="31" t="n">
        <v>15092.34</v>
      </c>
      <c r="E27" s="31" t="n">
        <v>15180.388711</v>
      </c>
      <c r="F27" s="31" t="n">
        <v>15264.093375</v>
      </c>
      <c r="G27" s="31" t="n">
        <v>15343.39034</v>
      </c>
      <c r="H27" s="31" t="n">
        <v>15418.235398</v>
      </c>
      <c r="I27" s="31" t="n">
        <v>15488.557969</v>
      </c>
      <c r="J27" s="31" t="n">
        <v>15554.322386</v>
      </c>
      <c r="K27" s="31" t="n">
        <v>15615.481982</v>
      </c>
      <c r="L27" s="31" t="n">
        <v>15671.978795</v>
      </c>
      <c r="M27" s="31" t="n">
        <v>15723.759014</v>
      </c>
      <c r="N27" s="31" t="n">
        <v>15770.773053</v>
      </c>
      <c r="O27" s="31" t="n">
        <v>15812.991412</v>
      </c>
      <c r="P27" s="31" t="n">
        <v>15850.35751</v>
      </c>
      <c r="Q27" s="31" t="n">
        <v>15882.834893</v>
      </c>
      <c r="R27" s="31" t="n">
        <v>15910.375729</v>
      </c>
      <c r="S27" s="31" t="n">
        <v>15932.936642</v>
      </c>
      <c r="T27" s="31" t="n">
        <v>15950.478805</v>
      </c>
      <c r="U27" s="31" t="n">
        <v>15962.96803</v>
      </c>
      <c r="V27" s="31" t="n">
        <v>15970.358884</v>
      </c>
      <c r="W27" s="31" t="n">
        <v>15972.626676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-4.86</v>
      </c>
      <c r="E28" s="31" t="n">
        <v>-14.609652</v>
      </c>
      <c r="F28" s="31" t="n">
        <v>-29.273907</v>
      </c>
      <c r="G28" s="31" t="n">
        <v>-48.888267</v>
      </c>
      <c r="H28" s="31" t="n">
        <v>-73.468378</v>
      </c>
      <c r="I28" s="31" t="n">
        <v>-103.055972</v>
      </c>
      <c r="J28" s="31" t="n">
        <v>-137.657411</v>
      </c>
      <c r="K28" s="31" t="n">
        <v>-177.289824</v>
      </c>
      <c r="L28" s="31" t="n">
        <v>-221.981334</v>
      </c>
      <c r="M28" s="31" t="n">
        <v>-271.755538</v>
      </c>
      <c r="N28" s="31" t="n">
        <v>-326.631457</v>
      </c>
      <c r="O28" s="31" t="n">
        <v>-386.607707</v>
      </c>
      <c r="P28" s="31" t="n">
        <v>-451.709793</v>
      </c>
      <c r="Q28" s="31" t="n">
        <v>-521.942727</v>
      </c>
      <c r="R28" s="31" t="n">
        <v>-597.322661</v>
      </c>
      <c r="S28" s="31" t="n">
        <v>-677.860983</v>
      </c>
      <c r="T28" s="31" t="n">
        <v>-763.564249</v>
      </c>
      <c r="U28" s="31" t="n">
        <v>-854.434127</v>
      </c>
      <c r="V28" s="31" t="n">
        <v>-950.483306</v>
      </c>
      <c r="W28" s="31" t="n">
        <v>-1051.70344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17800</v>
      </c>
      <c r="D29" s="31" t="n">
        <v>121861.88559</v>
      </c>
      <c r="E29" s="31" t="n">
        <v>122657.681834</v>
      </c>
      <c r="F29" s="31" t="n">
        <v>123402.540643</v>
      </c>
      <c r="G29" s="31" t="n">
        <v>123887.963344</v>
      </c>
      <c r="H29" s="31" t="n">
        <v>124830.615184</v>
      </c>
      <c r="I29" s="31" t="n">
        <v>125073.141399</v>
      </c>
      <c r="J29" s="31" t="n">
        <v>125211.757136</v>
      </c>
      <c r="K29" s="31" t="n">
        <v>125155.135104</v>
      </c>
      <c r="L29" s="31" t="n">
        <v>125508.353216</v>
      </c>
      <c r="M29" s="31" t="n">
        <v>125133.815625</v>
      </c>
      <c r="N29" s="31" t="n">
        <v>127304.747765</v>
      </c>
      <c r="O29" s="31" t="n">
        <v>131493.972072</v>
      </c>
      <c r="P29" s="31" t="n">
        <v>137080.965112</v>
      </c>
      <c r="Q29" s="31" t="n">
        <v>144838.94347</v>
      </c>
      <c r="R29" s="31" t="n">
        <v>155158.226624</v>
      </c>
      <c r="S29" s="31" t="n">
        <v>159067.560898</v>
      </c>
      <c r="T29" s="31" t="n">
        <v>159513.79036</v>
      </c>
      <c r="U29" s="31" t="n">
        <v>159102.666968</v>
      </c>
      <c r="V29" s="31" t="n">
        <v>158747.971239</v>
      </c>
      <c r="W29" s="31" t="n">
        <v>158217.670494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3000</v>
      </c>
      <c r="D30" s="31" t="n">
        <v>15595.10409</v>
      </c>
      <c r="E30" s="31" t="n">
        <v>15463.476322</v>
      </c>
      <c r="F30" s="31" t="n">
        <v>15644.999386</v>
      </c>
      <c r="G30" s="31" t="n">
        <v>15284.729216</v>
      </c>
      <c r="H30" s="31" t="n">
        <v>15097.679089</v>
      </c>
      <c r="I30" s="31" t="n">
        <v>14853.681631</v>
      </c>
      <c r="J30" s="31" t="n">
        <v>14739.917288</v>
      </c>
      <c r="K30" s="31" t="n">
        <v>14431.848116</v>
      </c>
      <c r="L30" s="31" t="n">
        <v>14138.16564</v>
      </c>
      <c r="M30" s="31" t="n">
        <v>13769.696382</v>
      </c>
      <c r="N30" s="31" t="n">
        <v>13665.289733</v>
      </c>
      <c r="O30" s="31" t="n">
        <v>13420.09851</v>
      </c>
      <c r="P30" s="31" t="n">
        <v>13382.579479</v>
      </c>
      <c r="Q30" s="31" t="n">
        <v>13281.753416</v>
      </c>
      <c r="R30" s="31" t="n">
        <v>13470.342014</v>
      </c>
      <c r="S30" s="31" t="n">
        <v>13213.471398</v>
      </c>
      <c r="T30" s="31" t="n">
        <v>13170.070475</v>
      </c>
      <c r="U30" s="31" t="n">
        <v>13055.572971</v>
      </c>
      <c r="V30" s="31" t="n">
        <v>13225.160214</v>
      </c>
      <c r="W30" s="31" t="n">
        <v>12957.162227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0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3000</v>
      </c>
      <c r="D34" s="31" t="n">
        <v>15595.10409</v>
      </c>
      <c r="E34" s="31" t="n">
        <v>15463.476322</v>
      </c>
      <c r="F34" s="31" t="n">
        <v>15644.999386</v>
      </c>
      <c r="G34" s="31" t="n">
        <v>15284.729216</v>
      </c>
      <c r="H34" s="31" t="n">
        <v>15097.679089</v>
      </c>
      <c r="I34" s="31" t="n">
        <v>14853.681631</v>
      </c>
      <c r="J34" s="31" t="n">
        <v>14739.917288</v>
      </c>
      <c r="K34" s="31" t="n">
        <v>14431.848116</v>
      </c>
      <c r="L34" s="31" t="n">
        <v>14138.16564</v>
      </c>
      <c r="M34" s="31" t="n">
        <v>13769.696382</v>
      </c>
      <c r="N34" s="31" t="n">
        <v>13665.289733</v>
      </c>
      <c r="O34" s="31" t="n">
        <v>13420.09851</v>
      </c>
      <c r="P34" s="31" t="n">
        <v>13382.579479</v>
      </c>
      <c r="Q34" s="31" t="n">
        <v>13281.753416</v>
      </c>
      <c r="R34" s="31" t="n">
        <v>13470.342014</v>
      </c>
      <c r="S34" s="31" t="n">
        <v>13213.471398</v>
      </c>
      <c r="T34" s="31" t="n">
        <v>13170.070475</v>
      </c>
      <c r="U34" s="31" t="n">
        <v>13055.572971</v>
      </c>
      <c r="V34" s="31" t="n">
        <v>13225.160214</v>
      </c>
      <c r="W34" s="31" t="n">
        <v>12957.162227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3000</v>
      </c>
      <c r="D36" s="31" t="n">
        <v>15595.10409</v>
      </c>
      <c r="E36" s="31" t="n">
        <v>15463.476322</v>
      </c>
      <c r="F36" s="31" t="n">
        <v>15644.999386</v>
      </c>
      <c r="G36" s="31" t="n">
        <v>15284.729216</v>
      </c>
      <c r="H36" s="31" t="n">
        <v>15097.679089</v>
      </c>
      <c r="I36" s="31" t="n">
        <v>14853.681631</v>
      </c>
      <c r="J36" s="31" t="n">
        <v>14739.917288</v>
      </c>
      <c r="K36" s="31" t="n">
        <v>14431.848116</v>
      </c>
      <c r="L36" s="31" t="n">
        <v>14138.16564</v>
      </c>
      <c r="M36" s="31" t="n">
        <v>13769.696382</v>
      </c>
      <c r="N36" s="31" t="n">
        <v>13665.289733</v>
      </c>
      <c r="O36" s="31" t="n">
        <v>13420.09851</v>
      </c>
      <c r="P36" s="31" t="n">
        <v>13382.579479</v>
      </c>
      <c r="Q36" s="31" t="n">
        <v>13281.753416</v>
      </c>
      <c r="R36" s="31" t="n">
        <v>13470.342014</v>
      </c>
      <c r="S36" s="31" t="n">
        <v>13213.471398</v>
      </c>
      <c r="T36" s="31" t="n">
        <v>13170.070475</v>
      </c>
      <c r="U36" s="31" t="n">
        <v>13055.572971</v>
      </c>
      <c r="V36" s="31" t="n">
        <v>13225.160214</v>
      </c>
      <c r="W36" s="31" t="n">
        <v>12957.162227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20000</v>
      </c>
      <c r="D37" s="31" t="n">
        <v>166188</v>
      </c>
      <c r="E37" s="31" t="n">
        <v>217463</v>
      </c>
      <c r="F37" s="31" t="n">
        <v>263661</v>
      </c>
      <c r="G37" s="31" t="n">
        <v>305081</v>
      </c>
      <c r="H37" s="31" t="n">
        <v>342558</v>
      </c>
      <c r="I37" s="31" t="n">
        <v>373612</v>
      </c>
      <c r="J37" s="31" t="n">
        <v>398280</v>
      </c>
      <c r="K37" s="31" t="n">
        <v>416415</v>
      </c>
      <c r="L37" s="31" t="n">
        <v>429248</v>
      </c>
      <c r="M37" s="31" t="n">
        <v>434111</v>
      </c>
      <c r="N37" s="31" t="n">
        <v>434111</v>
      </c>
      <c r="O37" s="31" t="n">
        <v>434111</v>
      </c>
      <c r="P37" s="31" t="n">
        <v>434111</v>
      </c>
      <c r="Q37" s="31" t="n">
        <v>434111</v>
      </c>
      <c r="R37" s="31" t="n">
        <v>434111</v>
      </c>
      <c r="S37" s="31" t="n">
        <v>434111</v>
      </c>
      <c r="T37" s="31" t="n">
        <v>434111</v>
      </c>
      <c r="U37" s="31" t="n">
        <v>434111</v>
      </c>
      <c r="V37" s="31" t="n">
        <v>434111</v>
      </c>
      <c r="W37" s="31" t="n">
        <v>434111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-5200</v>
      </c>
      <c r="D38" s="31" t="n">
        <v>-59921.2185</v>
      </c>
      <c r="E38" s="31" t="n">
        <v>-110268.794488</v>
      </c>
      <c r="F38" s="31" t="n">
        <v>-155903.458743</v>
      </c>
      <c r="G38" s="31" t="n">
        <v>-196477.765872</v>
      </c>
      <c r="H38" s="31" t="n">
        <v>-232825.063905</v>
      </c>
      <c r="I38" s="31" t="n">
        <v>-263392.540232</v>
      </c>
      <c r="J38" s="31" t="n">
        <v>-287808.160153</v>
      </c>
      <c r="K38" s="31" t="n">
        <v>-305691.713013</v>
      </c>
      <c r="L38" s="31" t="n">
        <v>-317877.812424</v>
      </c>
      <c r="M38" s="31" t="n">
        <v>-322746.880757</v>
      </c>
      <c r="N38" s="31" t="n">
        <v>-320471.541968</v>
      </c>
      <c r="O38" s="31" t="n">
        <v>-316037.126438</v>
      </c>
      <c r="P38" s="31" t="n">
        <v>-310412.614367</v>
      </c>
      <c r="Q38" s="31" t="n">
        <v>-302553.809945</v>
      </c>
      <c r="R38" s="31" t="n">
        <v>-292423.115391</v>
      </c>
      <c r="S38" s="31" t="n">
        <v>-288256.9105</v>
      </c>
      <c r="T38" s="31" t="n">
        <v>-287767.280115</v>
      </c>
      <c r="U38" s="31" t="n">
        <v>-288063.906003</v>
      </c>
      <c r="V38" s="31" t="n">
        <v>-288588.188975</v>
      </c>
      <c r="W38" s="31" t="n">
        <v>-288850.491734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14800</v>
      </c>
      <c r="D40" s="31" t="n">
        <v>106266.7815</v>
      </c>
      <c r="E40" s="31" t="n">
        <v>107194.205512</v>
      </c>
      <c r="F40" s="31" t="n">
        <v>107757.541257</v>
      </c>
      <c r="G40" s="31" t="n">
        <v>108603.234128</v>
      </c>
      <c r="H40" s="31" t="n">
        <v>109732.936095</v>
      </c>
      <c r="I40" s="31" t="n">
        <v>110219.459768</v>
      </c>
      <c r="J40" s="31" t="n">
        <v>110471.839847</v>
      </c>
      <c r="K40" s="31" t="n">
        <v>110723.286987</v>
      </c>
      <c r="L40" s="31" t="n">
        <v>111370.187576</v>
      </c>
      <c r="M40" s="31" t="n">
        <v>111364.119243</v>
      </c>
      <c r="N40" s="31" t="n">
        <v>113639.458032</v>
      </c>
      <c r="O40" s="31" t="n">
        <v>118073.873562</v>
      </c>
      <c r="P40" s="31" t="n">
        <v>123698.385633</v>
      </c>
      <c r="Q40" s="31" t="n">
        <v>131557.190055</v>
      </c>
      <c r="R40" s="31" t="n">
        <v>141687.884609</v>
      </c>
      <c r="S40" s="31" t="n">
        <v>145854.0895</v>
      </c>
      <c r="T40" s="31" t="n">
        <v>146343.719885</v>
      </c>
      <c r="U40" s="31" t="n">
        <v>146047.093997</v>
      </c>
      <c r="V40" s="31" t="n">
        <v>145522.811025</v>
      </c>
      <c r="W40" s="31" t="n">
        <v>145260.508266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17800</v>
      </c>
      <c r="D41" s="31" t="n">
        <v>121861.88559</v>
      </c>
      <c r="E41" s="31" t="n">
        <v>122657.681834</v>
      </c>
      <c r="F41" s="31" t="n">
        <v>123402.540643</v>
      </c>
      <c r="G41" s="31" t="n">
        <v>123887.963344</v>
      </c>
      <c r="H41" s="31" t="n">
        <v>124830.615184</v>
      </c>
      <c r="I41" s="31" t="n">
        <v>125073.141399</v>
      </c>
      <c r="J41" s="31" t="n">
        <v>125211.757136</v>
      </c>
      <c r="K41" s="31" t="n">
        <v>125155.135104</v>
      </c>
      <c r="L41" s="31" t="n">
        <v>125508.353216</v>
      </c>
      <c r="M41" s="31" t="n">
        <v>125133.815625</v>
      </c>
      <c r="N41" s="31" t="n">
        <v>127304.747765</v>
      </c>
      <c r="O41" s="31" t="n">
        <v>131493.972072</v>
      </c>
      <c r="P41" s="31" t="n">
        <v>137080.965112</v>
      </c>
      <c r="Q41" s="31" t="n">
        <v>144838.94347</v>
      </c>
      <c r="R41" s="31" t="n">
        <v>155158.226624</v>
      </c>
      <c r="S41" s="31" t="n">
        <v>159067.560898</v>
      </c>
      <c r="T41" s="31" t="n">
        <v>159513.79036</v>
      </c>
      <c r="U41" s="31" t="n">
        <v>159102.666968</v>
      </c>
      <c r="V41" s="31" t="n">
        <v>158747.971239</v>
      </c>
      <c r="W41" s="31" t="n">
        <v>158217.670494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2000</v>
      </c>
      <c r="D45" s="31" t="n">
        <v>2000</v>
      </c>
      <c r="E45" s="31" t="n">
        <v>103160.664228</v>
      </c>
      <c r="F45" s="31" t="n">
        <v>103800.465424</v>
      </c>
      <c r="G45" s="31" t="n">
        <v>104313.222335</v>
      </c>
      <c r="H45" s="31" t="n">
        <v>104698.279272</v>
      </c>
      <c r="I45" s="31" t="n">
        <v>105548.412803</v>
      </c>
      <c r="J45" s="31" t="n">
        <v>105664.188868</v>
      </c>
      <c r="K45" s="31" t="n">
        <v>105640.114983</v>
      </c>
      <c r="L45" s="31" t="n">
        <v>105471.810081</v>
      </c>
      <c r="M45" s="31" t="n">
        <v>105766.173215</v>
      </c>
      <c r="N45" s="31" t="n">
        <v>105296.797496</v>
      </c>
      <c r="O45" s="31" t="n">
        <v>107289.007412</v>
      </c>
      <c r="P45" s="31" t="n">
        <v>111475.318243</v>
      </c>
      <c r="Q45" s="31" t="n">
        <v>117064.250898</v>
      </c>
      <c r="R45" s="31" t="n">
        <v>124784.19751</v>
      </c>
      <c r="S45" s="31" t="n">
        <v>134978.427175</v>
      </c>
      <c r="T45" s="31" t="n">
        <v>138908.22959</v>
      </c>
      <c r="U45" s="31" t="n">
        <v>139379.865782</v>
      </c>
      <c r="V45" s="31" t="n">
        <v>138954.116662</v>
      </c>
      <c r="W45" s="31" t="n">
        <v>138497.707402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-36085.8882</v>
      </c>
      <c r="D46" s="31" t="n">
        <v>-54721.2185</v>
      </c>
      <c r="E46" s="31" t="n">
        <v>-50347.575988</v>
      </c>
      <c r="F46" s="31" t="n">
        <v>-45634.664255</v>
      </c>
      <c r="G46" s="31" t="n">
        <v>-40574.307129</v>
      </c>
      <c r="H46" s="31" t="n">
        <v>-36347.298033</v>
      </c>
      <c r="I46" s="31" t="n">
        <v>-30567.476327</v>
      </c>
      <c r="J46" s="31" t="n">
        <v>-24415.619921</v>
      </c>
      <c r="K46" s="31" t="n">
        <v>-17883.55286</v>
      </c>
      <c r="L46" s="31" t="n">
        <v>-12186.099412</v>
      </c>
      <c r="M46" s="31" t="n">
        <v>-4869.068332</v>
      </c>
      <c r="N46" s="31" t="n">
        <v>2275.338789</v>
      </c>
      <c r="O46" s="31" t="n">
        <v>4434.41553</v>
      </c>
      <c r="P46" s="31" t="n">
        <v>5624.512071</v>
      </c>
      <c r="Q46" s="31" t="n">
        <v>7858.804422</v>
      </c>
      <c r="R46" s="31" t="n">
        <v>10130.694554</v>
      </c>
      <c r="S46" s="31" t="n">
        <v>12440.204891</v>
      </c>
      <c r="T46" s="31" t="n">
        <v>13753.630385</v>
      </c>
      <c r="U46" s="31" t="n">
        <v>16138.374112</v>
      </c>
      <c r="V46" s="31" t="n">
        <v>18560.717028</v>
      </c>
      <c r="W46" s="31" t="n">
        <v>21020.697241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4.86</v>
      </c>
      <c r="E47" s="31" t="n">
        <v>9.749651999999999</v>
      </c>
      <c r="F47" s="31" t="n">
        <v>14.664255</v>
      </c>
      <c r="G47" s="31" t="n">
        <v>19.61436</v>
      </c>
      <c r="H47" s="31" t="n">
        <v>24.580111</v>
      </c>
      <c r="I47" s="31" t="n">
        <v>29.587594</v>
      </c>
      <c r="J47" s="31" t="n">
        <v>34.601439</v>
      </c>
      <c r="K47" s="31" t="n">
        <v>39.632413</v>
      </c>
      <c r="L47" s="31" t="n">
        <v>44.691509</v>
      </c>
      <c r="M47" s="31" t="n">
        <v>49.774205</v>
      </c>
      <c r="N47" s="31" t="n">
        <v>54.875919</v>
      </c>
      <c r="O47" s="31" t="n">
        <v>59.97625</v>
      </c>
      <c r="P47" s="31" t="n">
        <v>65.102086</v>
      </c>
      <c r="Q47" s="31" t="n">
        <v>70.232934</v>
      </c>
      <c r="R47" s="31" t="n">
        <v>75.37993400000001</v>
      </c>
      <c r="S47" s="31" t="n">
        <v>80.53832199999999</v>
      </c>
      <c r="T47" s="31" t="n">
        <v>85.703266</v>
      </c>
      <c r="U47" s="31" t="n">
        <v>90.869878</v>
      </c>
      <c r="V47" s="31" t="n">
        <v>96.049179</v>
      </c>
      <c r="W47" s="31" t="n">
        <v>101.220135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-2808.881361</v>
      </c>
      <c r="E48" s="31" t="n">
        <v>-67.946337</v>
      </c>
      <c r="F48" s="31" t="n">
        <v>-148.397235</v>
      </c>
      <c r="G48" s="31" t="n">
        <v>-21.068799</v>
      </c>
      <c r="H48" s="31" t="n">
        <v>-17.673251</v>
      </c>
      <c r="I48" s="31" t="n">
        <v>-56.427579</v>
      </c>
      <c r="J48" s="31" t="n">
        <v>-96.92520399999999</v>
      </c>
      <c r="K48" s="31" t="n">
        <v>-50.523274</v>
      </c>
      <c r="L48" s="31" t="n">
        <v>-2.358165</v>
      </c>
      <c r="M48" s="31" t="n">
        <v>-43.05791</v>
      </c>
      <c r="N48" s="31" t="n">
        <v>-131.708185</v>
      </c>
      <c r="O48" s="31" t="n">
        <v>39.304883</v>
      </c>
      <c r="P48" s="31" t="n">
        <v>39.305713</v>
      </c>
      <c r="Q48" s="31" t="n">
        <v>-5.554363</v>
      </c>
      <c r="R48" s="31" t="n">
        <v>-97.512653</v>
      </c>
      <c r="S48" s="31" t="n">
        <v>43.029054</v>
      </c>
      <c r="T48" s="31" t="n">
        <v>42.948893</v>
      </c>
      <c r="U48" s="31" t="n">
        <v>-2.136503</v>
      </c>
      <c r="V48" s="31" t="n">
        <v>-94.322677</v>
      </c>
      <c r="W48" s="31" t="n">
        <v>46.599651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12595.10409</v>
      </c>
      <c r="E49" s="31" t="n">
        <v>-131.627768</v>
      </c>
      <c r="F49" s="31" t="n">
        <v>181.523065</v>
      </c>
      <c r="G49" s="31" t="n">
        <v>-360.27017</v>
      </c>
      <c r="H49" s="31" t="n">
        <v>-187.050128</v>
      </c>
      <c r="I49" s="31" t="n">
        <v>-243.997458</v>
      </c>
      <c r="J49" s="31" t="n">
        <v>-113.764343</v>
      </c>
      <c r="K49" s="31" t="n">
        <v>-308.069172</v>
      </c>
      <c r="L49" s="31" t="n">
        <v>-293.682476</v>
      </c>
      <c r="M49" s="31" t="n">
        <v>-368.469259</v>
      </c>
      <c r="N49" s="31" t="n">
        <v>-104.406648</v>
      </c>
      <c r="O49" s="31" t="n">
        <v>-245.191223</v>
      </c>
      <c r="P49" s="31" t="n">
        <v>-37.519031</v>
      </c>
      <c r="Q49" s="31" t="n">
        <v>-100.826063</v>
      </c>
      <c r="R49" s="31" t="n">
        <v>188.588599</v>
      </c>
      <c r="S49" s="31" t="n">
        <v>-256.870616</v>
      </c>
      <c r="T49" s="31" t="n">
        <v>-43.400923</v>
      </c>
      <c r="U49" s="31" t="n">
        <v>-114.497504</v>
      </c>
      <c r="V49" s="31" t="n">
        <v>169.587243</v>
      </c>
      <c r="W49" s="31" t="n">
        <v>-267.997987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-44930.135772</v>
      </c>
      <c r="E50" s="31" t="n">
        <v>-50537.400442</v>
      </c>
      <c r="F50" s="31" t="n">
        <v>-45586.87417</v>
      </c>
      <c r="G50" s="31" t="n">
        <v>-40936.031738</v>
      </c>
      <c r="H50" s="31" t="n">
        <v>-36527.4413</v>
      </c>
      <c r="I50" s="31" t="n">
        <v>-30838.31377</v>
      </c>
      <c r="J50" s="31" t="n">
        <v>-24591.708029</v>
      </c>
      <c r="K50" s="31" t="n">
        <v>-18202.512893</v>
      </c>
      <c r="L50" s="31" t="n">
        <v>-12437.448543</v>
      </c>
      <c r="M50" s="31" t="n">
        <v>-5230.821296</v>
      </c>
      <c r="N50" s="31" t="n">
        <v>2094.099874</v>
      </c>
      <c r="O50" s="31" t="n">
        <v>4288.50544</v>
      </c>
      <c r="P50" s="31" t="n">
        <v>5691.400838</v>
      </c>
      <c r="Q50" s="31" t="n">
        <v>7822.65693</v>
      </c>
      <c r="R50" s="31" t="n">
        <v>10297.150434</v>
      </c>
      <c r="S50" s="31" t="n">
        <v>12306.90165</v>
      </c>
      <c r="T50" s="31" t="n">
        <v>13838.881621</v>
      </c>
      <c r="U50" s="31" t="n">
        <v>16112.609984</v>
      </c>
      <c r="V50" s="31" t="n">
        <v>18732.030773</v>
      </c>
      <c r="W50" s="31" t="n">
        <v>20900.51904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97.2</v>
      </c>
      <c r="E51" s="31" t="n">
        <v>97.79836299999999</v>
      </c>
      <c r="F51" s="31" t="n">
        <v>98.36891900000001</v>
      </c>
      <c r="G51" s="31" t="n">
        <v>98.91132500000001</v>
      </c>
      <c r="H51" s="31" t="n">
        <v>99.425169</v>
      </c>
      <c r="I51" s="31" t="n">
        <v>99.91016500000001</v>
      </c>
      <c r="J51" s="31" t="n">
        <v>100.365856</v>
      </c>
      <c r="K51" s="31" t="n">
        <v>100.792009</v>
      </c>
      <c r="L51" s="31" t="n">
        <v>101.188323</v>
      </c>
      <c r="M51" s="31" t="n">
        <v>101.554423</v>
      </c>
      <c r="N51" s="31" t="n">
        <v>101.889958</v>
      </c>
      <c r="O51" s="31" t="n">
        <v>102.194609</v>
      </c>
      <c r="P51" s="31" t="n">
        <v>102.468184</v>
      </c>
      <c r="Q51" s="31" t="n">
        <v>102.710317</v>
      </c>
      <c r="R51" s="31" t="n">
        <v>102.92077</v>
      </c>
      <c r="S51" s="31" t="n">
        <v>103.099235</v>
      </c>
      <c r="T51" s="31" t="n">
        <v>103.245429</v>
      </c>
      <c r="U51" s="31" t="n">
        <v>103.359103</v>
      </c>
      <c r="V51" s="31" t="n">
        <v>103.440033</v>
      </c>
      <c r="W51" s="31" t="n">
        <v>103.487926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-97.2</v>
      </c>
      <c r="E52" s="31" t="n">
        <v>-97.79836299999999</v>
      </c>
      <c r="F52" s="31" t="n">
        <v>-98.36891900000001</v>
      </c>
      <c r="G52" s="31" t="n">
        <v>-98.91132500000001</v>
      </c>
      <c r="H52" s="31" t="n">
        <v>-99.425169</v>
      </c>
      <c r="I52" s="31" t="n">
        <v>-99.91016500000001</v>
      </c>
      <c r="J52" s="31" t="n">
        <v>-100.365856</v>
      </c>
      <c r="K52" s="31" t="n">
        <v>-100.792009</v>
      </c>
      <c r="L52" s="31" t="n">
        <v>-101.188323</v>
      </c>
      <c r="M52" s="31" t="n">
        <v>-101.554423</v>
      </c>
      <c r="N52" s="31" t="n">
        <v>-101.889958</v>
      </c>
      <c r="O52" s="31" t="n">
        <v>-102.194609</v>
      </c>
      <c r="P52" s="31" t="n">
        <v>-102.468184</v>
      </c>
      <c r="Q52" s="31" t="n">
        <v>-102.710317</v>
      </c>
      <c r="R52" s="31" t="n">
        <v>-102.92077</v>
      </c>
      <c r="S52" s="31" t="n">
        <v>-103.099235</v>
      </c>
      <c r="T52" s="31" t="n">
        <v>-103.245429</v>
      </c>
      <c r="U52" s="31" t="n">
        <v>-103.359103</v>
      </c>
      <c r="V52" s="31" t="n">
        <v>-103.440033</v>
      </c>
      <c r="W52" s="31" t="n">
        <v>-103.487926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146188</v>
      </c>
      <c r="E55" s="31" t="n">
        <v>51275</v>
      </c>
      <c r="F55" s="31" t="n">
        <v>46198</v>
      </c>
      <c r="G55" s="31" t="n">
        <v>41420</v>
      </c>
      <c r="H55" s="31" t="n">
        <v>37477</v>
      </c>
      <c r="I55" s="31" t="n">
        <v>31054</v>
      </c>
      <c r="J55" s="31" t="n">
        <v>24668</v>
      </c>
      <c r="K55" s="31" t="n">
        <v>18135</v>
      </c>
      <c r="L55" s="31" t="n">
        <v>12833</v>
      </c>
      <c r="M55" s="31" t="n">
        <v>4863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8274</v>
      </c>
      <c r="T56" s="31" t="n">
        <v>13264</v>
      </c>
      <c r="U56" s="31" t="n">
        <v>16435</v>
      </c>
      <c r="V56" s="31" t="n">
        <v>19085</v>
      </c>
      <c r="W56" s="31" t="n">
        <v>21283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146188</v>
      </c>
      <c r="E57" s="31" t="n">
        <v>51275</v>
      </c>
      <c r="F57" s="31" t="n">
        <v>46198</v>
      </c>
      <c r="G57" s="31" t="n">
        <v>41420</v>
      </c>
      <c r="H57" s="31" t="n">
        <v>37477</v>
      </c>
      <c r="I57" s="31" t="n">
        <v>31054</v>
      </c>
      <c r="J57" s="31" t="n">
        <v>24668</v>
      </c>
      <c r="K57" s="31" t="n">
        <v>18135</v>
      </c>
      <c r="L57" s="31" t="n">
        <v>12833</v>
      </c>
      <c r="M57" s="31" t="n">
        <v>4863</v>
      </c>
      <c r="N57" s="31" t="n">
        <v>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-8274</v>
      </c>
      <c r="T57" s="31" t="n">
        <v>-13264</v>
      </c>
      <c r="U57" s="31" t="n">
        <v>-16435</v>
      </c>
      <c r="V57" s="31" t="n">
        <v>-19085</v>
      </c>
      <c r="W57" s="31" t="n">
        <v>-21283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101160.664228</v>
      </c>
      <c r="E58" s="31" t="n">
        <v>639.801195</v>
      </c>
      <c r="F58" s="31" t="n">
        <v>512.7569109999999</v>
      </c>
      <c r="G58" s="31" t="n">
        <v>385.056937</v>
      </c>
      <c r="H58" s="31" t="n">
        <v>850.1335309999999</v>
      </c>
      <c r="I58" s="31" t="n">
        <v>115.776065</v>
      </c>
      <c r="J58" s="31" t="n">
        <v>-24.073885</v>
      </c>
      <c r="K58" s="31" t="n">
        <v>-168.304902</v>
      </c>
      <c r="L58" s="31" t="n">
        <v>294.363134</v>
      </c>
      <c r="M58" s="31" t="n">
        <v>-469.375719</v>
      </c>
      <c r="N58" s="31" t="n">
        <v>1992.209916</v>
      </c>
      <c r="O58" s="31" t="n">
        <v>4186.310831</v>
      </c>
      <c r="P58" s="31" t="n">
        <v>5588.932654</v>
      </c>
      <c r="Q58" s="31" t="n">
        <v>7719.946613</v>
      </c>
      <c r="R58" s="31" t="n">
        <v>10194.229664</v>
      </c>
      <c r="S58" s="31" t="n">
        <v>3929.802415</v>
      </c>
      <c r="T58" s="31" t="n">
        <v>471.636192</v>
      </c>
      <c r="U58" s="31" t="n">
        <v>-425.749119</v>
      </c>
      <c r="V58" s="31" t="n">
        <v>-456.40926</v>
      </c>
      <c r="W58" s="31" t="n">
        <v>-485.968886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2000</v>
      </c>
      <c r="D59" s="31" t="n">
        <v>103160.664228</v>
      </c>
      <c r="E59" s="31" t="n">
        <v>103800.465424</v>
      </c>
      <c r="F59" s="31" t="n">
        <v>104313.222335</v>
      </c>
      <c r="G59" s="31" t="n">
        <v>104698.279272</v>
      </c>
      <c r="H59" s="31" t="n">
        <v>105548.412803</v>
      </c>
      <c r="I59" s="31" t="n">
        <v>105664.188868</v>
      </c>
      <c r="J59" s="31" t="n">
        <v>105640.114983</v>
      </c>
      <c r="K59" s="31" t="n">
        <v>105471.810081</v>
      </c>
      <c r="L59" s="31" t="n">
        <v>105766.173215</v>
      </c>
      <c r="M59" s="31" t="n">
        <v>105296.797496</v>
      </c>
      <c r="N59" s="31" t="n">
        <v>107289.007412</v>
      </c>
      <c r="O59" s="31" t="n">
        <v>111475.318243</v>
      </c>
      <c r="P59" s="31" t="n">
        <v>117064.250898</v>
      </c>
      <c r="Q59" s="31" t="n">
        <v>124784.19751</v>
      </c>
      <c r="R59" s="31" t="n">
        <v>134978.427175</v>
      </c>
      <c r="S59" s="31" t="n">
        <v>138908.22959</v>
      </c>
      <c r="T59" s="31" t="n">
        <v>139379.865782</v>
      </c>
      <c r="U59" s="31" t="n">
        <v>138954.116662</v>
      </c>
      <c r="V59" s="31" t="n">
        <v>138497.707402</v>
      </c>
      <c r="W59" s="31" t="n">
        <v>138011.738516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turnaround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Sunny Glaze Donuts</t>
        </is>
      </c>
    </row>
    <row r="8">
      <c r="A8" s="45" t="inlineStr">
        <is>
          <t>Business Start Date</t>
        </is>
      </c>
      <c r="B8" s="46" t="inlineStr">
        <is>
          <t>06/19/2024</t>
        </is>
      </c>
    </row>
    <row r="9">
      <c r="A9" s="45" t="inlineStr">
        <is>
          <t>NAICS-6</t>
        </is>
      </c>
      <c r="B9" s="46" t="inlineStr">
        <is>
          <t>311811</t>
        </is>
      </c>
    </row>
    <row r="10">
      <c r="A10" s="45" t="inlineStr">
        <is>
          <t>Draft ID</t>
        </is>
      </c>
      <c r="B10" s="46" t="inlineStr">
        <is>
          <t>209d81afa19d431186289199b488554b</t>
        </is>
      </c>
    </row>
    <row r="11">
      <c r="A11" s="45" t="inlineStr">
        <is>
          <t>Planning Run ID</t>
        </is>
      </c>
      <c r="B11" s="46" t="inlineStr">
        <is>
          <t>1e0b171d5b1947d1b387306e09515a77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2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Sunny Glaze Donuts Financial Model</dc:title>
  <dc:subject>Client financial model workbook</dc:subject>
  <dcterms:created xsi:type="dcterms:W3CDTF">2026-05-20T06:05:23Z</dcterms:created>
  <dcterms:modified xsi:type="dcterms:W3CDTF">2026-05-20T06:05:24Z</dcterms:modified>
</cp:coreProperties>
</file>