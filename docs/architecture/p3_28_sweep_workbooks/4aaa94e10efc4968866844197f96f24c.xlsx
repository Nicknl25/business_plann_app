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Bakery transactions</t>
        </is>
      </c>
    </row>
    <row r="8">
      <c r="A8" s="8" t="inlineStr">
        <is>
          <t>Primary line of business / Bakery transactions - Capacity</t>
        </is>
      </c>
      <c r="B8" s="8" t="inlineStr">
        <is>
          <t>Source driver</t>
        </is>
      </c>
      <c r="C8" s="9" t="n">
        <v>9100</v>
      </c>
      <c r="D8" s="9" t="n">
        <v>9450</v>
      </c>
      <c r="E8" s="9" t="n">
        <v>9450</v>
      </c>
      <c r="F8" s="9" t="n">
        <v>9450</v>
      </c>
      <c r="G8" s="9" t="n">
        <v>9450</v>
      </c>
      <c r="H8" s="9" t="n">
        <v>9450</v>
      </c>
      <c r="I8" s="9" t="n">
        <v>9450</v>
      </c>
      <c r="J8" s="9" t="n">
        <v>9450</v>
      </c>
      <c r="K8" s="9" t="n">
        <v>9450</v>
      </c>
      <c r="L8" s="9" t="n">
        <v>9450</v>
      </c>
      <c r="M8" s="9" t="n">
        <v>9450</v>
      </c>
      <c r="N8" s="9" t="n">
        <v>9450</v>
      </c>
      <c r="O8" s="9" t="n">
        <v>9450</v>
      </c>
      <c r="P8" s="9" t="n">
        <v>9450</v>
      </c>
      <c r="Q8" s="9" t="n">
        <v>9450</v>
      </c>
      <c r="R8" s="9" t="n">
        <v>9450</v>
      </c>
      <c r="S8" s="9" t="n">
        <v>9450</v>
      </c>
      <c r="T8" s="9" t="n">
        <v>9450</v>
      </c>
      <c r="U8" s="9" t="n">
        <v>9450</v>
      </c>
      <c r="V8" s="9" t="n">
        <v>9450</v>
      </c>
      <c r="W8" s="9" t="n">
        <v>9450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Bakery transactions - Unit Price</t>
        </is>
      </c>
      <c r="B9" s="8" t="inlineStr">
        <is>
          <t>Source driver</t>
        </is>
      </c>
      <c r="C9" s="11" t="n">
        <v>15</v>
      </c>
      <c r="D9" s="11" t="n">
        <v>15</v>
      </c>
      <c r="E9" s="11" t="n">
        <v>15.7</v>
      </c>
      <c r="F9" s="11" t="n">
        <v>16.4</v>
      </c>
      <c r="G9" s="11" t="n">
        <v>17.1</v>
      </c>
      <c r="H9" s="11" t="n">
        <v>17.8</v>
      </c>
      <c r="I9" s="11" t="n">
        <v>18.5</v>
      </c>
      <c r="J9" s="11" t="n">
        <v>19.2</v>
      </c>
      <c r="K9" s="11" t="n">
        <v>19.9</v>
      </c>
      <c r="L9" s="11" t="n">
        <v>20.6</v>
      </c>
      <c r="M9" s="11" t="n">
        <v>21.3</v>
      </c>
      <c r="N9" s="11" t="n">
        <v>22</v>
      </c>
      <c r="O9" s="11" t="n">
        <v>22.222222</v>
      </c>
      <c r="P9" s="11" t="n">
        <v>22.444444</v>
      </c>
      <c r="Q9" s="11" t="n">
        <v>22.666667</v>
      </c>
      <c r="R9" s="11" t="n">
        <v>22.888889</v>
      </c>
      <c r="S9" s="11" t="n">
        <v>23.111111</v>
      </c>
      <c r="T9" s="11" t="n">
        <v>23.333333</v>
      </c>
      <c r="U9" s="11" t="n">
        <v>23.555556</v>
      </c>
      <c r="V9" s="11" t="n">
        <v>23.777778</v>
      </c>
      <c r="W9" s="11" t="n">
        <v>24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Bakery transactions - Utilization</t>
        </is>
      </c>
      <c r="B10" s="8" t="inlineStr">
        <is>
          <t>Source driver</t>
        </is>
      </c>
      <c r="C10" s="13" t="n">
        <v>0.75</v>
      </c>
      <c r="D10" s="13" t="n">
        <v>0.75</v>
      </c>
      <c r="E10" s="13" t="n">
        <v>0.759</v>
      </c>
      <c r="F10" s="13" t="n">
        <v>0.768</v>
      </c>
      <c r="G10" s="13" t="n">
        <v>0.777</v>
      </c>
      <c r="H10" s="13" t="n">
        <v>0.786</v>
      </c>
      <c r="I10" s="13" t="n">
        <v>0.795</v>
      </c>
      <c r="J10" s="13" t="n">
        <v>0.804</v>
      </c>
      <c r="K10" s="13" t="n">
        <v>0.8129999999999999</v>
      </c>
      <c r="L10" s="13" t="n">
        <v>0.822</v>
      </c>
      <c r="M10" s="13" t="n">
        <v>0.831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Bakery transactions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0.01</v>
      </c>
      <c r="E18" s="13" t="n">
        <v>0.01</v>
      </c>
      <c r="F18" s="13" t="n">
        <v>0.01</v>
      </c>
      <c r="G18" s="13" t="n">
        <v>0.01</v>
      </c>
      <c r="H18" s="13" t="n">
        <v>0.01</v>
      </c>
      <c r="I18" s="13" t="n">
        <v>0.01</v>
      </c>
      <c r="J18" s="13" t="n">
        <v>0.01</v>
      </c>
      <c r="K18" s="13" t="n">
        <v>0.01</v>
      </c>
      <c r="L18" s="13" t="n">
        <v>0.01</v>
      </c>
      <c r="M18" s="13" t="n">
        <v>0.01</v>
      </c>
      <c r="N18" s="13" t="n">
        <v>0.01</v>
      </c>
      <c r="O18" s="13" t="n">
        <v>0.01</v>
      </c>
      <c r="P18" s="13" t="n">
        <v>0.01</v>
      </c>
      <c r="Q18" s="13" t="n">
        <v>0.01</v>
      </c>
      <c r="R18" s="13" t="n">
        <v>0.01</v>
      </c>
      <c r="S18" s="13" t="n">
        <v>0.01</v>
      </c>
      <c r="T18" s="13" t="n">
        <v>0.01</v>
      </c>
      <c r="U18" s="13" t="n">
        <v>0.01</v>
      </c>
      <c r="V18" s="13" t="n">
        <v>0.01</v>
      </c>
      <c r="W18" s="13" t="n">
        <v>0.01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0.06</v>
      </c>
      <c r="E19" s="13" t="n">
        <v>0.06</v>
      </c>
      <c r="F19" s="13" t="n">
        <v>0.06</v>
      </c>
      <c r="G19" s="13" t="n">
        <v>0.06</v>
      </c>
      <c r="H19" s="13" t="n">
        <v>0.06</v>
      </c>
      <c r="I19" s="13" t="n">
        <v>0.06</v>
      </c>
      <c r="J19" s="13" t="n">
        <v>0.06</v>
      </c>
      <c r="K19" s="13" t="n">
        <v>0.06</v>
      </c>
      <c r="L19" s="13" t="n">
        <v>0.06</v>
      </c>
      <c r="M19" s="13" t="n">
        <v>0.06</v>
      </c>
      <c r="N19" s="13" t="n">
        <v>0.06</v>
      </c>
      <c r="O19" s="13" t="n">
        <v>0.06</v>
      </c>
      <c r="P19" s="13" t="n">
        <v>0.06</v>
      </c>
      <c r="Q19" s="13" t="n">
        <v>0.06</v>
      </c>
      <c r="R19" s="13" t="n">
        <v>0.06</v>
      </c>
      <c r="S19" s="13" t="n">
        <v>0.06</v>
      </c>
      <c r="T19" s="13" t="n">
        <v>0.06</v>
      </c>
      <c r="U19" s="13" t="n">
        <v>0.06</v>
      </c>
      <c r="V19" s="13" t="n">
        <v>0.06</v>
      </c>
      <c r="W19" s="13" t="n">
        <v>0.06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0.06</v>
      </c>
      <c r="E20" s="13" t="n">
        <v>0.06</v>
      </c>
      <c r="F20" s="13" t="n">
        <v>0.06</v>
      </c>
      <c r="G20" s="13" t="n">
        <v>0.06</v>
      </c>
      <c r="H20" s="13" t="n">
        <v>0.06</v>
      </c>
      <c r="I20" s="13" t="n">
        <v>0.06</v>
      </c>
      <c r="J20" s="13" t="n">
        <v>0.06</v>
      </c>
      <c r="K20" s="13" t="n">
        <v>0.06</v>
      </c>
      <c r="L20" s="13" t="n">
        <v>0.06</v>
      </c>
      <c r="M20" s="13" t="n">
        <v>0.06</v>
      </c>
      <c r="N20" s="13" t="n">
        <v>0.06</v>
      </c>
      <c r="O20" s="13" t="n">
        <v>0.06</v>
      </c>
      <c r="P20" s="13" t="n">
        <v>0.06</v>
      </c>
      <c r="Q20" s="13" t="n">
        <v>0.06</v>
      </c>
      <c r="R20" s="13" t="n">
        <v>0.06</v>
      </c>
      <c r="S20" s="13" t="n">
        <v>0.06</v>
      </c>
      <c r="T20" s="13" t="n">
        <v>0.06</v>
      </c>
      <c r="U20" s="13" t="n">
        <v>0.06</v>
      </c>
      <c r="V20" s="13" t="n">
        <v>0.06</v>
      </c>
      <c r="W20" s="13" t="n">
        <v>0.06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0.72</v>
      </c>
      <c r="E22" s="13" t="n">
        <v>0.72</v>
      </c>
      <c r="F22" s="13" t="n">
        <v>0.72</v>
      </c>
      <c r="G22" s="13" t="n">
        <v>0.72</v>
      </c>
      <c r="H22" s="13" t="n">
        <v>0.72</v>
      </c>
      <c r="I22" s="13" t="n">
        <v>0.72</v>
      </c>
      <c r="J22" s="13" t="n">
        <v>0.72</v>
      </c>
      <c r="K22" s="13" t="n">
        <v>0.72</v>
      </c>
      <c r="L22" s="13" t="n">
        <v>0.72</v>
      </c>
      <c r="M22" s="13" t="n">
        <v>0.72</v>
      </c>
      <c r="N22" s="13" t="n">
        <v>0.72</v>
      </c>
      <c r="O22" s="13" t="n">
        <v>0.72</v>
      </c>
      <c r="P22" s="13" t="n">
        <v>0.72</v>
      </c>
      <c r="Q22" s="13" t="n">
        <v>0.72</v>
      </c>
      <c r="R22" s="13" t="n">
        <v>0.72</v>
      </c>
      <c r="S22" s="13" t="n">
        <v>0.72</v>
      </c>
      <c r="T22" s="13" t="n">
        <v>0.72</v>
      </c>
      <c r="U22" s="13" t="n">
        <v>0.72</v>
      </c>
      <c r="V22" s="13" t="n">
        <v>0.72</v>
      </c>
      <c r="W22" s="13" t="n">
        <v>0.72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0.8</v>
      </c>
      <c r="E23" s="13" t="n">
        <v>0.8</v>
      </c>
      <c r="F23" s="13" t="n">
        <v>0.8</v>
      </c>
      <c r="G23" s="13" t="n">
        <v>0.8</v>
      </c>
      <c r="H23" s="13" t="n">
        <v>0.8</v>
      </c>
      <c r="I23" s="13" t="n">
        <v>0.8</v>
      </c>
      <c r="J23" s="13" t="n">
        <v>0.8</v>
      </c>
      <c r="K23" s="13" t="n">
        <v>0.8</v>
      </c>
      <c r="L23" s="13" t="n">
        <v>0.8</v>
      </c>
      <c r="M23" s="13" t="n">
        <v>0.8</v>
      </c>
      <c r="N23" s="13" t="n">
        <v>0.8</v>
      </c>
      <c r="O23" s="13" t="n">
        <v>0.8</v>
      </c>
      <c r="P23" s="13" t="n">
        <v>0.8</v>
      </c>
      <c r="Q23" s="13" t="n">
        <v>0.8</v>
      </c>
      <c r="R23" s="13" t="n">
        <v>0.8</v>
      </c>
      <c r="S23" s="13" t="n">
        <v>0.8</v>
      </c>
      <c r="T23" s="13" t="n">
        <v>0.8</v>
      </c>
      <c r="U23" s="13" t="n">
        <v>0.8</v>
      </c>
      <c r="V23" s="13" t="n">
        <v>0.8</v>
      </c>
      <c r="W23" s="13" t="n">
        <v>0.8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0.27</v>
      </c>
      <c r="E24" s="13" t="n">
        <v>0.27</v>
      </c>
      <c r="F24" s="13" t="n">
        <v>0.27</v>
      </c>
      <c r="G24" s="13" t="n">
        <v>0.27</v>
      </c>
      <c r="H24" s="13" t="n">
        <v>0.27</v>
      </c>
      <c r="I24" s="13" t="n">
        <v>0.27</v>
      </c>
      <c r="J24" s="13" t="n">
        <v>0.27</v>
      </c>
      <c r="K24" s="13" t="n">
        <v>0.27</v>
      </c>
      <c r="L24" s="13" t="n">
        <v>0.27</v>
      </c>
      <c r="M24" s="13" t="n">
        <v>0.27</v>
      </c>
      <c r="N24" s="13" t="n">
        <v>0.27</v>
      </c>
      <c r="O24" s="13" t="n">
        <v>0.27</v>
      </c>
      <c r="P24" s="13" t="n">
        <v>0.27</v>
      </c>
      <c r="Q24" s="13" t="n">
        <v>0.27</v>
      </c>
      <c r="R24" s="13" t="n">
        <v>0.27</v>
      </c>
      <c r="S24" s="13" t="n">
        <v>0.27</v>
      </c>
      <c r="T24" s="13" t="n">
        <v>0.27</v>
      </c>
      <c r="U24" s="13" t="n">
        <v>0.27</v>
      </c>
      <c r="V24" s="13" t="n">
        <v>0.27</v>
      </c>
      <c r="W24" s="13" t="n">
        <v>0.27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0.04</v>
      </c>
      <c r="E25" s="13" t="n">
        <v>0.04</v>
      </c>
      <c r="F25" s="13" t="n">
        <v>0.04</v>
      </c>
      <c r="G25" s="13" t="n">
        <v>0.04</v>
      </c>
      <c r="H25" s="13" t="n">
        <v>0.04</v>
      </c>
      <c r="I25" s="13" t="n">
        <v>0.04</v>
      </c>
      <c r="J25" s="13" t="n">
        <v>0.04</v>
      </c>
      <c r="K25" s="13" t="n">
        <v>0.04</v>
      </c>
      <c r="L25" s="13" t="n">
        <v>0.04</v>
      </c>
      <c r="M25" s="13" t="n">
        <v>0.04</v>
      </c>
      <c r="N25" s="13" t="n">
        <v>0.04</v>
      </c>
      <c r="O25" s="13" t="n">
        <v>0.04</v>
      </c>
      <c r="P25" s="13" t="n">
        <v>0.04</v>
      </c>
      <c r="Q25" s="13" t="n">
        <v>0.04</v>
      </c>
      <c r="R25" s="13" t="n">
        <v>0.04</v>
      </c>
      <c r="S25" s="13" t="n">
        <v>0.04</v>
      </c>
      <c r="T25" s="13" t="n">
        <v>0.04</v>
      </c>
      <c r="U25" s="13" t="n">
        <v>0.04</v>
      </c>
      <c r="V25" s="13" t="n">
        <v>0.04</v>
      </c>
      <c r="W25" s="13" t="n">
        <v>0.04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0.27</v>
      </c>
      <c r="E26" s="13" t="n">
        <v>0.27</v>
      </c>
      <c r="F26" s="13" t="n">
        <v>0.27</v>
      </c>
      <c r="G26" s="13" t="n">
        <v>0.27</v>
      </c>
      <c r="H26" s="13" t="n">
        <v>0.27</v>
      </c>
      <c r="I26" s="13" t="n">
        <v>0.27</v>
      </c>
      <c r="J26" s="13" t="n">
        <v>0.27</v>
      </c>
      <c r="K26" s="13" t="n">
        <v>0.27</v>
      </c>
      <c r="L26" s="13" t="n">
        <v>0.27</v>
      </c>
      <c r="M26" s="13" t="n">
        <v>0.27</v>
      </c>
      <c r="N26" s="13" t="n">
        <v>0.27</v>
      </c>
      <c r="O26" s="13" t="n">
        <v>0.27</v>
      </c>
      <c r="P26" s="13" t="n">
        <v>0.27</v>
      </c>
      <c r="Q26" s="13" t="n">
        <v>0.27</v>
      </c>
      <c r="R26" s="13" t="n">
        <v>0.27</v>
      </c>
      <c r="S26" s="13" t="n">
        <v>0.27</v>
      </c>
      <c r="T26" s="13" t="n">
        <v>0.27</v>
      </c>
      <c r="U26" s="13" t="n">
        <v>0.27</v>
      </c>
      <c r="V26" s="13" t="n">
        <v>0.27</v>
      </c>
      <c r="W26" s="13" t="n">
        <v>0.27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0.01</v>
      </c>
      <c r="E27" s="13" t="n">
        <v>0.01</v>
      </c>
      <c r="F27" s="13" t="n">
        <v>0.01</v>
      </c>
      <c r="G27" s="13" t="n">
        <v>0.01</v>
      </c>
      <c r="H27" s="13" t="n">
        <v>0.01</v>
      </c>
      <c r="I27" s="13" t="n">
        <v>0.01</v>
      </c>
      <c r="J27" s="13" t="n">
        <v>0.01</v>
      </c>
      <c r="K27" s="13" t="n">
        <v>0.01</v>
      </c>
      <c r="L27" s="13" t="n">
        <v>0.01</v>
      </c>
      <c r="M27" s="13" t="n">
        <v>0.01</v>
      </c>
      <c r="N27" s="13" t="n">
        <v>0.01</v>
      </c>
      <c r="O27" s="13" t="n">
        <v>0.01</v>
      </c>
      <c r="P27" s="13" t="n">
        <v>0.01</v>
      </c>
      <c r="Q27" s="13" t="n">
        <v>0.01</v>
      </c>
      <c r="R27" s="13" t="n">
        <v>0.01</v>
      </c>
      <c r="S27" s="13" t="n">
        <v>0.01</v>
      </c>
      <c r="T27" s="13" t="n">
        <v>0.01</v>
      </c>
      <c r="U27" s="13" t="n">
        <v>0.01</v>
      </c>
      <c r="V27" s="13" t="n">
        <v>0.01</v>
      </c>
      <c r="W27" s="13" t="n">
        <v>0.01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medium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1.25</v>
      </c>
    </row>
    <row r="11">
      <c r="A11" t="inlineStr">
        <is>
          <t>Capacity Units per Supporting FTE</t>
        </is>
      </c>
      <c r="B11" t="n">
        <v>2700</v>
      </c>
    </row>
    <row r="12">
      <c r="A12" t="inlineStr">
        <is>
          <t>Target Payroll % of Revenue</t>
        </is>
      </c>
      <c r="B12" t="n">
        <v>0.45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Founder &amp; Bakery Manager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75820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Founder &amp; Bakery Manager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75820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Founder &amp; Bakery Manager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75820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Founder &amp; Bakery Manager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75820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Founder &amp; Bakery Manager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78095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Founder &amp; Bakery Manager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78095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Founder &amp; Bakery Manager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78095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Founder &amp; Bakery Manager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78095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Founder &amp; Bakery Manager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80437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Founder &amp; Bakery Manager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80437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Founder &amp; Bakery Manager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80437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Founder &amp; Bakery Manager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80437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Founder &amp; Bakery Manager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82851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Founder &amp; Bakery Manager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82851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Founder &amp; Bakery Manager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82851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Founder &amp; Bakery Manager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82851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Founder &amp; Bakery Manager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85336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Founder &amp; Bakery Manager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85336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Founder &amp; Bakery Manager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85336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Founder &amp; Bakery Manager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85336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Lead Baker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36550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Lead Baker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36550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Lead Baker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36550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Lead Baker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36550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Lead Baker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37646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Lead Baker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37646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Lead Baker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37646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Lead Baker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37646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Lead Baker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38776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Lead Baker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38776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Lead Baker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38776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Lead Baker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38776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Lead Baker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39939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Lead Baker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39939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Lead Baker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39939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Lead Baker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39939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Lead Baker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41137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Lead Baker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41137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Lead Baker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41137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Lead Baker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41137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Bakers</t>
        </is>
      </c>
      <c r="D67" t="inlineStr">
        <is>
          <t>Bakers</t>
        </is>
      </c>
      <c r="E67" s="29" t="n">
        <v>1.5</v>
      </c>
      <c r="F67" s="29" t="n">
        <v>0</v>
      </c>
      <c r="G67" s="30">
        <f>E67+F67</f>
        <v/>
      </c>
      <c r="H67" s="30">
        <f>(E67+G67)/2</f>
        <v/>
      </c>
      <c r="I67" s="31" t="n">
        <v>45688</v>
      </c>
      <c r="J67" s="32" t="n">
        <v>0.2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2</v>
      </c>
      <c r="B68" t="inlineStr">
        <is>
          <t>supporting_staff</t>
        </is>
      </c>
      <c r="C68" t="inlineStr">
        <is>
          <t>Bakers</t>
        </is>
      </c>
      <c r="D68" t="inlineStr">
        <is>
          <t>Bakers</t>
        </is>
      </c>
      <c r="E68" s="29" t="n">
        <v>1.5</v>
      </c>
      <c r="F68" s="29" t="n">
        <v>0</v>
      </c>
      <c r="G68" s="30">
        <f>E68+F68</f>
        <v/>
      </c>
      <c r="H68" s="30">
        <f>(E68+G68)/2</f>
        <v/>
      </c>
      <c r="I68" s="31" t="n">
        <v>45688</v>
      </c>
      <c r="J68" s="32" t="n">
        <v>0.2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3</v>
      </c>
      <c r="B69" t="inlineStr">
        <is>
          <t>supporting_staff</t>
        </is>
      </c>
      <c r="C69" t="inlineStr">
        <is>
          <t>Bakers</t>
        </is>
      </c>
      <c r="D69" t="inlineStr">
        <is>
          <t>Bakers</t>
        </is>
      </c>
      <c r="E69" s="29" t="n">
        <v>1.5</v>
      </c>
      <c r="F69" s="29" t="n">
        <v>0</v>
      </c>
      <c r="G69" s="30">
        <f>E69+F69</f>
        <v/>
      </c>
      <c r="H69" s="30">
        <f>(E69+G69)/2</f>
        <v/>
      </c>
      <c r="I69" s="31" t="n">
        <v>45688</v>
      </c>
      <c r="J69" s="32" t="n">
        <v>0.2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4</v>
      </c>
      <c r="B70" t="inlineStr">
        <is>
          <t>supporting_staff</t>
        </is>
      </c>
      <c r="C70" t="inlineStr">
        <is>
          <t>Bakers</t>
        </is>
      </c>
      <c r="D70" t="inlineStr">
        <is>
          <t>Bakers</t>
        </is>
      </c>
      <c r="E70" s="29" t="n">
        <v>1.5</v>
      </c>
      <c r="F70" s="29" t="n">
        <v>0</v>
      </c>
      <c r="G70" s="30">
        <f>E70+F70</f>
        <v/>
      </c>
      <c r="H70" s="30">
        <f>(E70+G70)/2</f>
        <v/>
      </c>
      <c r="I70" s="31" t="n">
        <v>45688</v>
      </c>
      <c r="J70" s="32" t="n">
        <v>0.2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5</v>
      </c>
      <c r="B71" t="inlineStr">
        <is>
          <t>supporting_staff</t>
        </is>
      </c>
      <c r="C71" t="inlineStr">
        <is>
          <t>Bakers</t>
        </is>
      </c>
      <c r="D71" t="inlineStr">
        <is>
          <t>Bakers</t>
        </is>
      </c>
      <c r="E71" s="29" t="n">
        <v>1.5</v>
      </c>
      <c r="F71" s="29" t="n">
        <v>0</v>
      </c>
      <c r="G71" s="30">
        <f>E71+F71</f>
        <v/>
      </c>
      <c r="H71" s="30">
        <f>(E71+G71)/2</f>
        <v/>
      </c>
      <c r="I71" s="31" t="n">
        <v>47058</v>
      </c>
      <c r="J71" s="32" t="n">
        <v>0.2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6</v>
      </c>
      <c r="B72" t="inlineStr">
        <is>
          <t>supporting_staff</t>
        </is>
      </c>
      <c r="C72" t="inlineStr">
        <is>
          <t>Bakers</t>
        </is>
      </c>
      <c r="D72" t="inlineStr">
        <is>
          <t>Bakers</t>
        </is>
      </c>
      <c r="E72" s="29" t="n">
        <v>1.5</v>
      </c>
      <c r="F72" s="29" t="n">
        <v>0</v>
      </c>
      <c r="G72" s="30">
        <f>E72+F72</f>
        <v/>
      </c>
      <c r="H72" s="30">
        <f>(E72+G72)/2</f>
        <v/>
      </c>
      <c r="I72" s="31" t="n">
        <v>47058</v>
      </c>
      <c r="J72" s="32" t="n">
        <v>0.2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7</v>
      </c>
      <c r="B73" t="inlineStr">
        <is>
          <t>supporting_staff</t>
        </is>
      </c>
      <c r="C73" t="inlineStr">
        <is>
          <t>Bakers</t>
        </is>
      </c>
      <c r="D73" t="inlineStr">
        <is>
          <t>Bakers</t>
        </is>
      </c>
      <c r="E73" s="29" t="n">
        <v>1.5</v>
      </c>
      <c r="F73" s="29" t="n">
        <v>0</v>
      </c>
      <c r="G73" s="30">
        <f>E73+F73</f>
        <v/>
      </c>
      <c r="H73" s="30">
        <f>(E73+G73)/2</f>
        <v/>
      </c>
      <c r="I73" s="31" t="n">
        <v>47058</v>
      </c>
      <c r="J73" s="32" t="n">
        <v>0.2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8</v>
      </c>
      <c r="B74" t="inlineStr">
        <is>
          <t>supporting_staff</t>
        </is>
      </c>
      <c r="C74" t="inlineStr">
        <is>
          <t>Bakers</t>
        </is>
      </c>
      <c r="D74" t="inlineStr">
        <is>
          <t>Bakers</t>
        </is>
      </c>
      <c r="E74" s="29" t="n">
        <v>1.5</v>
      </c>
      <c r="F74" s="29" t="n">
        <v>0</v>
      </c>
      <c r="G74" s="30">
        <f>E74+F74</f>
        <v/>
      </c>
      <c r="H74" s="30">
        <f>(E74+G74)/2</f>
        <v/>
      </c>
      <c r="I74" s="31" t="n">
        <v>47058</v>
      </c>
      <c r="J74" s="32" t="n">
        <v>0.2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9</v>
      </c>
      <c r="B75" t="inlineStr">
        <is>
          <t>supporting_staff</t>
        </is>
      </c>
      <c r="C75" t="inlineStr">
        <is>
          <t>Bakers</t>
        </is>
      </c>
      <c r="D75" t="inlineStr">
        <is>
          <t>Bakers</t>
        </is>
      </c>
      <c r="E75" s="29" t="n">
        <v>1.5</v>
      </c>
      <c r="F75" s="29" t="n">
        <v>0</v>
      </c>
      <c r="G75" s="30">
        <f>E75+F75</f>
        <v/>
      </c>
      <c r="H75" s="30">
        <f>(E75+G75)/2</f>
        <v/>
      </c>
      <c r="I75" s="31" t="n">
        <v>48470</v>
      </c>
      <c r="J75" s="32" t="n">
        <v>0.2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10</v>
      </c>
      <c r="B76" t="inlineStr">
        <is>
          <t>supporting_staff</t>
        </is>
      </c>
      <c r="C76" t="inlineStr">
        <is>
          <t>Bakers</t>
        </is>
      </c>
      <c r="D76" t="inlineStr">
        <is>
          <t>Bakers</t>
        </is>
      </c>
      <c r="E76" s="29" t="n">
        <v>1.5</v>
      </c>
      <c r="F76" s="29" t="n">
        <v>0</v>
      </c>
      <c r="G76" s="30">
        <f>E76+F76</f>
        <v/>
      </c>
      <c r="H76" s="30">
        <f>(E76+G76)/2</f>
        <v/>
      </c>
      <c r="I76" s="31" t="n">
        <v>48470</v>
      </c>
      <c r="J76" s="32" t="n">
        <v>0.2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11</v>
      </c>
      <c r="B77" t="inlineStr">
        <is>
          <t>supporting_staff</t>
        </is>
      </c>
      <c r="C77" t="inlineStr">
        <is>
          <t>Bakers</t>
        </is>
      </c>
      <c r="D77" t="inlineStr">
        <is>
          <t>Bakers</t>
        </is>
      </c>
      <c r="E77" s="29" t="n">
        <v>1.5</v>
      </c>
      <c r="F77" s="29" t="n">
        <v>0</v>
      </c>
      <c r="G77" s="30">
        <f>E77+F77</f>
        <v/>
      </c>
      <c r="H77" s="30">
        <f>(E77+G77)/2</f>
        <v/>
      </c>
      <c r="I77" s="31" t="n">
        <v>48470</v>
      </c>
      <c r="J77" s="32" t="n">
        <v>0.2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12</v>
      </c>
      <c r="B78" t="inlineStr">
        <is>
          <t>supporting_staff</t>
        </is>
      </c>
      <c r="C78" t="inlineStr">
        <is>
          <t>Bakers</t>
        </is>
      </c>
      <c r="D78" t="inlineStr">
        <is>
          <t>Bakers</t>
        </is>
      </c>
      <c r="E78" s="29" t="n">
        <v>1.5</v>
      </c>
      <c r="F78" s="29" t="n">
        <v>0</v>
      </c>
      <c r="G78" s="30">
        <f>E78+F78</f>
        <v/>
      </c>
      <c r="H78" s="30">
        <f>(E78+G78)/2</f>
        <v/>
      </c>
      <c r="I78" s="31" t="n">
        <v>48470</v>
      </c>
      <c r="J78" s="32" t="n">
        <v>0.2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13</v>
      </c>
      <c r="B79" t="inlineStr">
        <is>
          <t>supporting_staff</t>
        </is>
      </c>
      <c r="C79" t="inlineStr">
        <is>
          <t>Bakers</t>
        </is>
      </c>
      <c r="D79" t="inlineStr">
        <is>
          <t>Bakers</t>
        </is>
      </c>
      <c r="E79" s="29" t="n">
        <v>1.5</v>
      </c>
      <c r="F79" s="29" t="n">
        <v>0</v>
      </c>
      <c r="G79" s="30">
        <f>E79+F79</f>
        <v/>
      </c>
      <c r="H79" s="30">
        <f>(E79+G79)/2</f>
        <v/>
      </c>
      <c r="I79" s="31" t="n">
        <v>49924</v>
      </c>
      <c r="J79" s="32" t="n">
        <v>0.2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14</v>
      </c>
      <c r="B80" t="inlineStr">
        <is>
          <t>supporting_staff</t>
        </is>
      </c>
      <c r="C80" t="inlineStr">
        <is>
          <t>Bakers</t>
        </is>
      </c>
      <c r="D80" t="inlineStr">
        <is>
          <t>Bakers</t>
        </is>
      </c>
      <c r="E80" s="29" t="n">
        <v>1.5</v>
      </c>
      <c r="F80" s="29" t="n">
        <v>0</v>
      </c>
      <c r="G80" s="30">
        <f>E80+F80</f>
        <v/>
      </c>
      <c r="H80" s="30">
        <f>(E80+G80)/2</f>
        <v/>
      </c>
      <c r="I80" s="31" t="n">
        <v>49924</v>
      </c>
      <c r="J80" s="32" t="n">
        <v>0.2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15</v>
      </c>
      <c r="B81" t="inlineStr">
        <is>
          <t>supporting_staff</t>
        </is>
      </c>
      <c r="C81" t="inlineStr">
        <is>
          <t>Bakers</t>
        </is>
      </c>
      <c r="D81" t="inlineStr">
        <is>
          <t>Bakers</t>
        </is>
      </c>
      <c r="E81" s="29" t="n">
        <v>1.5</v>
      </c>
      <c r="F81" s="29" t="n">
        <v>0</v>
      </c>
      <c r="G81" s="30">
        <f>E81+F81</f>
        <v/>
      </c>
      <c r="H81" s="30">
        <f>(E81+G81)/2</f>
        <v/>
      </c>
      <c r="I81" s="31" t="n">
        <v>49924</v>
      </c>
      <c r="J81" s="32" t="n">
        <v>0.2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16</v>
      </c>
      <c r="B82" t="inlineStr">
        <is>
          <t>supporting_staff</t>
        </is>
      </c>
      <c r="C82" t="inlineStr">
        <is>
          <t>Bakers</t>
        </is>
      </c>
      <c r="D82" t="inlineStr">
        <is>
          <t>Bakers</t>
        </is>
      </c>
      <c r="E82" s="29" t="n">
        <v>1.5</v>
      </c>
      <c r="F82" s="29" t="n">
        <v>0</v>
      </c>
      <c r="G82" s="30">
        <f>E82+F82</f>
        <v/>
      </c>
      <c r="H82" s="30">
        <f>(E82+G82)/2</f>
        <v/>
      </c>
      <c r="I82" s="31" t="n">
        <v>49924</v>
      </c>
      <c r="J82" s="32" t="n">
        <v>0.2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17</v>
      </c>
      <c r="B83" t="inlineStr">
        <is>
          <t>supporting_staff</t>
        </is>
      </c>
      <c r="C83" t="inlineStr">
        <is>
          <t>Bakers</t>
        </is>
      </c>
      <c r="D83" t="inlineStr">
        <is>
          <t>Bakers</t>
        </is>
      </c>
      <c r="E83" s="29" t="n">
        <v>1.5</v>
      </c>
      <c r="F83" s="29" t="n">
        <v>0</v>
      </c>
      <c r="G83" s="30">
        <f>E83+F83</f>
        <v/>
      </c>
      <c r="H83" s="30">
        <f>(E83+G83)/2</f>
        <v/>
      </c>
      <c r="I83" s="31" t="n">
        <v>51422</v>
      </c>
      <c r="J83" s="32" t="n">
        <v>0.2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18</v>
      </c>
      <c r="B84" t="inlineStr">
        <is>
          <t>supporting_staff</t>
        </is>
      </c>
      <c r="C84" t="inlineStr">
        <is>
          <t>Bakers</t>
        </is>
      </c>
      <c r="D84" t="inlineStr">
        <is>
          <t>Bakers</t>
        </is>
      </c>
      <c r="E84" s="29" t="n">
        <v>1.5</v>
      </c>
      <c r="F84" s="29" t="n">
        <v>0</v>
      </c>
      <c r="G84" s="30">
        <f>E84+F84</f>
        <v/>
      </c>
      <c r="H84" s="30">
        <f>(E84+G84)/2</f>
        <v/>
      </c>
      <c r="I84" s="31" t="n">
        <v>51422</v>
      </c>
      <c r="J84" s="32" t="n">
        <v>0.2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19</v>
      </c>
      <c r="B85" t="inlineStr">
        <is>
          <t>supporting_staff</t>
        </is>
      </c>
      <c r="C85" t="inlineStr">
        <is>
          <t>Bakers</t>
        </is>
      </c>
      <c r="D85" t="inlineStr">
        <is>
          <t>Bakers</t>
        </is>
      </c>
      <c r="E85" s="29" t="n">
        <v>1.5</v>
      </c>
      <c r="F85" s="29" t="n">
        <v>0</v>
      </c>
      <c r="G85" s="30">
        <f>E85+F85</f>
        <v/>
      </c>
      <c r="H85" s="30">
        <f>(E85+G85)/2</f>
        <v/>
      </c>
      <c r="I85" s="31" t="n">
        <v>51422</v>
      </c>
      <c r="J85" s="32" t="n">
        <v>0.2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20</v>
      </c>
      <c r="B86" t="inlineStr">
        <is>
          <t>supporting_staff</t>
        </is>
      </c>
      <c r="C86" t="inlineStr">
        <is>
          <t>Bakers</t>
        </is>
      </c>
      <c r="D86" t="inlineStr">
        <is>
          <t>Bakers</t>
        </is>
      </c>
      <c r="E86" s="29" t="n">
        <v>1.5</v>
      </c>
      <c r="F86" s="29" t="n">
        <v>0</v>
      </c>
      <c r="G86" s="30">
        <f>E86+F86</f>
        <v/>
      </c>
      <c r="H86" s="30">
        <f>(E86+G86)/2</f>
        <v/>
      </c>
      <c r="I86" s="31" t="n">
        <v>51422</v>
      </c>
      <c r="J86" s="32" t="n">
        <v>0.2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35000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1750</v>
      </c>
      <c r="E9" s="11" t="n">
        <v>1750</v>
      </c>
      <c r="F9" s="11" t="n">
        <v>1750</v>
      </c>
      <c r="G9" s="11" t="n">
        <v>1750</v>
      </c>
      <c r="H9" s="11" t="n">
        <v>1750</v>
      </c>
      <c r="I9" s="11" t="n">
        <v>1750</v>
      </c>
      <c r="J9" s="11" t="n">
        <v>1750</v>
      </c>
      <c r="K9" s="11" t="n">
        <v>1750</v>
      </c>
      <c r="L9" s="11" t="n">
        <v>1750</v>
      </c>
      <c r="M9" s="11" t="n">
        <v>1750</v>
      </c>
      <c r="N9" s="11" t="n">
        <v>1750</v>
      </c>
      <c r="O9" s="11" t="n">
        <v>1750</v>
      </c>
      <c r="P9" s="11" t="n">
        <v>1750</v>
      </c>
      <c r="Q9" s="11" t="n">
        <v>1750</v>
      </c>
      <c r="R9" s="11" t="n">
        <v>1750</v>
      </c>
      <c r="S9" s="11" t="n">
        <v>1750</v>
      </c>
      <c r="T9" s="11" t="n">
        <v>2103</v>
      </c>
      <c r="U9" s="11" t="n">
        <v>4897</v>
      </c>
      <c r="V9" s="11" t="n">
        <v>1750</v>
      </c>
      <c r="W9" s="11" t="n">
        <v>1750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0.02375</v>
      </c>
      <c r="E12" s="13" t="n">
        <v>0.02375</v>
      </c>
      <c r="F12" s="13" t="n">
        <v>0.02375</v>
      </c>
      <c r="G12" s="13" t="n">
        <v>0.02375</v>
      </c>
      <c r="H12" s="13" t="n">
        <v>0.02375</v>
      </c>
      <c r="I12" s="13" t="n">
        <v>0.02375</v>
      </c>
      <c r="J12" s="13" t="n">
        <v>0.02375</v>
      </c>
      <c r="K12" s="13" t="n">
        <v>0.02375</v>
      </c>
      <c r="L12" s="13" t="n">
        <v>0.02375</v>
      </c>
      <c r="M12" s="13" t="n">
        <v>0.02375</v>
      </c>
      <c r="N12" s="13" t="n">
        <v>0.02375</v>
      </c>
      <c r="O12" s="13" t="n">
        <v>0.02375</v>
      </c>
      <c r="P12" s="13" t="n">
        <v>0.02375</v>
      </c>
      <c r="Q12" s="13" t="n">
        <v>0.02375</v>
      </c>
      <c r="R12" s="13" t="n">
        <v>0.02375</v>
      </c>
      <c r="S12" s="13" t="n">
        <v>0.02375</v>
      </c>
      <c r="T12" s="13" t="n">
        <v>0.02375</v>
      </c>
      <c r="U12" s="13" t="n">
        <v>0.02375</v>
      </c>
      <c r="V12" s="13" t="n">
        <v>0.02375</v>
      </c>
      <c r="W12" s="13" t="n">
        <v>0.02375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150000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972</v>
      </c>
      <c r="E8" s="35" t="n">
        <v>977.9836319999999</v>
      </c>
      <c r="F8" s="35" t="n">
        <v>983.6891890000001</v>
      </c>
      <c r="G8" s="35" t="n">
        <v>989.113251</v>
      </c>
      <c r="H8" s="35" t="n">
        <v>994.251694</v>
      </c>
      <c r="I8" s="35" t="n">
        <v>999.1016540000001</v>
      </c>
      <c r="J8" s="35" t="n">
        <v>1003.658556</v>
      </c>
      <c r="K8" s="35" t="n">
        <v>1007.920091</v>
      </c>
      <c r="L8" s="35" t="n">
        <v>1011.883232</v>
      </c>
      <c r="M8" s="35" t="n">
        <v>1015.544226</v>
      </c>
      <c r="N8" s="35" t="n">
        <v>1018.899584</v>
      </c>
      <c r="O8" s="35" t="n">
        <v>1021.946094</v>
      </c>
      <c r="P8" s="35" t="n">
        <v>1024.681844</v>
      </c>
      <c r="Q8" s="35" t="n">
        <v>1027.103167</v>
      </c>
      <c r="R8" s="35" t="n">
        <v>1029.207701</v>
      </c>
      <c r="S8" s="35" t="n">
        <v>1030.992347</v>
      </c>
      <c r="T8" s="35" t="n">
        <v>1032.454294</v>
      </c>
      <c r="U8" s="35" t="n">
        <v>1033.591027</v>
      </c>
      <c r="V8" s="35" t="n">
        <v>1034.400328</v>
      </c>
      <c r="W8" s="35" t="n">
        <v>1034.879256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0.000324</v>
      </c>
      <c r="E10" s="13" t="n">
        <v>0.000646</v>
      </c>
      <c r="F10" s="13" t="n">
        <v>0.000966</v>
      </c>
      <c r="G10" s="13" t="n">
        <v>0.001285</v>
      </c>
      <c r="H10" s="13" t="n">
        <v>0.001602</v>
      </c>
      <c r="I10" s="13" t="n">
        <v>0.001919</v>
      </c>
      <c r="J10" s="13" t="n">
        <v>0.002234</v>
      </c>
      <c r="K10" s="13" t="n">
        <v>0.002548</v>
      </c>
      <c r="L10" s="13" t="n">
        <v>0.002862</v>
      </c>
      <c r="M10" s="13" t="n">
        <v>0.003176</v>
      </c>
      <c r="N10" s="13" t="n">
        <v>0.00349</v>
      </c>
      <c r="O10" s="13" t="n">
        <v>0.003803</v>
      </c>
      <c r="P10" s="13" t="n">
        <v>0.004117</v>
      </c>
      <c r="Q10" s="13" t="n">
        <v>0.004431</v>
      </c>
      <c r="R10" s="13" t="n">
        <v>0.004746</v>
      </c>
      <c r="S10" s="13" t="n">
        <v>0.005062</v>
      </c>
      <c r="T10" s="13" t="n">
        <v>0.005379</v>
      </c>
      <c r="U10" s="13" t="n">
        <v>0.005697</v>
      </c>
      <c r="V10" s="13" t="n">
        <v>0.006017</v>
      </c>
      <c r="W10" s="13" t="n">
        <v>0.006338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3</v>
      </c>
      <c r="E8" s="9" t="n">
        <v>3</v>
      </c>
      <c r="F8" s="9" t="n">
        <v>3</v>
      </c>
      <c r="G8" s="9" t="n">
        <v>3</v>
      </c>
      <c r="H8" s="9" t="n">
        <v>3</v>
      </c>
      <c r="I8" s="9" t="n">
        <v>3</v>
      </c>
      <c r="J8" s="9" t="n">
        <v>3</v>
      </c>
      <c r="K8" s="9" t="n">
        <v>3</v>
      </c>
      <c r="L8" s="9" t="n">
        <v>3</v>
      </c>
      <c r="M8" s="9" t="n">
        <v>3</v>
      </c>
      <c r="N8" s="9" t="n">
        <v>3</v>
      </c>
      <c r="O8" s="9" t="n">
        <v>3</v>
      </c>
      <c r="P8" s="9" t="n">
        <v>3</v>
      </c>
      <c r="Q8" s="9" t="n">
        <v>3</v>
      </c>
      <c r="R8" s="9" t="n">
        <v>3</v>
      </c>
      <c r="S8" s="9" t="n">
        <v>3</v>
      </c>
      <c r="T8" s="9" t="n">
        <v>3</v>
      </c>
      <c r="U8" s="9" t="n">
        <v>3</v>
      </c>
      <c r="V8" s="9" t="n">
        <v>3</v>
      </c>
      <c r="W8" s="9" t="n">
        <v>3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0.02</v>
      </c>
      <c r="E10" s="13" t="n">
        <v>0.02</v>
      </c>
      <c r="F10" s="13" t="n">
        <v>0.02</v>
      </c>
      <c r="G10" s="13" t="n">
        <v>0.02</v>
      </c>
      <c r="H10" s="13" t="n">
        <v>0.02</v>
      </c>
      <c r="I10" s="13" t="n">
        <v>0.02</v>
      </c>
      <c r="J10" s="13" t="n">
        <v>0.02</v>
      </c>
      <c r="K10" s="13" t="n">
        <v>0.02</v>
      </c>
      <c r="L10" s="13" t="n">
        <v>0.02</v>
      </c>
      <c r="M10" s="13" t="n">
        <v>0.02</v>
      </c>
      <c r="N10" s="13" t="n">
        <v>0.02</v>
      </c>
      <c r="O10" s="13" t="n">
        <v>0.02</v>
      </c>
      <c r="P10" s="13" t="n">
        <v>0.02</v>
      </c>
      <c r="Q10" s="13" t="n">
        <v>0.02</v>
      </c>
      <c r="R10" s="13" t="n">
        <v>0.02</v>
      </c>
      <c r="S10" s="13" t="n">
        <v>0.02</v>
      </c>
      <c r="T10" s="13" t="n">
        <v>0.02</v>
      </c>
      <c r="U10" s="13" t="n">
        <v>0.02</v>
      </c>
      <c r="V10" s="13" t="n">
        <v>0.02</v>
      </c>
      <c r="W10" s="13" t="n">
        <v>0.02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0</v>
      </c>
      <c r="D7" s="11" t="n">
        <v>105091</v>
      </c>
      <c r="E7" s="11" t="n">
        <v>154367</v>
      </c>
      <c r="F7" s="11" t="n">
        <v>198559</v>
      </c>
      <c r="G7" s="11" t="n">
        <v>238758</v>
      </c>
      <c r="H7" s="11" t="n">
        <v>275608</v>
      </c>
      <c r="I7" s="11" t="n">
        <v>306218</v>
      </c>
      <c r="J7" s="11" t="n">
        <v>330458</v>
      </c>
      <c r="K7" s="11" t="n">
        <v>348493</v>
      </c>
      <c r="L7" s="11" t="n">
        <v>361871</v>
      </c>
      <c r="M7" s="11" t="n">
        <v>367303</v>
      </c>
      <c r="N7" s="11" t="n">
        <v>367303</v>
      </c>
      <c r="O7" s="11" t="n">
        <v>367303</v>
      </c>
      <c r="P7" s="11" t="n">
        <v>367303</v>
      </c>
      <c r="Q7" s="11" t="n">
        <v>367303</v>
      </c>
      <c r="R7" s="11" t="n">
        <v>367303</v>
      </c>
      <c r="S7" s="11" t="n">
        <v>367303</v>
      </c>
      <c r="T7" s="11" t="n">
        <v>367303</v>
      </c>
      <c r="U7" s="11" t="n">
        <v>367303</v>
      </c>
      <c r="V7" s="11" t="n">
        <v>367303</v>
      </c>
      <c r="W7" s="11" t="n">
        <v>367303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352</v>
      </c>
      <c r="U9" s="11" t="n">
        <v>5052</v>
      </c>
      <c r="V9" s="11" t="n">
        <v>11946</v>
      </c>
      <c r="W9" s="11" t="n">
        <v>12473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9600</v>
      </c>
      <c r="D12" s="11" t="n">
        <v>9600</v>
      </c>
      <c r="E12" s="11" t="n">
        <v>9600</v>
      </c>
      <c r="F12" s="11" t="n">
        <v>9600</v>
      </c>
      <c r="G12" s="11" t="n">
        <v>9600</v>
      </c>
      <c r="H12" s="11" t="n">
        <v>9600</v>
      </c>
      <c r="I12" s="11" t="n">
        <v>9600</v>
      </c>
      <c r="J12" s="11" t="n">
        <v>9600</v>
      </c>
      <c r="K12" s="11" t="n">
        <v>9600</v>
      </c>
      <c r="L12" s="11" t="n">
        <v>9600</v>
      </c>
      <c r="M12" s="11" t="n">
        <v>9600</v>
      </c>
      <c r="N12" s="11" t="n">
        <v>9600</v>
      </c>
      <c r="O12" s="11" t="n">
        <v>9600</v>
      </c>
      <c r="P12" s="11" t="n">
        <v>9600</v>
      </c>
      <c r="Q12" s="11" t="n">
        <v>9600</v>
      </c>
      <c r="R12" s="11" t="n">
        <v>9600</v>
      </c>
      <c r="S12" s="11" t="n">
        <v>9600</v>
      </c>
      <c r="T12" s="11" t="n">
        <v>9600</v>
      </c>
      <c r="U12" s="11" t="n">
        <v>9600</v>
      </c>
      <c r="V12" s="11" t="n">
        <v>9600</v>
      </c>
      <c r="W12" s="11" t="n">
        <v>9600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Bakery transactions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Bakery transactions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Bakery transactions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Bakery transactions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0.32</v>
      </c>
      <c r="D12" s="14" t="n">
        <v>0.63</v>
      </c>
      <c r="E12" s="14" t="n">
        <v>0.6140000000000001</v>
      </c>
      <c r="F12" s="14" t="n">
        <v>0.598</v>
      </c>
      <c r="G12" s="14" t="n">
        <v>0.582</v>
      </c>
      <c r="H12" s="14" t="n">
        <v>0.5660000000000001</v>
      </c>
      <c r="I12" s="14" t="n">
        <v>0.55</v>
      </c>
      <c r="J12" s="14" t="n">
        <v>0.534</v>
      </c>
      <c r="K12" s="14" t="n">
        <v>0.518</v>
      </c>
      <c r="L12" s="14" t="n">
        <v>0.502</v>
      </c>
      <c r="M12" s="14" t="n">
        <v>0.486</v>
      </c>
      <c r="N12" s="14" t="n">
        <v>0.47</v>
      </c>
      <c r="O12" s="14" t="n">
        <v>0.4677777777777777</v>
      </c>
      <c r="P12" s="14" t="n">
        <v>0.4655555555555555</v>
      </c>
      <c r="Q12" s="14" t="n">
        <v>0.4633333333333334</v>
      </c>
      <c r="R12" s="14" t="n">
        <v>0.4611111111111111</v>
      </c>
      <c r="S12" s="14" t="n">
        <v>0.4588888888888889</v>
      </c>
      <c r="T12" s="14" t="n">
        <v>0.4566666666666667</v>
      </c>
      <c r="U12" s="14" t="n">
        <v>0.4544444444444445</v>
      </c>
      <c r="V12" s="14" t="n">
        <v>0.4522222222222222</v>
      </c>
      <c r="W12" s="14" t="n">
        <v>0.45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0.09</v>
      </c>
      <c r="D13" s="14" t="n">
        <v>0.1</v>
      </c>
      <c r="E13" s="14" t="n">
        <v>0.09400000000000001</v>
      </c>
      <c r="F13" s="14" t="n">
        <v>0.08800000000000002</v>
      </c>
      <c r="G13" s="14" t="n">
        <v>0.08199999999999999</v>
      </c>
      <c r="H13" s="14" t="n">
        <v>0.076</v>
      </c>
      <c r="I13" s="14" t="n">
        <v>0.07000000000000001</v>
      </c>
      <c r="J13" s="14" t="n">
        <v>0.064</v>
      </c>
      <c r="K13" s="14" t="n">
        <v>0.058</v>
      </c>
      <c r="L13" s="14" t="n">
        <v>0.052</v>
      </c>
      <c r="M13" s="14" t="n">
        <v>0.046</v>
      </c>
      <c r="N13" s="14" t="n">
        <v>0.04</v>
      </c>
      <c r="O13" s="14" t="n">
        <v>0.03888888888888889</v>
      </c>
      <c r="P13" s="14" t="n">
        <v>0.03777777777777778</v>
      </c>
      <c r="Q13" s="14" t="n">
        <v>0.03666666666666667</v>
      </c>
      <c r="R13" s="14" t="n">
        <v>0.03555555555555556</v>
      </c>
      <c r="S13" s="14" t="n">
        <v>0.03444444444444444</v>
      </c>
      <c r="T13" s="14" t="n">
        <v>0.03333333333333333</v>
      </c>
      <c r="U13" s="14" t="n">
        <v>0.03222222222222222</v>
      </c>
      <c r="V13" s="14" t="n">
        <v>0.03111111111111111</v>
      </c>
      <c r="W13" s="14" t="n">
        <v>0.03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0.02</v>
      </c>
      <c r="E14" s="14" t="n">
        <v>0.0188</v>
      </c>
      <c r="F14" s="14" t="n">
        <v>0.0176</v>
      </c>
      <c r="G14" s="14" t="n">
        <v>0.0164</v>
      </c>
      <c r="H14" s="14" t="n">
        <v>0.0152</v>
      </c>
      <c r="I14" s="14" t="n">
        <v>0.014</v>
      </c>
      <c r="J14" s="14" t="n">
        <v>0.0128</v>
      </c>
      <c r="K14" s="14" t="n">
        <v>0.0116</v>
      </c>
      <c r="L14" s="14" t="n">
        <v>0.0104</v>
      </c>
      <c r="M14" s="14" t="n">
        <v>0.0092</v>
      </c>
      <c r="N14" s="14" t="n">
        <v>0.008</v>
      </c>
      <c r="O14" s="14" t="n">
        <v>0.007666666666666666</v>
      </c>
      <c r="P14" s="14" t="n">
        <v>0.007333333333333334</v>
      </c>
      <c r="Q14" s="14" t="n">
        <v>0.007000000000000001</v>
      </c>
      <c r="R14" s="14" t="n">
        <v>0.006666666666666666</v>
      </c>
      <c r="S14" s="14" t="n">
        <v>0.006333333333333333</v>
      </c>
      <c r="T14" s="14" t="n">
        <v>0.006</v>
      </c>
      <c r="U14" s="14" t="n">
        <v>0.005666666666666667</v>
      </c>
      <c r="V14" s="14" t="n">
        <v>0.005333333333333334</v>
      </c>
      <c r="W14" s="14" t="n">
        <v>0.005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45598.18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0.002313</v>
      </c>
      <c r="D17" s="14" t="n">
        <v>0.1</v>
      </c>
      <c r="E17" s="14" t="n">
        <v>0.09600000000000002</v>
      </c>
      <c r="F17" s="14" t="n">
        <v>0.09200000000000001</v>
      </c>
      <c r="G17" s="14" t="n">
        <v>0.08799999999999999</v>
      </c>
      <c r="H17" s="14" t="n">
        <v>0.08399999999999999</v>
      </c>
      <c r="I17" s="14" t="n">
        <v>0.08</v>
      </c>
      <c r="J17" s="14" t="n">
        <v>0.07600000000000001</v>
      </c>
      <c r="K17" s="14" t="n">
        <v>0.07200000000000001</v>
      </c>
      <c r="L17" s="14" t="n">
        <v>0.068</v>
      </c>
      <c r="M17" s="14" t="n">
        <v>0.064</v>
      </c>
      <c r="N17" s="14" t="n">
        <v>0.06</v>
      </c>
      <c r="O17" s="14" t="n">
        <v>0.05888888888888889</v>
      </c>
      <c r="P17" s="14" t="n">
        <v>0.05777777777777778</v>
      </c>
      <c r="Q17" s="14" t="n">
        <v>0.05666666666666667</v>
      </c>
      <c r="R17" s="14" t="n">
        <v>0.05555555555555555</v>
      </c>
      <c r="S17" s="14" t="n">
        <v>0.05444444444444445</v>
      </c>
      <c r="T17" s="14" t="n">
        <v>0.05333333333333333</v>
      </c>
      <c r="U17" s="14" t="n">
        <v>0.05222222222222223</v>
      </c>
      <c r="V17" s="14" t="n">
        <v>0.05111111111111111</v>
      </c>
      <c r="W17" s="14" t="n">
        <v>0.05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0.2024</v>
      </c>
      <c r="D22" s="14" t="n">
        <v>0.2024</v>
      </c>
      <c r="E22" s="14" t="n">
        <v>0.2024</v>
      </c>
      <c r="F22" s="14" t="n">
        <v>0.2024</v>
      </c>
      <c r="G22" s="14" t="n">
        <v>0.2024</v>
      </c>
      <c r="H22" s="14" t="n">
        <v>0.2024</v>
      </c>
      <c r="I22" s="14" t="n">
        <v>0.2024</v>
      </c>
      <c r="J22" s="14" t="n">
        <v>0.2024</v>
      </c>
      <c r="K22" s="14" t="n">
        <v>0.2024</v>
      </c>
      <c r="L22" s="14" t="n">
        <v>0.2024</v>
      </c>
      <c r="M22" s="14" t="n">
        <v>0.2024</v>
      </c>
      <c r="N22" s="14" t="n">
        <v>0.2024</v>
      </c>
      <c r="O22" s="14" t="n">
        <v>0.2024</v>
      </c>
      <c r="P22" s="14" t="n">
        <v>0.2024</v>
      </c>
      <c r="Q22" s="14" t="n">
        <v>0.2024</v>
      </c>
      <c r="R22" s="14" t="n">
        <v>0.2024</v>
      </c>
      <c r="S22" s="14" t="n">
        <v>0.2024</v>
      </c>
      <c r="T22" s="14" t="n">
        <v>0.2024</v>
      </c>
      <c r="U22" s="14" t="n">
        <v>0.2024</v>
      </c>
      <c r="V22" s="14" t="n">
        <v>0.2024</v>
      </c>
      <c r="W22" s="14" t="n">
        <v>0.2024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102375</v>
      </c>
      <c r="D7" s="31" t="n">
        <v>106312.5</v>
      </c>
      <c r="E7" s="31" t="n">
        <v>112609.035</v>
      </c>
      <c r="F7" s="31" t="n">
        <v>119024.64</v>
      </c>
      <c r="G7" s="31" t="n">
        <v>125559.315</v>
      </c>
      <c r="H7" s="31" t="n">
        <v>132213.06</v>
      </c>
      <c r="I7" s="31" t="n">
        <v>138985.875</v>
      </c>
      <c r="J7" s="31" t="n">
        <v>145877.76</v>
      </c>
      <c r="K7" s="31" t="n">
        <v>152888.715</v>
      </c>
      <c r="L7" s="31" t="n">
        <v>160018.74</v>
      </c>
      <c r="M7" s="31" t="n">
        <v>167267.835</v>
      </c>
      <c r="N7" s="31" t="n">
        <v>174636</v>
      </c>
      <c r="O7" s="31" t="n">
        <v>176399.998236</v>
      </c>
      <c r="P7" s="31" t="n">
        <v>178163.996472</v>
      </c>
      <c r="Q7" s="31" t="n">
        <v>179928.002646</v>
      </c>
      <c r="R7" s="31" t="n">
        <v>181692.000882</v>
      </c>
      <c r="S7" s="31" t="n">
        <v>183455.999118</v>
      </c>
      <c r="T7" s="31" t="n">
        <v>185219.997354</v>
      </c>
      <c r="U7" s="31" t="n">
        <v>186984.003528</v>
      </c>
      <c r="V7" s="31" t="n">
        <v>188748.001764</v>
      </c>
      <c r="W7" s="31" t="n">
        <v>190512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32760</v>
      </c>
      <c r="D8" s="31" t="n">
        <v>66976.875</v>
      </c>
      <c r="E8" s="31" t="n">
        <v>69141.94749000001</v>
      </c>
      <c r="F8" s="31" t="n">
        <v>71176.73471999999</v>
      </c>
      <c r="G8" s="31" t="n">
        <v>73075.52133</v>
      </c>
      <c r="H8" s="31" t="n">
        <v>74832.59196000001</v>
      </c>
      <c r="I8" s="31" t="n">
        <v>76442.23125</v>
      </c>
      <c r="J8" s="31" t="n">
        <v>77898.72384000001</v>
      </c>
      <c r="K8" s="31" t="n">
        <v>79196.35437</v>
      </c>
      <c r="L8" s="31" t="n">
        <v>80329.40747999999</v>
      </c>
      <c r="M8" s="31" t="n">
        <v>81292.16781</v>
      </c>
      <c r="N8" s="31" t="n">
        <v>82078.92</v>
      </c>
      <c r="O8" s="31" t="n">
        <v>82515.999175</v>
      </c>
      <c r="P8" s="31" t="n">
        <v>82945.238358</v>
      </c>
      <c r="Q8" s="31" t="n">
        <v>83366.64122600001</v>
      </c>
      <c r="R8" s="31" t="n">
        <v>83780.200407</v>
      </c>
      <c r="S8" s="31" t="n">
        <v>84185.919595</v>
      </c>
      <c r="T8" s="31" t="n">
        <v>84583.798792</v>
      </c>
      <c r="U8" s="31" t="n">
        <v>84973.84160299999</v>
      </c>
      <c r="V8" s="31" t="n">
        <v>85356.040798</v>
      </c>
      <c r="W8" s="31" t="n">
        <v>85730.39999999999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69615</v>
      </c>
      <c r="D9" s="31" t="n">
        <v>39335.625</v>
      </c>
      <c r="E9" s="31" t="n">
        <v>43467.08751</v>
      </c>
      <c r="F9" s="31" t="n">
        <v>47847.90528</v>
      </c>
      <c r="G9" s="31" t="n">
        <v>52483.79367</v>
      </c>
      <c r="H9" s="31" t="n">
        <v>57380.46804</v>
      </c>
      <c r="I9" s="31" t="n">
        <v>62543.64375</v>
      </c>
      <c r="J9" s="31" t="n">
        <v>67979.03616</v>
      </c>
      <c r="K9" s="31" t="n">
        <v>73692.36063</v>
      </c>
      <c r="L9" s="31" t="n">
        <v>79689.33252</v>
      </c>
      <c r="M9" s="31" t="n">
        <v>85975.66718999999</v>
      </c>
      <c r="N9" s="31" t="n">
        <v>92557.08</v>
      </c>
      <c r="O9" s="31" t="n">
        <v>93883.99906099999</v>
      </c>
      <c r="P9" s="31" t="n">
        <v>95218.758114</v>
      </c>
      <c r="Q9" s="31" t="n">
        <v>96561.36142</v>
      </c>
      <c r="R9" s="31" t="n">
        <v>97911.800475</v>
      </c>
      <c r="S9" s="31" t="n">
        <v>99270.07952299999</v>
      </c>
      <c r="T9" s="31" t="n">
        <v>100636.198562</v>
      </c>
      <c r="U9" s="31" t="n">
        <v>102010.161925</v>
      </c>
      <c r="V9" s="31" t="n">
        <v>103391.960966</v>
      </c>
      <c r="W9" s="31" t="n">
        <v>104781.6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9213.75</v>
      </c>
      <c r="D10" s="31" t="n">
        <v>10631.25</v>
      </c>
      <c r="E10" s="31" t="n">
        <v>10585.24929</v>
      </c>
      <c r="F10" s="31" t="n">
        <v>10474.16832</v>
      </c>
      <c r="G10" s="31" t="n">
        <v>10295.86383</v>
      </c>
      <c r="H10" s="31" t="n">
        <v>10048.19256</v>
      </c>
      <c r="I10" s="31" t="n">
        <v>9729.01125</v>
      </c>
      <c r="J10" s="31" t="n">
        <v>9336.17664</v>
      </c>
      <c r="K10" s="31" t="n">
        <v>8867.545469999999</v>
      </c>
      <c r="L10" s="31" t="n">
        <v>8320.974480000001</v>
      </c>
      <c r="M10" s="31" t="n">
        <v>7694.32041</v>
      </c>
      <c r="N10" s="31" t="n">
        <v>6985.44</v>
      </c>
      <c r="O10" s="31" t="n">
        <v>6859.999931</v>
      </c>
      <c r="P10" s="31" t="n">
        <v>6730.639867</v>
      </c>
      <c r="Q10" s="31" t="n">
        <v>6597.360097</v>
      </c>
      <c r="R10" s="31" t="n">
        <v>6460.160031</v>
      </c>
      <c r="S10" s="31" t="n">
        <v>6319.03997</v>
      </c>
      <c r="T10" s="31" t="n">
        <v>6173.999912</v>
      </c>
      <c r="U10" s="31" t="n">
        <v>6025.040114</v>
      </c>
      <c r="V10" s="31" t="n">
        <v>5872.160055</v>
      </c>
      <c r="W10" s="31" t="n">
        <v>5715.36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2126.25</v>
      </c>
      <c r="E11" s="31" t="n">
        <v>2117.049858</v>
      </c>
      <c r="F11" s="31" t="n">
        <v>2094.833664</v>
      </c>
      <c r="G11" s="31" t="n">
        <v>2059.172766</v>
      </c>
      <c r="H11" s="31" t="n">
        <v>2009.638512</v>
      </c>
      <c r="I11" s="31" t="n">
        <v>1945.80225</v>
      </c>
      <c r="J11" s="31" t="n">
        <v>1867.235328</v>
      </c>
      <c r="K11" s="31" t="n">
        <v>1773.509094</v>
      </c>
      <c r="L11" s="31" t="n">
        <v>1664.194896</v>
      </c>
      <c r="M11" s="31" t="n">
        <v>1538.864082</v>
      </c>
      <c r="N11" s="31" t="n">
        <v>1397.088</v>
      </c>
      <c r="O11" s="31" t="n">
        <v>1352.399986</v>
      </c>
      <c r="P11" s="31" t="n">
        <v>1306.535974</v>
      </c>
      <c r="Q11" s="31" t="n">
        <v>1259.496019</v>
      </c>
      <c r="R11" s="31" t="n">
        <v>1211.280006</v>
      </c>
      <c r="S11" s="31" t="n">
        <v>1161.887994</v>
      </c>
      <c r="T11" s="31" t="n">
        <v>1111.319984</v>
      </c>
      <c r="U11" s="31" t="n">
        <v>1059.57602</v>
      </c>
      <c r="V11" s="31" t="n">
        <v>1006.656009</v>
      </c>
      <c r="W11" s="31" t="n">
        <v>952.5599999999999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9600</v>
      </c>
      <c r="D12" s="31" t="n">
        <v>9600</v>
      </c>
      <c r="E12" s="31" t="n">
        <v>9600</v>
      </c>
      <c r="F12" s="31" t="n">
        <v>9600</v>
      </c>
      <c r="G12" s="31" t="n">
        <v>9600</v>
      </c>
      <c r="H12" s="31" t="n">
        <v>9600</v>
      </c>
      <c r="I12" s="31" t="n">
        <v>9600</v>
      </c>
      <c r="J12" s="31" t="n">
        <v>9600</v>
      </c>
      <c r="K12" s="31" t="n">
        <v>9600</v>
      </c>
      <c r="L12" s="31" t="n">
        <v>9600</v>
      </c>
      <c r="M12" s="31" t="n">
        <v>9600</v>
      </c>
      <c r="N12" s="31" t="n">
        <v>9600</v>
      </c>
      <c r="O12" s="31" t="n">
        <v>9600</v>
      </c>
      <c r="P12" s="31" t="n">
        <v>9600</v>
      </c>
      <c r="Q12" s="31" t="n">
        <v>9600</v>
      </c>
      <c r="R12" s="31" t="n">
        <v>9600</v>
      </c>
      <c r="S12" s="31" t="n">
        <v>9600</v>
      </c>
      <c r="T12" s="31" t="n">
        <v>9600</v>
      </c>
      <c r="U12" s="31" t="n">
        <v>9600</v>
      </c>
      <c r="V12" s="31" t="n">
        <v>9600</v>
      </c>
      <c r="W12" s="31" t="n">
        <v>9600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45598.18</v>
      </c>
      <c r="D13" s="31" t="n">
        <v>54833</v>
      </c>
      <c r="E13" s="31" t="n">
        <v>54833</v>
      </c>
      <c r="F13" s="31" t="n">
        <v>54833</v>
      </c>
      <c r="G13" s="31" t="n">
        <v>54833</v>
      </c>
      <c r="H13" s="31" t="n">
        <v>56478</v>
      </c>
      <c r="I13" s="31" t="n">
        <v>56478</v>
      </c>
      <c r="J13" s="31" t="n">
        <v>56478</v>
      </c>
      <c r="K13" s="31" t="n">
        <v>56478</v>
      </c>
      <c r="L13" s="31" t="n">
        <v>58171</v>
      </c>
      <c r="M13" s="31" t="n">
        <v>58171</v>
      </c>
      <c r="N13" s="31" t="n">
        <v>58171</v>
      </c>
      <c r="O13" s="31" t="n">
        <v>58171</v>
      </c>
      <c r="P13" s="31" t="n">
        <v>59918</v>
      </c>
      <c r="Q13" s="31" t="n">
        <v>59918</v>
      </c>
      <c r="R13" s="31" t="n">
        <v>59918</v>
      </c>
      <c r="S13" s="31" t="n">
        <v>59918</v>
      </c>
      <c r="T13" s="31" t="n">
        <v>61713</v>
      </c>
      <c r="U13" s="31" t="n">
        <v>61713</v>
      </c>
      <c r="V13" s="31" t="n">
        <v>61713</v>
      </c>
      <c r="W13" s="31" t="n">
        <v>61713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236.793375</v>
      </c>
      <c r="D14" s="31" t="n">
        <v>10631.25</v>
      </c>
      <c r="E14" s="31" t="n">
        <v>10810.46736</v>
      </c>
      <c r="F14" s="31" t="n">
        <v>10950.26688</v>
      </c>
      <c r="G14" s="31" t="n">
        <v>11049.21972</v>
      </c>
      <c r="H14" s="31" t="n">
        <v>11105.89704</v>
      </c>
      <c r="I14" s="31" t="n">
        <v>11118.87</v>
      </c>
      <c r="J14" s="31" t="n">
        <v>11086.70976</v>
      </c>
      <c r="K14" s="31" t="n">
        <v>11007.98748</v>
      </c>
      <c r="L14" s="31" t="n">
        <v>10881.27432</v>
      </c>
      <c r="M14" s="31" t="n">
        <v>10705.14144</v>
      </c>
      <c r="N14" s="31" t="n">
        <v>10478.16</v>
      </c>
      <c r="O14" s="31" t="n">
        <v>10387.999896</v>
      </c>
      <c r="P14" s="31" t="n">
        <v>10293.919796</v>
      </c>
      <c r="Q14" s="31" t="n">
        <v>10195.92015</v>
      </c>
      <c r="R14" s="31" t="n">
        <v>10094.000049</v>
      </c>
      <c r="S14" s="31" t="n">
        <v>9988.159952</v>
      </c>
      <c r="T14" s="31" t="n">
        <v>9878.399858999999</v>
      </c>
      <c r="U14" s="31" t="n">
        <v>9764.720184</v>
      </c>
      <c r="V14" s="31" t="n">
        <v>9647.12009</v>
      </c>
      <c r="W14" s="31" t="n">
        <v>9525.6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4966.276625</v>
      </c>
      <c r="D15" s="31" t="n">
        <v>-48486.125</v>
      </c>
      <c r="E15" s="31" t="n">
        <v>-44478.678998</v>
      </c>
      <c r="F15" s="31" t="n">
        <v>-40104.363584</v>
      </c>
      <c r="G15" s="31" t="n">
        <v>-35353.462646</v>
      </c>
      <c r="H15" s="31" t="n">
        <v>-31861.260072</v>
      </c>
      <c r="I15" s="31" t="n">
        <v>-26328.03975</v>
      </c>
      <c r="J15" s="31" t="n">
        <v>-20389.085568</v>
      </c>
      <c r="K15" s="31" t="n">
        <v>-14034.681414</v>
      </c>
      <c r="L15" s="31" t="n">
        <v>-8948.111176</v>
      </c>
      <c r="M15" s="31" t="n">
        <v>-1733.658742</v>
      </c>
      <c r="N15" s="31" t="n">
        <v>5925.392</v>
      </c>
      <c r="O15" s="31" t="n">
        <v>7512.599247</v>
      </c>
      <c r="P15" s="31" t="n">
        <v>7369.662477</v>
      </c>
      <c r="Q15" s="31" t="n">
        <v>8990.585155000001</v>
      </c>
      <c r="R15" s="31" t="n">
        <v>10628.360389</v>
      </c>
      <c r="S15" s="31" t="n">
        <v>12282.991607</v>
      </c>
      <c r="T15" s="31" t="n">
        <v>12159.478808</v>
      </c>
      <c r="U15" s="31" t="n">
        <v>13847.825607</v>
      </c>
      <c r="V15" s="31" t="n">
        <v>15553.024812</v>
      </c>
      <c r="W15" s="31" t="n">
        <v>17275.08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810.46875</v>
      </c>
      <c r="E16" s="31" t="n">
        <v>768.90625</v>
      </c>
      <c r="F16" s="31" t="n">
        <v>727.34375</v>
      </c>
      <c r="G16" s="31" t="n">
        <v>685.78125</v>
      </c>
      <c r="H16" s="31" t="n">
        <v>644.21875</v>
      </c>
      <c r="I16" s="31" t="n">
        <v>602.65625</v>
      </c>
      <c r="J16" s="31" t="n">
        <v>561.09375</v>
      </c>
      <c r="K16" s="31" t="n">
        <v>519.53125</v>
      </c>
      <c r="L16" s="31" t="n">
        <v>477.96875</v>
      </c>
      <c r="M16" s="31" t="n">
        <v>436.40625</v>
      </c>
      <c r="N16" s="31" t="n">
        <v>394.84375</v>
      </c>
      <c r="O16" s="31" t="n">
        <v>353.28125</v>
      </c>
      <c r="P16" s="31" t="n">
        <v>311.71875</v>
      </c>
      <c r="Q16" s="31" t="n">
        <v>270.15625</v>
      </c>
      <c r="R16" s="31" t="n">
        <v>228.59375</v>
      </c>
      <c r="S16" s="31" t="n">
        <v>187.03125</v>
      </c>
      <c r="T16" s="31" t="n">
        <v>141.276875</v>
      </c>
      <c r="U16" s="31" t="n">
        <v>58.151875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48.6</v>
      </c>
      <c r="E17" s="31" t="n">
        <v>97.496516</v>
      </c>
      <c r="F17" s="31" t="n">
        <v>146.642555</v>
      </c>
      <c r="G17" s="31" t="n">
        <v>196.1436</v>
      </c>
      <c r="H17" s="31" t="n">
        <v>245.801113</v>
      </c>
      <c r="I17" s="31" t="n">
        <v>295.875937</v>
      </c>
      <c r="J17" s="31" t="n">
        <v>346.014385</v>
      </c>
      <c r="K17" s="31" t="n">
        <v>396.324134</v>
      </c>
      <c r="L17" s="31" t="n">
        <v>446.915094</v>
      </c>
      <c r="M17" s="31" t="n">
        <v>497.742047</v>
      </c>
      <c r="N17" s="31" t="n">
        <v>548.75919</v>
      </c>
      <c r="O17" s="31" t="n">
        <v>599.762499</v>
      </c>
      <c r="P17" s="31" t="n">
        <v>651.020856</v>
      </c>
      <c r="Q17" s="31" t="n">
        <v>702.329341</v>
      </c>
      <c r="R17" s="31" t="n">
        <v>753.799344</v>
      </c>
      <c r="S17" s="31" t="n">
        <v>805.3832190000001</v>
      </c>
      <c r="T17" s="31" t="n">
        <v>857.032662</v>
      </c>
      <c r="U17" s="31" t="n">
        <v>908.6987779999999</v>
      </c>
      <c r="V17" s="31" t="n">
        <v>960.491786</v>
      </c>
      <c r="W17" s="31" t="n">
        <v>1012.201346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1005.174389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1008.314106</v>
      </c>
      <c r="O18" s="31" t="n">
        <v>1327.654033</v>
      </c>
      <c r="P18" s="31" t="n">
        <v>1296.761189</v>
      </c>
      <c r="Q18" s="31" t="n">
        <v>1622.863352</v>
      </c>
      <c r="R18" s="31" t="n">
        <v>1952.343781</v>
      </c>
      <c r="S18" s="31" t="n">
        <v>2285.212813</v>
      </c>
      <c r="T18" s="31" t="n">
        <v>2259.02066</v>
      </c>
      <c r="U18" s="31" t="n">
        <v>2607.109331</v>
      </c>
      <c r="V18" s="31" t="n">
        <v>2953.528684</v>
      </c>
      <c r="W18" s="31" t="n">
        <v>3291.60664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3961.102236</v>
      </c>
      <c r="D19" s="31" t="n">
        <v>-49345.19375</v>
      </c>
      <c r="E19" s="31" t="n">
        <v>-45345.081764</v>
      </c>
      <c r="F19" s="31" t="n">
        <v>-40978.349889</v>
      </c>
      <c r="G19" s="31" t="n">
        <v>-36235.387496</v>
      </c>
      <c r="H19" s="31" t="n">
        <v>-32751.279935</v>
      </c>
      <c r="I19" s="31" t="n">
        <v>-27226.571937</v>
      </c>
      <c r="J19" s="31" t="n">
        <v>-21296.193703</v>
      </c>
      <c r="K19" s="31" t="n">
        <v>-14950.536798</v>
      </c>
      <c r="L19" s="31" t="n">
        <v>-9872.99502</v>
      </c>
      <c r="M19" s="31" t="n">
        <v>-2667.807039</v>
      </c>
      <c r="N19" s="31" t="n">
        <v>3973.474955</v>
      </c>
      <c r="O19" s="31" t="n">
        <v>5231.901465</v>
      </c>
      <c r="P19" s="31" t="n">
        <v>5110.161682</v>
      </c>
      <c r="Q19" s="31" t="n">
        <v>6395.236212</v>
      </c>
      <c r="R19" s="31" t="n">
        <v>7693.623514</v>
      </c>
      <c r="S19" s="31" t="n">
        <v>9005.364325</v>
      </c>
      <c r="T19" s="31" t="n">
        <v>8902.14861</v>
      </c>
      <c r="U19" s="31" t="n">
        <v>10273.865623</v>
      </c>
      <c r="V19" s="31" t="n">
        <v>11639.004341</v>
      </c>
      <c r="W19" s="31" t="n">
        <v>12971.272014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0</v>
      </c>
      <c r="D23" s="31" t="n">
        <v>77399.654891</v>
      </c>
      <c r="E23" s="31" t="n">
        <v>78543.995287</v>
      </c>
      <c r="F23" s="31" t="n">
        <v>79563.813178</v>
      </c>
      <c r="G23" s="31" t="n">
        <v>80457.151526</v>
      </c>
      <c r="H23" s="31" t="n">
        <v>82036.462283</v>
      </c>
      <c r="I23" s="31" t="n">
        <v>82658.05336999999</v>
      </c>
      <c r="J23" s="31" t="n">
        <v>83133.42048099999</v>
      </c>
      <c r="K23" s="31" t="n">
        <v>83461.944647</v>
      </c>
      <c r="L23" s="31" t="n">
        <v>84483.323991</v>
      </c>
      <c r="M23" s="31" t="n">
        <v>84500.691418</v>
      </c>
      <c r="N23" s="31" t="n">
        <v>86297.892419</v>
      </c>
      <c r="O23" s="31" t="n">
        <v>88934.845177</v>
      </c>
      <c r="P23" s="31" t="n">
        <v>92073.993917</v>
      </c>
      <c r="Q23" s="31" t="n">
        <v>96254.678464</v>
      </c>
      <c r="R23" s="31" t="n">
        <v>102352.209858</v>
      </c>
      <c r="S23" s="31" t="n">
        <v>108946.580372</v>
      </c>
      <c r="T23" s="31" t="n">
        <v>115374.262338</v>
      </c>
      <c r="U23" s="31" t="n">
        <v>115423.720463</v>
      </c>
      <c r="V23" s="31" t="n">
        <v>115464.278532</v>
      </c>
      <c r="W23" s="31" t="n">
        <v>115492.17502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0</v>
      </c>
      <c r="W24" s="31" t="n">
        <v>0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0</v>
      </c>
      <c r="D25" s="31" t="n">
        <v>2184.028533</v>
      </c>
      <c r="E25" s="31" t="n">
        <v>2254.628723</v>
      </c>
      <c r="F25" s="31" t="n">
        <v>2372.557824</v>
      </c>
      <c r="G25" s="31" t="n">
        <v>2409.083121</v>
      </c>
      <c r="H25" s="31" t="n">
        <v>2440.193216</v>
      </c>
      <c r="I25" s="31" t="n">
        <v>2492.681454</v>
      </c>
      <c r="J25" s="31" t="n">
        <v>2568.089797</v>
      </c>
      <c r="K25" s="31" t="n">
        <v>2610.868825</v>
      </c>
      <c r="L25" s="31" t="n">
        <v>2619.4372</v>
      </c>
      <c r="M25" s="31" t="n">
        <v>2650.831559</v>
      </c>
      <c r="N25" s="31" t="n">
        <v>2735.964</v>
      </c>
      <c r="O25" s="31" t="n">
        <v>2720.307665</v>
      </c>
      <c r="P25" s="31" t="n">
        <v>2704.736033</v>
      </c>
      <c r="Q25" s="31" t="n">
        <v>2718.477431</v>
      </c>
      <c r="R25" s="31" t="n">
        <v>2792.673347</v>
      </c>
      <c r="S25" s="31" t="n">
        <v>2775.359987</v>
      </c>
      <c r="T25" s="31" t="n">
        <v>2758.167352</v>
      </c>
      <c r="U25" s="31" t="n">
        <v>2770.886139</v>
      </c>
      <c r="V25" s="31" t="n">
        <v>2845.20136</v>
      </c>
      <c r="W25" s="31" t="n">
        <v>2826.276923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0</v>
      </c>
      <c r="D26" s="31" t="n">
        <v>81709.933424</v>
      </c>
      <c r="E26" s="31" t="n">
        <v>83050.80471</v>
      </c>
      <c r="F26" s="31" t="n">
        <v>84316.86380200001</v>
      </c>
      <c r="G26" s="31" t="n">
        <v>85377.42094700001</v>
      </c>
      <c r="H26" s="31" t="n">
        <v>87120.91669899999</v>
      </c>
      <c r="I26" s="31" t="n">
        <v>87930.452323</v>
      </c>
      <c r="J26" s="31" t="n">
        <v>88619.065478</v>
      </c>
      <c r="K26" s="31" t="n">
        <v>89130.58777300001</v>
      </c>
      <c r="L26" s="31" t="n">
        <v>90303.135992</v>
      </c>
      <c r="M26" s="31" t="n">
        <v>90496.879677</v>
      </c>
      <c r="N26" s="31" t="n">
        <v>92526.576419</v>
      </c>
      <c r="O26" s="31" t="n">
        <v>95183.152806</v>
      </c>
      <c r="P26" s="31" t="n">
        <v>98342.009879</v>
      </c>
      <c r="Q26" s="31" t="n">
        <v>102571.715949</v>
      </c>
      <c r="R26" s="31" t="n">
        <v>108778.723222</v>
      </c>
      <c r="S26" s="31" t="n">
        <v>115391.060341</v>
      </c>
      <c r="T26" s="31" t="n">
        <v>121836.829637</v>
      </c>
      <c r="U26" s="31" t="n">
        <v>121934.286673</v>
      </c>
      <c r="V26" s="31" t="n">
        <v>122084.439927</v>
      </c>
      <c r="W26" s="31" t="n">
        <v>122128.691944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150000</v>
      </c>
      <c r="D27" s="31" t="n">
        <v>150923.4</v>
      </c>
      <c r="E27" s="31" t="n">
        <v>151803.887116</v>
      </c>
      <c r="F27" s="31" t="n">
        <v>152640.93375</v>
      </c>
      <c r="G27" s="31" t="n">
        <v>153433.903401</v>
      </c>
      <c r="H27" s="31" t="n">
        <v>154182.353982</v>
      </c>
      <c r="I27" s="31" t="n">
        <v>154885.579698</v>
      </c>
      <c r="J27" s="31" t="n">
        <v>155543.223869</v>
      </c>
      <c r="K27" s="31" t="n">
        <v>156154.819826</v>
      </c>
      <c r="L27" s="31" t="n">
        <v>156719.787963</v>
      </c>
      <c r="M27" s="31" t="n">
        <v>157237.590143</v>
      </c>
      <c r="N27" s="31" t="n">
        <v>157707.730537</v>
      </c>
      <c r="O27" s="31" t="n">
        <v>158129.914132</v>
      </c>
      <c r="P27" s="31" t="n">
        <v>158503.57512</v>
      </c>
      <c r="Q27" s="31" t="n">
        <v>158828.348945</v>
      </c>
      <c r="R27" s="31" t="n">
        <v>159103.757302</v>
      </c>
      <c r="S27" s="31" t="n">
        <v>159329.36643</v>
      </c>
      <c r="T27" s="31" t="n">
        <v>159504.788062</v>
      </c>
      <c r="U27" s="31" t="n">
        <v>159629.680311</v>
      </c>
      <c r="V27" s="31" t="n">
        <v>159703.588853</v>
      </c>
      <c r="W27" s="31" t="n">
        <v>159726.266762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-48.6</v>
      </c>
      <c r="E28" s="31" t="n">
        <v>-146.096516</v>
      </c>
      <c r="F28" s="31" t="n">
        <v>-292.739071</v>
      </c>
      <c r="G28" s="31" t="n">
        <v>-488.882671</v>
      </c>
      <c r="H28" s="31" t="n">
        <v>-734.6837839999999</v>
      </c>
      <c r="I28" s="31" t="n">
        <v>-1030.559722</v>
      </c>
      <c r="J28" s="31" t="n">
        <v>-1376.574107</v>
      </c>
      <c r="K28" s="31" t="n">
        <v>-1772.898241</v>
      </c>
      <c r="L28" s="31" t="n">
        <v>-2219.813336</v>
      </c>
      <c r="M28" s="31" t="n">
        <v>-2717.555382</v>
      </c>
      <c r="N28" s="31" t="n">
        <v>-3266.314572</v>
      </c>
      <c r="O28" s="31" t="n">
        <v>-3866.077071</v>
      </c>
      <c r="P28" s="31" t="n">
        <v>-4517.097927</v>
      </c>
      <c r="Q28" s="31" t="n">
        <v>-5219.427269</v>
      </c>
      <c r="R28" s="31" t="n">
        <v>-5973.226613</v>
      </c>
      <c r="S28" s="31" t="n">
        <v>-6778.609832</v>
      </c>
      <c r="T28" s="31" t="n">
        <v>-7635.642494</v>
      </c>
      <c r="U28" s="31" t="n">
        <v>-8544.341272</v>
      </c>
      <c r="V28" s="31" t="n">
        <v>-9504.833058</v>
      </c>
      <c r="W28" s="31" t="n">
        <v>-10517.034405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150000</v>
      </c>
      <c r="D29" s="31" t="n">
        <v>232633.333424</v>
      </c>
      <c r="E29" s="31" t="n">
        <v>234854.691825</v>
      </c>
      <c r="F29" s="31" t="n">
        <v>236957.797551</v>
      </c>
      <c r="G29" s="31" t="n">
        <v>238811.324348</v>
      </c>
      <c r="H29" s="31" t="n">
        <v>241303.27068</v>
      </c>
      <c r="I29" s="31" t="n">
        <v>242816.032022</v>
      </c>
      <c r="J29" s="31" t="n">
        <v>244162.289348</v>
      </c>
      <c r="K29" s="31" t="n">
        <v>245285.407598</v>
      </c>
      <c r="L29" s="31" t="n">
        <v>247022.923955</v>
      </c>
      <c r="M29" s="31" t="n">
        <v>247734.46982</v>
      </c>
      <c r="N29" s="31" t="n">
        <v>250234.306956</v>
      </c>
      <c r="O29" s="31" t="n">
        <v>253313.066938</v>
      </c>
      <c r="P29" s="31" t="n">
        <v>256845.584999</v>
      </c>
      <c r="Q29" s="31" t="n">
        <v>261400.064894</v>
      </c>
      <c r="R29" s="31" t="n">
        <v>267882.480524</v>
      </c>
      <c r="S29" s="31" t="n">
        <v>274720.426771</v>
      </c>
      <c r="T29" s="31" t="n">
        <v>281341.617698</v>
      </c>
      <c r="U29" s="31" t="n">
        <v>281563.966984</v>
      </c>
      <c r="V29" s="31" t="n">
        <v>281788.02878</v>
      </c>
      <c r="W29" s="31" t="n">
        <v>281854.958706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0</v>
      </c>
      <c r="D30" s="31" t="n">
        <v>28637.527174</v>
      </c>
      <c r="E30" s="31" t="n">
        <v>28677.96734</v>
      </c>
      <c r="F30" s="31" t="n">
        <v>29317.422955</v>
      </c>
      <c r="G30" s="31" t="n">
        <v>28957.337247</v>
      </c>
      <c r="H30" s="31" t="n">
        <v>29100.563515</v>
      </c>
      <c r="I30" s="31" t="n">
        <v>28979.896793</v>
      </c>
      <c r="J30" s="31" t="n">
        <v>29132.347822</v>
      </c>
      <c r="K30" s="31" t="n">
        <v>28921.002872</v>
      </c>
      <c r="L30" s="31" t="n">
        <v>28903.514249</v>
      </c>
      <c r="M30" s="31" t="n">
        <v>28600.867152</v>
      </c>
      <c r="N30" s="31" t="n">
        <v>28877.229333</v>
      </c>
      <c r="O30" s="31" t="n">
        <v>28474.087851</v>
      </c>
      <c r="P30" s="31" t="n">
        <v>28646.444229</v>
      </c>
      <c r="Q30" s="31" t="n">
        <v>28555.687913</v>
      </c>
      <c r="R30" s="31" t="n">
        <v>29094.480029</v>
      </c>
      <c r="S30" s="31" t="n">
        <v>28677.06195</v>
      </c>
      <c r="T30" s="31" t="n">
        <v>28851.104268</v>
      </c>
      <c r="U30" s="31" t="n">
        <v>28748.58793</v>
      </c>
      <c r="V30" s="31" t="n">
        <v>29279.645385</v>
      </c>
      <c r="W30" s="31" t="n">
        <v>28848.303297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2126.25</v>
      </c>
      <c r="E31" s="31" t="n">
        <v>2252.1807</v>
      </c>
      <c r="F31" s="31" t="n">
        <v>2380.4928</v>
      </c>
      <c r="G31" s="31" t="n">
        <v>2511.1863</v>
      </c>
      <c r="H31" s="31" t="n">
        <v>2644.2612</v>
      </c>
      <c r="I31" s="31" t="n">
        <v>2779.7175</v>
      </c>
      <c r="J31" s="31" t="n">
        <v>2917.5552</v>
      </c>
      <c r="K31" s="31" t="n">
        <v>3057.7743</v>
      </c>
      <c r="L31" s="31" t="n">
        <v>3200.3748</v>
      </c>
      <c r="M31" s="31" t="n">
        <v>3345.3567</v>
      </c>
      <c r="N31" s="31" t="n">
        <v>3492.72</v>
      </c>
      <c r="O31" s="31" t="n">
        <v>3527.999965</v>
      </c>
      <c r="P31" s="31" t="n">
        <v>3563.279929</v>
      </c>
      <c r="Q31" s="31" t="n">
        <v>3598.560053</v>
      </c>
      <c r="R31" s="31" t="n">
        <v>3633.840018</v>
      </c>
      <c r="S31" s="31" t="n">
        <v>3669.119982</v>
      </c>
      <c r="T31" s="31" t="n">
        <v>3704.399947</v>
      </c>
      <c r="U31" s="31" t="n">
        <v>3739.680071</v>
      </c>
      <c r="V31" s="31" t="n">
        <v>3774.960035</v>
      </c>
      <c r="W31" s="31" t="n">
        <v>3810.24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7000</v>
      </c>
      <c r="E32" s="31" t="n">
        <v>7000</v>
      </c>
      <c r="F32" s="31" t="n">
        <v>7000</v>
      </c>
      <c r="G32" s="31" t="n">
        <v>7000</v>
      </c>
      <c r="H32" s="31" t="n">
        <v>7000</v>
      </c>
      <c r="I32" s="31" t="n">
        <v>7000</v>
      </c>
      <c r="J32" s="31" t="n">
        <v>7000</v>
      </c>
      <c r="K32" s="31" t="n">
        <v>7000</v>
      </c>
      <c r="L32" s="31" t="n">
        <v>7000</v>
      </c>
      <c r="M32" s="31" t="n">
        <v>7000</v>
      </c>
      <c r="N32" s="31" t="n">
        <v>7000</v>
      </c>
      <c r="O32" s="31" t="n">
        <v>7000</v>
      </c>
      <c r="P32" s="31" t="n">
        <v>7353</v>
      </c>
      <c r="Q32" s="31" t="n">
        <v>10500</v>
      </c>
      <c r="R32" s="31" t="n">
        <v>8750</v>
      </c>
      <c r="S32" s="31" t="n">
        <v>7000</v>
      </c>
      <c r="T32" s="31" t="n">
        <v>4897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0</v>
      </c>
      <c r="D34" s="31" t="n">
        <v>35637.527174</v>
      </c>
      <c r="E34" s="31" t="n">
        <v>35677.96734</v>
      </c>
      <c r="F34" s="31" t="n">
        <v>36317.422955</v>
      </c>
      <c r="G34" s="31" t="n">
        <v>35957.337247</v>
      </c>
      <c r="H34" s="31" t="n">
        <v>36100.563515</v>
      </c>
      <c r="I34" s="31" t="n">
        <v>35979.896793</v>
      </c>
      <c r="J34" s="31" t="n">
        <v>36132.347822</v>
      </c>
      <c r="K34" s="31" t="n">
        <v>35921.002872</v>
      </c>
      <c r="L34" s="31" t="n">
        <v>35903.514249</v>
      </c>
      <c r="M34" s="31" t="n">
        <v>35600.867152</v>
      </c>
      <c r="N34" s="31" t="n">
        <v>35877.229333</v>
      </c>
      <c r="O34" s="31" t="n">
        <v>35474.087851</v>
      </c>
      <c r="P34" s="31" t="n">
        <v>35999.444229</v>
      </c>
      <c r="Q34" s="31" t="n">
        <v>39055.687913</v>
      </c>
      <c r="R34" s="31" t="n">
        <v>37844.480029</v>
      </c>
      <c r="S34" s="31" t="n">
        <v>35677.06195</v>
      </c>
      <c r="T34" s="31" t="n">
        <v>33748.104268</v>
      </c>
      <c r="U34" s="31" t="n">
        <v>28748.58793</v>
      </c>
      <c r="V34" s="31" t="n">
        <v>29279.645385</v>
      </c>
      <c r="W34" s="31" t="n">
        <v>28848.303297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35000</v>
      </c>
      <c r="D35" s="31" t="n">
        <v>26250</v>
      </c>
      <c r="E35" s="31" t="n">
        <v>24500</v>
      </c>
      <c r="F35" s="31" t="n">
        <v>22750</v>
      </c>
      <c r="G35" s="31" t="n">
        <v>21000</v>
      </c>
      <c r="H35" s="31" t="n">
        <v>19250</v>
      </c>
      <c r="I35" s="31" t="n">
        <v>17500</v>
      </c>
      <c r="J35" s="31" t="n">
        <v>15750</v>
      </c>
      <c r="K35" s="31" t="n">
        <v>14000</v>
      </c>
      <c r="L35" s="31" t="n">
        <v>12250</v>
      </c>
      <c r="M35" s="31" t="n">
        <v>10500</v>
      </c>
      <c r="N35" s="31" t="n">
        <v>8750</v>
      </c>
      <c r="O35" s="31" t="n">
        <v>7000</v>
      </c>
      <c r="P35" s="31" t="n">
        <v>4897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35000</v>
      </c>
      <c r="D36" s="31" t="n">
        <v>61887.527174</v>
      </c>
      <c r="E36" s="31" t="n">
        <v>60177.96734</v>
      </c>
      <c r="F36" s="31" t="n">
        <v>59067.422955</v>
      </c>
      <c r="G36" s="31" t="n">
        <v>56957.337247</v>
      </c>
      <c r="H36" s="31" t="n">
        <v>55350.563515</v>
      </c>
      <c r="I36" s="31" t="n">
        <v>53479.896793</v>
      </c>
      <c r="J36" s="31" t="n">
        <v>51882.347822</v>
      </c>
      <c r="K36" s="31" t="n">
        <v>49921.002872</v>
      </c>
      <c r="L36" s="31" t="n">
        <v>48153.514249</v>
      </c>
      <c r="M36" s="31" t="n">
        <v>46100.867152</v>
      </c>
      <c r="N36" s="31" t="n">
        <v>44627.229333</v>
      </c>
      <c r="O36" s="31" t="n">
        <v>42474.087851</v>
      </c>
      <c r="P36" s="31" t="n">
        <v>40896.444229</v>
      </c>
      <c r="Q36" s="31" t="n">
        <v>39055.687913</v>
      </c>
      <c r="R36" s="31" t="n">
        <v>37844.480029</v>
      </c>
      <c r="S36" s="31" t="n">
        <v>35677.06195</v>
      </c>
      <c r="T36" s="31" t="n">
        <v>33748.104268</v>
      </c>
      <c r="U36" s="31" t="n">
        <v>28748.58793</v>
      </c>
      <c r="V36" s="31" t="n">
        <v>29279.645385</v>
      </c>
      <c r="W36" s="31" t="n">
        <v>28848.303297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0</v>
      </c>
      <c r="D37" s="31" t="n">
        <v>105091</v>
      </c>
      <c r="E37" s="31" t="n">
        <v>154367</v>
      </c>
      <c r="F37" s="31" t="n">
        <v>198559</v>
      </c>
      <c r="G37" s="31" t="n">
        <v>238758</v>
      </c>
      <c r="H37" s="31" t="n">
        <v>275608</v>
      </c>
      <c r="I37" s="31" t="n">
        <v>306218</v>
      </c>
      <c r="J37" s="31" t="n">
        <v>330458</v>
      </c>
      <c r="K37" s="31" t="n">
        <v>348493</v>
      </c>
      <c r="L37" s="31" t="n">
        <v>361871</v>
      </c>
      <c r="M37" s="31" t="n">
        <v>367303</v>
      </c>
      <c r="N37" s="31" t="n">
        <v>367303</v>
      </c>
      <c r="O37" s="31" t="n">
        <v>367303</v>
      </c>
      <c r="P37" s="31" t="n">
        <v>367303</v>
      </c>
      <c r="Q37" s="31" t="n">
        <v>367303</v>
      </c>
      <c r="R37" s="31" t="n">
        <v>367303</v>
      </c>
      <c r="S37" s="31" t="n">
        <v>367303</v>
      </c>
      <c r="T37" s="31" t="n">
        <v>367303</v>
      </c>
      <c r="U37" s="31" t="n">
        <v>367303</v>
      </c>
      <c r="V37" s="31" t="n">
        <v>367303</v>
      </c>
      <c r="W37" s="31" t="n">
        <v>367303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115000</v>
      </c>
      <c r="D38" s="31" t="n">
        <v>65654.80624999999</v>
      </c>
      <c r="E38" s="31" t="n">
        <v>20309.724486</v>
      </c>
      <c r="F38" s="31" t="n">
        <v>-20668.625403</v>
      </c>
      <c r="G38" s="31" t="n">
        <v>-56904.012899</v>
      </c>
      <c r="H38" s="31" t="n">
        <v>-89655.29283400001</v>
      </c>
      <c r="I38" s="31" t="n">
        <v>-116881.864772</v>
      </c>
      <c r="J38" s="31" t="n">
        <v>-138178.058475</v>
      </c>
      <c r="K38" s="31" t="n">
        <v>-153128.595273</v>
      </c>
      <c r="L38" s="31" t="n">
        <v>-163001.590294</v>
      </c>
      <c r="M38" s="31" t="n">
        <v>-165669.397332</v>
      </c>
      <c r="N38" s="31" t="n">
        <v>-161695.922378</v>
      </c>
      <c r="O38" s="31" t="n">
        <v>-156464.020912</v>
      </c>
      <c r="P38" s="31" t="n">
        <v>-151353.859231</v>
      </c>
      <c r="Q38" s="31" t="n">
        <v>-144958.623019</v>
      </c>
      <c r="R38" s="31" t="n">
        <v>-137264.999504</v>
      </c>
      <c r="S38" s="31" t="n">
        <v>-128259.63518</v>
      </c>
      <c r="T38" s="31" t="n">
        <v>-119709.48657</v>
      </c>
      <c r="U38" s="31" t="n">
        <v>-114487.620946</v>
      </c>
      <c r="V38" s="31" t="n">
        <v>-114794.616605</v>
      </c>
      <c r="W38" s="31" t="n">
        <v>-114296.344591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115000</v>
      </c>
      <c r="D40" s="31" t="n">
        <v>170745.80625</v>
      </c>
      <c r="E40" s="31" t="n">
        <v>174676.724486</v>
      </c>
      <c r="F40" s="31" t="n">
        <v>177890.374597</v>
      </c>
      <c r="G40" s="31" t="n">
        <v>181853.987101</v>
      </c>
      <c r="H40" s="31" t="n">
        <v>185952.707166</v>
      </c>
      <c r="I40" s="31" t="n">
        <v>189336.135228</v>
      </c>
      <c r="J40" s="31" t="n">
        <v>192279.941525</v>
      </c>
      <c r="K40" s="31" t="n">
        <v>195364.404727</v>
      </c>
      <c r="L40" s="31" t="n">
        <v>198869.409706</v>
      </c>
      <c r="M40" s="31" t="n">
        <v>201633.602668</v>
      </c>
      <c r="N40" s="31" t="n">
        <v>205607.077622</v>
      </c>
      <c r="O40" s="31" t="n">
        <v>210838.979088</v>
      </c>
      <c r="P40" s="31" t="n">
        <v>215949.140769</v>
      </c>
      <c r="Q40" s="31" t="n">
        <v>222344.376981</v>
      </c>
      <c r="R40" s="31" t="n">
        <v>230038.000496</v>
      </c>
      <c r="S40" s="31" t="n">
        <v>239043.36482</v>
      </c>
      <c r="T40" s="31" t="n">
        <v>247593.51343</v>
      </c>
      <c r="U40" s="31" t="n">
        <v>252815.379054</v>
      </c>
      <c r="V40" s="31" t="n">
        <v>252508.383395</v>
      </c>
      <c r="W40" s="31" t="n">
        <v>253006.655409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150000</v>
      </c>
      <c r="D41" s="31" t="n">
        <v>232633.333424</v>
      </c>
      <c r="E41" s="31" t="n">
        <v>234854.691825</v>
      </c>
      <c r="F41" s="31" t="n">
        <v>236957.797551</v>
      </c>
      <c r="G41" s="31" t="n">
        <v>238811.324348</v>
      </c>
      <c r="H41" s="31" t="n">
        <v>241303.27068</v>
      </c>
      <c r="I41" s="31" t="n">
        <v>242816.032022</v>
      </c>
      <c r="J41" s="31" t="n">
        <v>244162.289348</v>
      </c>
      <c r="K41" s="31" t="n">
        <v>245285.407598</v>
      </c>
      <c r="L41" s="31" t="n">
        <v>247022.923955</v>
      </c>
      <c r="M41" s="31" t="n">
        <v>247734.46982</v>
      </c>
      <c r="N41" s="31" t="n">
        <v>250234.306956</v>
      </c>
      <c r="O41" s="31" t="n">
        <v>253313.066938</v>
      </c>
      <c r="P41" s="31" t="n">
        <v>256845.584999</v>
      </c>
      <c r="Q41" s="31" t="n">
        <v>261400.064894</v>
      </c>
      <c r="R41" s="31" t="n">
        <v>267882.480524</v>
      </c>
      <c r="S41" s="31" t="n">
        <v>274720.426771</v>
      </c>
      <c r="T41" s="31" t="n">
        <v>281341.617698</v>
      </c>
      <c r="U41" s="31" t="n">
        <v>281563.966984</v>
      </c>
      <c r="V41" s="31" t="n">
        <v>281788.02878</v>
      </c>
      <c r="W41" s="31" t="n">
        <v>281854.958706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0</v>
      </c>
      <c r="D45" s="31" t="n">
        <v>0</v>
      </c>
      <c r="E45" s="31" t="n">
        <v>77399.654891</v>
      </c>
      <c r="F45" s="31" t="n">
        <v>78543.995287</v>
      </c>
      <c r="G45" s="31" t="n">
        <v>79563.813178</v>
      </c>
      <c r="H45" s="31" t="n">
        <v>80457.151526</v>
      </c>
      <c r="I45" s="31" t="n">
        <v>82036.462283</v>
      </c>
      <c r="J45" s="31" t="n">
        <v>82658.05336999999</v>
      </c>
      <c r="K45" s="31" t="n">
        <v>83133.42048099999</v>
      </c>
      <c r="L45" s="31" t="n">
        <v>83461.944647</v>
      </c>
      <c r="M45" s="31" t="n">
        <v>84483.323991</v>
      </c>
      <c r="N45" s="31" t="n">
        <v>84500.691418</v>
      </c>
      <c r="O45" s="31" t="n">
        <v>86297.892419</v>
      </c>
      <c r="P45" s="31" t="n">
        <v>88934.845177</v>
      </c>
      <c r="Q45" s="31" t="n">
        <v>92073.993917</v>
      </c>
      <c r="R45" s="31" t="n">
        <v>96254.678464</v>
      </c>
      <c r="S45" s="31" t="n">
        <v>102352.209858</v>
      </c>
      <c r="T45" s="31" t="n">
        <v>108946.580372</v>
      </c>
      <c r="U45" s="31" t="n">
        <v>115374.262338</v>
      </c>
      <c r="V45" s="31" t="n">
        <v>115423.720463</v>
      </c>
      <c r="W45" s="31" t="n">
        <v>115464.278532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3961.102236</v>
      </c>
      <c r="D46" s="31" t="n">
        <v>-49345.19375</v>
      </c>
      <c r="E46" s="31" t="n">
        <v>-45345.081764</v>
      </c>
      <c r="F46" s="31" t="n">
        <v>-40978.349889</v>
      </c>
      <c r="G46" s="31" t="n">
        <v>-36235.387496</v>
      </c>
      <c r="H46" s="31" t="n">
        <v>-32751.279935</v>
      </c>
      <c r="I46" s="31" t="n">
        <v>-27226.571937</v>
      </c>
      <c r="J46" s="31" t="n">
        <v>-21296.193703</v>
      </c>
      <c r="K46" s="31" t="n">
        <v>-14950.536798</v>
      </c>
      <c r="L46" s="31" t="n">
        <v>-9872.99502</v>
      </c>
      <c r="M46" s="31" t="n">
        <v>-2667.807039</v>
      </c>
      <c r="N46" s="31" t="n">
        <v>3973.474955</v>
      </c>
      <c r="O46" s="31" t="n">
        <v>5231.901465</v>
      </c>
      <c r="P46" s="31" t="n">
        <v>5110.161682</v>
      </c>
      <c r="Q46" s="31" t="n">
        <v>6395.236212</v>
      </c>
      <c r="R46" s="31" t="n">
        <v>7693.623514</v>
      </c>
      <c r="S46" s="31" t="n">
        <v>9005.364325</v>
      </c>
      <c r="T46" s="31" t="n">
        <v>8902.14861</v>
      </c>
      <c r="U46" s="31" t="n">
        <v>10273.865623</v>
      </c>
      <c r="V46" s="31" t="n">
        <v>11639.004341</v>
      </c>
      <c r="W46" s="31" t="n">
        <v>12971.272014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48.6</v>
      </c>
      <c r="E47" s="31" t="n">
        <v>97.496516</v>
      </c>
      <c r="F47" s="31" t="n">
        <v>146.642555</v>
      </c>
      <c r="G47" s="31" t="n">
        <v>196.1436</v>
      </c>
      <c r="H47" s="31" t="n">
        <v>245.801113</v>
      </c>
      <c r="I47" s="31" t="n">
        <v>295.875937</v>
      </c>
      <c r="J47" s="31" t="n">
        <v>346.014385</v>
      </c>
      <c r="K47" s="31" t="n">
        <v>396.324134</v>
      </c>
      <c r="L47" s="31" t="n">
        <v>446.915094</v>
      </c>
      <c r="M47" s="31" t="n">
        <v>497.742047</v>
      </c>
      <c r="N47" s="31" t="n">
        <v>548.75919</v>
      </c>
      <c r="O47" s="31" t="n">
        <v>599.762499</v>
      </c>
      <c r="P47" s="31" t="n">
        <v>651.020856</v>
      </c>
      <c r="Q47" s="31" t="n">
        <v>702.329341</v>
      </c>
      <c r="R47" s="31" t="n">
        <v>753.799344</v>
      </c>
      <c r="S47" s="31" t="n">
        <v>805.3832190000001</v>
      </c>
      <c r="T47" s="31" t="n">
        <v>857.032662</v>
      </c>
      <c r="U47" s="31" t="n">
        <v>908.6987779999999</v>
      </c>
      <c r="V47" s="31" t="n">
        <v>960.491786</v>
      </c>
      <c r="W47" s="31" t="n">
        <v>1012.201346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-4310.278533</v>
      </c>
      <c r="E48" s="31" t="n">
        <v>-196.53089</v>
      </c>
      <c r="F48" s="31" t="n">
        <v>-246.241201</v>
      </c>
      <c r="G48" s="31" t="n">
        <v>-167.218797</v>
      </c>
      <c r="H48" s="31" t="n">
        <v>-164.184995</v>
      </c>
      <c r="I48" s="31" t="n">
        <v>-187.944538</v>
      </c>
      <c r="J48" s="31" t="n">
        <v>-213.246043</v>
      </c>
      <c r="K48" s="31" t="n">
        <v>-182.998128</v>
      </c>
      <c r="L48" s="31" t="n">
        <v>-151.168875</v>
      </c>
      <c r="M48" s="31" t="n">
        <v>-176.376259</v>
      </c>
      <c r="N48" s="31" t="n">
        <v>-232.495741</v>
      </c>
      <c r="O48" s="31" t="n">
        <v>-19.62363</v>
      </c>
      <c r="P48" s="31" t="n">
        <v>-19.708333</v>
      </c>
      <c r="Q48" s="31" t="n">
        <v>-49.021521</v>
      </c>
      <c r="R48" s="31" t="n">
        <v>-109.47588</v>
      </c>
      <c r="S48" s="31" t="n">
        <v>-17.966604</v>
      </c>
      <c r="T48" s="31" t="n">
        <v>-18.08733</v>
      </c>
      <c r="U48" s="31" t="n">
        <v>-47.998911</v>
      </c>
      <c r="V48" s="31" t="n">
        <v>-109.595185</v>
      </c>
      <c r="W48" s="31" t="n">
        <v>-16.355528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28637.527174</v>
      </c>
      <c r="E49" s="31" t="n">
        <v>40.440166</v>
      </c>
      <c r="F49" s="31" t="n">
        <v>639.455615</v>
      </c>
      <c r="G49" s="31" t="n">
        <v>-360.085708</v>
      </c>
      <c r="H49" s="31" t="n">
        <v>143.226268</v>
      </c>
      <c r="I49" s="31" t="n">
        <v>-120.666721</v>
      </c>
      <c r="J49" s="31" t="n">
        <v>152.451029</v>
      </c>
      <c r="K49" s="31" t="n">
        <v>-211.344951</v>
      </c>
      <c r="L49" s="31" t="n">
        <v>-17.488623</v>
      </c>
      <c r="M49" s="31" t="n">
        <v>-302.647097</v>
      </c>
      <c r="N49" s="31" t="n">
        <v>276.362182</v>
      </c>
      <c r="O49" s="31" t="n">
        <v>-403.141483</v>
      </c>
      <c r="P49" s="31" t="n">
        <v>172.356379</v>
      </c>
      <c r="Q49" s="31" t="n">
        <v>-90.756317</v>
      </c>
      <c r="R49" s="31" t="n">
        <v>538.792116</v>
      </c>
      <c r="S49" s="31" t="n">
        <v>-417.418078</v>
      </c>
      <c r="T49" s="31" t="n">
        <v>174.042318</v>
      </c>
      <c r="U49" s="31" t="n">
        <v>-102.516338</v>
      </c>
      <c r="V49" s="31" t="n">
        <v>531.057455</v>
      </c>
      <c r="W49" s="31" t="n">
        <v>-431.342088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-24969.345109</v>
      </c>
      <c r="E50" s="31" t="n">
        <v>-45403.675972</v>
      </c>
      <c r="F50" s="31" t="n">
        <v>-40438.49292</v>
      </c>
      <c r="G50" s="31" t="n">
        <v>-36566.5484</v>
      </c>
      <c r="H50" s="31" t="n">
        <v>-32526.43755</v>
      </c>
      <c r="I50" s="31" t="n">
        <v>-27239.307259</v>
      </c>
      <c r="J50" s="31" t="n">
        <v>-21010.974332</v>
      </c>
      <c r="K50" s="31" t="n">
        <v>-14948.555743</v>
      </c>
      <c r="L50" s="31" t="n">
        <v>-9594.737424000001</v>
      </c>
      <c r="M50" s="31" t="n">
        <v>-2649.088348</v>
      </c>
      <c r="N50" s="31" t="n">
        <v>4566.100585</v>
      </c>
      <c r="O50" s="31" t="n">
        <v>5408.898852</v>
      </c>
      <c r="P50" s="31" t="n">
        <v>5913.830584</v>
      </c>
      <c r="Q50" s="31" t="n">
        <v>6957.787715</v>
      </c>
      <c r="R50" s="31" t="n">
        <v>8876.739094</v>
      </c>
      <c r="S50" s="31" t="n">
        <v>9375.362861</v>
      </c>
      <c r="T50" s="31" t="n">
        <v>9915.136259999999</v>
      </c>
      <c r="U50" s="31" t="n">
        <v>11032.049152</v>
      </c>
      <c r="V50" s="31" t="n">
        <v>13020.958397</v>
      </c>
      <c r="W50" s="31" t="n">
        <v>13535.775744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972</v>
      </c>
      <c r="E51" s="31" t="n">
        <v>977.9836319999999</v>
      </c>
      <c r="F51" s="31" t="n">
        <v>983.6891890000001</v>
      </c>
      <c r="G51" s="31" t="n">
        <v>989.113251</v>
      </c>
      <c r="H51" s="31" t="n">
        <v>994.251694</v>
      </c>
      <c r="I51" s="31" t="n">
        <v>999.1016540000001</v>
      </c>
      <c r="J51" s="31" t="n">
        <v>1003.658556</v>
      </c>
      <c r="K51" s="31" t="n">
        <v>1007.920091</v>
      </c>
      <c r="L51" s="31" t="n">
        <v>1011.883232</v>
      </c>
      <c r="M51" s="31" t="n">
        <v>1015.544226</v>
      </c>
      <c r="N51" s="31" t="n">
        <v>1018.899584</v>
      </c>
      <c r="O51" s="31" t="n">
        <v>1021.946094</v>
      </c>
      <c r="P51" s="31" t="n">
        <v>1024.681844</v>
      </c>
      <c r="Q51" s="31" t="n">
        <v>1027.103167</v>
      </c>
      <c r="R51" s="31" t="n">
        <v>1029.207701</v>
      </c>
      <c r="S51" s="31" t="n">
        <v>1030.992347</v>
      </c>
      <c r="T51" s="31" t="n">
        <v>1032.454294</v>
      </c>
      <c r="U51" s="31" t="n">
        <v>1033.591027</v>
      </c>
      <c r="V51" s="31" t="n">
        <v>1034.400328</v>
      </c>
      <c r="W51" s="31" t="n">
        <v>1034.879256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-972</v>
      </c>
      <c r="E52" s="31" t="n">
        <v>-977.9836319999999</v>
      </c>
      <c r="F52" s="31" t="n">
        <v>-983.6891890000001</v>
      </c>
      <c r="G52" s="31" t="n">
        <v>-989.113251</v>
      </c>
      <c r="H52" s="31" t="n">
        <v>-994.251694</v>
      </c>
      <c r="I52" s="31" t="n">
        <v>-999.1016540000001</v>
      </c>
      <c r="J52" s="31" t="n">
        <v>-1003.658556</v>
      </c>
      <c r="K52" s="31" t="n">
        <v>-1007.920091</v>
      </c>
      <c r="L52" s="31" t="n">
        <v>-1011.883232</v>
      </c>
      <c r="M52" s="31" t="n">
        <v>-1015.544226</v>
      </c>
      <c r="N52" s="31" t="n">
        <v>-1018.899584</v>
      </c>
      <c r="O52" s="31" t="n">
        <v>-1021.946094</v>
      </c>
      <c r="P52" s="31" t="n">
        <v>-1024.681844</v>
      </c>
      <c r="Q52" s="31" t="n">
        <v>-1027.103167</v>
      </c>
      <c r="R52" s="31" t="n">
        <v>-1029.207701</v>
      </c>
      <c r="S52" s="31" t="n">
        <v>-1030.992347</v>
      </c>
      <c r="T52" s="31" t="n">
        <v>-1032.454294</v>
      </c>
      <c r="U52" s="31" t="n">
        <v>-1033.591027</v>
      </c>
      <c r="V52" s="31" t="n">
        <v>-1034.400328</v>
      </c>
      <c r="W52" s="31" t="n">
        <v>-1034.879256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-1750</v>
      </c>
      <c r="E54" s="31" t="n">
        <v>-1750</v>
      </c>
      <c r="F54" s="31" t="n">
        <v>-1750</v>
      </c>
      <c r="G54" s="31" t="n">
        <v>-1750</v>
      </c>
      <c r="H54" s="31" t="n">
        <v>-1750</v>
      </c>
      <c r="I54" s="31" t="n">
        <v>-1750</v>
      </c>
      <c r="J54" s="31" t="n">
        <v>-1750</v>
      </c>
      <c r="K54" s="31" t="n">
        <v>-1750</v>
      </c>
      <c r="L54" s="31" t="n">
        <v>-1750</v>
      </c>
      <c r="M54" s="31" t="n">
        <v>-1750</v>
      </c>
      <c r="N54" s="31" t="n">
        <v>-1750</v>
      </c>
      <c r="O54" s="31" t="n">
        <v>-1750</v>
      </c>
      <c r="P54" s="31" t="n">
        <v>-1750</v>
      </c>
      <c r="Q54" s="31" t="n">
        <v>-1750</v>
      </c>
      <c r="R54" s="31" t="n">
        <v>-1750</v>
      </c>
      <c r="S54" s="31" t="n">
        <v>-1750</v>
      </c>
      <c r="T54" s="31" t="n">
        <v>-2103</v>
      </c>
      <c r="U54" s="31" t="n">
        <v>-4897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105091</v>
      </c>
      <c r="E55" s="31" t="n">
        <v>49276</v>
      </c>
      <c r="F55" s="31" t="n">
        <v>44192</v>
      </c>
      <c r="G55" s="31" t="n">
        <v>40199</v>
      </c>
      <c r="H55" s="31" t="n">
        <v>36850</v>
      </c>
      <c r="I55" s="31" t="n">
        <v>30610</v>
      </c>
      <c r="J55" s="31" t="n">
        <v>24240</v>
      </c>
      <c r="K55" s="31" t="n">
        <v>18035</v>
      </c>
      <c r="L55" s="31" t="n">
        <v>13378</v>
      </c>
      <c r="M55" s="31" t="n">
        <v>5432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352</v>
      </c>
      <c r="U56" s="31" t="n">
        <v>5052</v>
      </c>
      <c r="V56" s="31" t="n">
        <v>11946</v>
      </c>
      <c r="W56" s="31" t="n">
        <v>12473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103341</v>
      </c>
      <c r="E57" s="31" t="n">
        <v>47526</v>
      </c>
      <c r="F57" s="31" t="n">
        <v>42442</v>
      </c>
      <c r="G57" s="31" t="n">
        <v>38449</v>
      </c>
      <c r="H57" s="31" t="n">
        <v>35100</v>
      </c>
      <c r="I57" s="31" t="n">
        <v>28860</v>
      </c>
      <c r="J57" s="31" t="n">
        <v>22490</v>
      </c>
      <c r="K57" s="31" t="n">
        <v>16285</v>
      </c>
      <c r="L57" s="31" t="n">
        <v>11628</v>
      </c>
      <c r="M57" s="31" t="n">
        <v>3682</v>
      </c>
      <c r="N57" s="31" t="n">
        <v>-1750</v>
      </c>
      <c r="O57" s="31" t="n">
        <v>-1750</v>
      </c>
      <c r="P57" s="31" t="n">
        <v>-1750</v>
      </c>
      <c r="Q57" s="31" t="n">
        <v>-1750</v>
      </c>
      <c r="R57" s="31" t="n">
        <v>-1750</v>
      </c>
      <c r="S57" s="31" t="n">
        <v>-1750</v>
      </c>
      <c r="T57" s="31" t="n">
        <v>-2455</v>
      </c>
      <c r="U57" s="31" t="n">
        <v>-9949</v>
      </c>
      <c r="V57" s="31" t="n">
        <v>-11946</v>
      </c>
      <c r="W57" s="31" t="n">
        <v>-12473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77399.654891</v>
      </c>
      <c r="E58" s="31" t="n">
        <v>1144.340396</v>
      </c>
      <c r="F58" s="31" t="n">
        <v>1019.817891</v>
      </c>
      <c r="G58" s="31" t="n">
        <v>893.338349</v>
      </c>
      <c r="H58" s="31" t="n">
        <v>1579.310756</v>
      </c>
      <c r="I58" s="31" t="n">
        <v>621.591087</v>
      </c>
      <c r="J58" s="31" t="n">
        <v>475.367112</v>
      </c>
      <c r="K58" s="31" t="n">
        <v>328.524166</v>
      </c>
      <c r="L58" s="31" t="n">
        <v>1021.379344</v>
      </c>
      <c r="M58" s="31" t="n">
        <v>17.367426</v>
      </c>
      <c r="N58" s="31" t="n">
        <v>1797.201001</v>
      </c>
      <c r="O58" s="31" t="n">
        <v>2636.952758</v>
      </c>
      <c r="P58" s="31" t="n">
        <v>3139.14874</v>
      </c>
      <c r="Q58" s="31" t="n">
        <v>4180.684548</v>
      </c>
      <c r="R58" s="31" t="n">
        <v>6097.531393</v>
      </c>
      <c r="S58" s="31" t="n">
        <v>6594.370514</v>
      </c>
      <c r="T58" s="31" t="n">
        <v>6427.681966</v>
      </c>
      <c r="U58" s="31" t="n">
        <v>49.458125</v>
      </c>
      <c r="V58" s="31" t="n">
        <v>40.558069</v>
      </c>
      <c r="W58" s="31" t="n">
        <v>27.896488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0</v>
      </c>
      <c r="D59" s="31" t="n">
        <v>77399.654891</v>
      </c>
      <c r="E59" s="31" t="n">
        <v>78543.995287</v>
      </c>
      <c r="F59" s="31" t="n">
        <v>79563.813178</v>
      </c>
      <c r="G59" s="31" t="n">
        <v>80457.151526</v>
      </c>
      <c r="H59" s="31" t="n">
        <v>82036.462283</v>
      </c>
      <c r="I59" s="31" t="n">
        <v>82658.05336999999</v>
      </c>
      <c r="J59" s="31" t="n">
        <v>83133.42048099999</v>
      </c>
      <c r="K59" s="31" t="n">
        <v>83461.944647</v>
      </c>
      <c r="L59" s="31" t="n">
        <v>84483.323991</v>
      </c>
      <c r="M59" s="31" t="n">
        <v>84500.691418</v>
      </c>
      <c r="N59" s="31" t="n">
        <v>86297.892419</v>
      </c>
      <c r="O59" s="31" t="n">
        <v>88934.845177</v>
      </c>
      <c r="P59" s="31" t="n">
        <v>92073.993917</v>
      </c>
      <c r="Q59" s="31" t="n">
        <v>96254.678464</v>
      </c>
      <c r="R59" s="31" t="n">
        <v>102352.209858</v>
      </c>
      <c r="S59" s="31" t="n">
        <v>108946.580372</v>
      </c>
      <c r="T59" s="31" t="n">
        <v>115374.262338</v>
      </c>
      <c r="U59" s="31" t="n">
        <v>115423.720463</v>
      </c>
      <c r="V59" s="31" t="n">
        <v>115464.278532</v>
      </c>
      <c r="W59" s="31" t="n">
        <v>115492.17502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Sweet Crumbs Bakery</t>
        </is>
      </c>
    </row>
    <row r="8">
      <c r="A8" s="45" t="inlineStr">
        <is>
          <t>Business Start Date</t>
        </is>
      </c>
      <c r="B8" s="46" t="inlineStr">
        <is>
          <t>06/19/2024</t>
        </is>
      </c>
    </row>
    <row r="9">
      <c r="A9" s="45" t="inlineStr">
        <is>
          <t>NAICS-6</t>
        </is>
      </c>
      <c r="B9" s="46" t="inlineStr">
        <is>
          <t>311811</t>
        </is>
      </c>
    </row>
    <row r="10">
      <c r="A10" s="45" t="inlineStr">
        <is>
          <t>Draft ID</t>
        </is>
      </c>
      <c r="B10" s="46" t="inlineStr">
        <is>
          <t>65d6ab475138406db34b5150e5642889</t>
        </is>
      </c>
    </row>
    <row r="11">
      <c r="A11" s="45" t="inlineStr">
        <is>
          <t>Planning Run ID</t>
        </is>
      </c>
      <c r="B11" s="46" t="inlineStr">
        <is>
          <t>52d11a717fb74ff4ba54d2ec1ac6ea10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3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Sweet Crumbs Bakery Financial Model</dc:title>
  <dc:subject>Client financial model workbook</dc:subject>
  <dcterms:created xsi:type="dcterms:W3CDTF">2026-05-20T06:10:01Z</dcterms:created>
  <dcterms:modified xsi:type="dcterms:W3CDTF">2026-05-20T06:10:02Z</dcterms:modified>
</cp:coreProperties>
</file>