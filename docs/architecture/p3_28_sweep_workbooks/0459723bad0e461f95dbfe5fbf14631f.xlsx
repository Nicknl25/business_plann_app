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Dine-in</t>
        </is>
      </c>
    </row>
    <row r="8">
      <c r="A8" s="8" t="inlineStr">
        <is>
          <t>Primary line of business / Dine-in - Capacity</t>
        </is>
      </c>
      <c r="B8" s="8" t="inlineStr">
        <is>
          <t>Source driver</t>
        </is>
      </c>
      <c r="C8" s="9" t="n">
        <v>13000</v>
      </c>
      <c r="D8" s="9" t="n">
        <v>6362.068965</v>
      </c>
      <c r="E8" s="9" t="n">
        <v>6362.068965</v>
      </c>
      <c r="F8" s="9" t="n">
        <v>6362.068965</v>
      </c>
      <c r="G8" s="9" t="n">
        <v>6362.068965</v>
      </c>
      <c r="H8" s="9" t="n">
        <v>6362.068965</v>
      </c>
      <c r="I8" s="9" t="n">
        <v>6362.068965</v>
      </c>
      <c r="J8" s="9" t="n">
        <v>6362.068965</v>
      </c>
      <c r="K8" s="9" t="n">
        <v>6362.068965</v>
      </c>
      <c r="L8" s="9" t="n">
        <v>6362.068965</v>
      </c>
      <c r="M8" s="9" t="n">
        <v>6362.068965</v>
      </c>
      <c r="N8" s="9" t="n">
        <v>6362.068965</v>
      </c>
      <c r="O8" s="9" t="n">
        <v>6362.068965</v>
      </c>
      <c r="P8" s="9" t="n">
        <v>6362.068965</v>
      </c>
      <c r="Q8" s="9" t="n">
        <v>6362.068965</v>
      </c>
      <c r="R8" s="9" t="n">
        <v>6362.068965</v>
      </c>
      <c r="S8" s="9" t="n">
        <v>6362.068965</v>
      </c>
      <c r="T8" s="9" t="n">
        <v>6362.068965</v>
      </c>
      <c r="U8" s="9" t="n">
        <v>6362.068965</v>
      </c>
      <c r="V8" s="9" t="n">
        <v>6362.068965</v>
      </c>
      <c r="W8" s="9" t="n">
        <v>6362.068965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Dine-in - Unit Price</t>
        </is>
      </c>
      <c r="B9" s="8" t="inlineStr">
        <is>
          <t>Source driver</t>
        </is>
      </c>
      <c r="C9" s="11" t="n">
        <v>35</v>
      </c>
      <c r="D9" s="11" t="n">
        <v>32</v>
      </c>
      <c r="E9" s="11" t="n">
        <v>32.5</v>
      </c>
      <c r="F9" s="11" t="n">
        <v>33</v>
      </c>
      <c r="G9" s="11" t="n">
        <v>33.5</v>
      </c>
      <c r="H9" s="11" t="n">
        <v>34</v>
      </c>
      <c r="I9" s="11" t="n">
        <v>34.5</v>
      </c>
      <c r="J9" s="11" t="n">
        <v>35</v>
      </c>
      <c r="K9" s="11" t="n">
        <v>35.5</v>
      </c>
      <c r="L9" s="11" t="n">
        <v>36</v>
      </c>
      <c r="M9" s="11" t="n">
        <v>36.5</v>
      </c>
      <c r="N9" s="11" t="n">
        <v>37</v>
      </c>
      <c r="O9" s="11" t="n">
        <v>37.333333</v>
      </c>
      <c r="P9" s="11" t="n">
        <v>37.666667</v>
      </c>
      <c r="Q9" s="11" t="n">
        <v>38</v>
      </c>
      <c r="R9" s="11" t="n">
        <v>38.333333</v>
      </c>
      <c r="S9" s="11" t="n">
        <v>38.666667</v>
      </c>
      <c r="T9" s="11" t="n">
        <v>39</v>
      </c>
      <c r="U9" s="11" t="n">
        <v>39.333333</v>
      </c>
      <c r="V9" s="11" t="n">
        <v>39.666667</v>
      </c>
      <c r="W9" s="11" t="n">
        <v>40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Dine-in - Utilization</t>
        </is>
      </c>
      <c r="B10" s="8" t="inlineStr">
        <is>
          <t>Source driver</t>
        </is>
      </c>
      <c r="C10" s="13" t="n">
        <v>0.75</v>
      </c>
      <c r="D10" s="13" t="n">
        <v>0.6899999999999999</v>
      </c>
      <c r="E10" s="13" t="n">
        <v>0.699</v>
      </c>
      <c r="F10" s="13" t="n">
        <v>0.708</v>
      </c>
      <c r="G10" s="13" t="n">
        <v>0.717</v>
      </c>
      <c r="H10" s="13" t="n">
        <v>0.726</v>
      </c>
      <c r="I10" s="13" t="n">
        <v>0.735</v>
      </c>
      <c r="J10" s="13" t="n">
        <v>0.744</v>
      </c>
      <c r="K10" s="13" t="n">
        <v>0.753</v>
      </c>
      <c r="L10" s="13" t="n">
        <v>0.762</v>
      </c>
      <c r="M10" s="13" t="n">
        <v>0.771</v>
      </c>
      <c r="N10" s="13" t="n">
        <v>0.78</v>
      </c>
      <c r="O10" s="13" t="n">
        <v>0.784444</v>
      </c>
      <c r="P10" s="13" t="n">
        <v>0.788889</v>
      </c>
      <c r="Q10" s="13" t="n">
        <v>0.793333</v>
      </c>
      <c r="R10" s="13" t="n">
        <v>0.797778</v>
      </c>
      <c r="S10" s="13" t="n">
        <v>0.802222</v>
      </c>
      <c r="T10" s="13" t="n">
        <v>0.806667</v>
      </c>
      <c r="U10" s="13" t="n">
        <v>0.811111</v>
      </c>
      <c r="V10" s="13" t="n">
        <v>0.8155559999999999</v>
      </c>
      <c r="W10" s="13" t="n">
        <v>0.82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Dine-in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7" t="inlineStr">
        <is>
          <t>Primary line of business / Takeout &amp; delivery</t>
        </is>
      </c>
    </row>
    <row r="14">
      <c r="A14" s="8" t="inlineStr">
        <is>
          <t>Primary line of business / Takeout &amp; delivery - Capacity</t>
        </is>
      </c>
      <c r="B14" s="8" t="inlineStr">
        <is>
          <t>Source driver</t>
        </is>
      </c>
      <c r="C14" s="9" t="n">
        <v>3900</v>
      </c>
      <c r="D14" s="9" t="n">
        <v>1908.62069</v>
      </c>
      <c r="E14" s="9" t="n">
        <v>1908.62069</v>
      </c>
      <c r="F14" s="9" t="n">
        <v>1908.62069</v>
      </c>
      <c r="G14" s="9" t="n">
        <v>1908.62069</v>
      </c>
      <c r="H14" s="9" t="n">
        <v>1908.62069</v>
      </c>
      <c r="I14" s="9" t="n">
        <v>1908.62069</v>
      </c>
      <c r="J14" s="9" t="n">
        <v>1908.62069</v>
      </c>
      <c r="K14" s="9" t="n">
        <v>1908.62069</v>
      </c>
      <c r="L14" s="9" t="n">
        <v>1908.62069</v>
      </c>
      <c r="M14" s="9" t="n">
        <v>1908.62069</v>
      </c>
      <c r="N14" s="9" t="n">
        <v>1908.62069</v>
      </c>
      <c r="O14" s="9" t="n">
        <v>1908.62069</v>
      </c>
      <c r="P14" s="9" t="n">
        <v>1908.62069</v>
      </c>
      <c r="Q14" s="9" t="n">
        <v>1908.62069</v>
      </c>
      <c r="R14" s="9" t="n">
        <v>1908.62069</v>
      </c>
      <c r="S14" s="9" t="n">
        <v>1908.62069</v>
      </c>
      <c r="T14" s="9" t="n">
        <v>1908.62069</v>
      </c>
      <c r="U14" s="9" t="n">
        <v>1908.62069</v>
      </c>
      <c r="V14" s="9" t="n">
        <v>1908.62069</v>
      </c>
      <c r="W14" s="9" t="n">
        <v>1908.62069</v>
      </c>
      <c r="X14" s="10" t="n"/>
      <c r="Y14" s="10" t="n"/>
      <c r="Z14" s="10" t="n"/>
      <c r="AA14" s="10" t="n"/>
      <c r="AB14" s="10" t="n"/>
    </row>
    <row r="15">
      <c r="A15" s="8" t="inlineStr">
        <is>
          <t>Primary line of business / Takeout &amp; delivery - Unit Price</t>
        </is>
      </c>
      <c r="B15" s="8" t="inlineStr">
        <is>
          <t>Source driver</t>
        </is>
      </c>
      <c r="C15" s="11" t="n">
        <v>28</v>
      </c>
      <c r="D15" s="11" t="n">
        <v>32</v>
      </c>
      <c r="E15" s="11" t="n">
        <v>32.5</v>
      </c>
      <c r="F15" s="11" t="n">
        <v>33</v>
      </c>
      <c r="G15" s="11" t="n">
        <v>33.5</v>
      </c>
      <c r="H15" s="11" t="n">
        <v>34</v>
      </c>
      <c r="I15" s="11" t="n">
        <v>34.5</v>
      </c>
      <c r="J15" s="11" t="n">
        <v>35</v>
      </c>
      <c r="K15" s="11" t="n">
        <v>35.5</v>
      </c>
      <c r="L15" s="11" t="n">
        <v>36</v>
      </c>
      <c r="M15" s="11" t="n">
        <v>36.5</v>
      </c>
      <c r="N15" s="11" t="n">
        <v>37</v>
      </c>
      <c r="O15" s="11" t="n">
        <v>37.333333</v>
      </c>
      <c r="P15" s="11" t="n">
        <v>37.666667</v>
      </c>
      <c r="Q15" s="11" t="n">
        <v>38</v>
      </c>
      <c r="R15" s="11" t="n">
        <v>38.333333</v>
      </c>
      <c r="S15" s="11" t="n">
        <v>38.666667</v>
      </c>
      <c r="T15" s="11" t="n">
        <v>39</v>
      </c>
      <c r="U15" s="11" t="n">
        <v>39.333333</v>
      </c>
      <c r="V15" s="11" t="n">
        <v>39.666667</v>
      </c>
      <c r="W15" s="11" t="n">
        <v>40</v>
      </c>
      <c r="X15" s="12" t="n"/>
      <c r="Y15" s="12" t="n"/>
      <c r="Z15" s="12" t="n"/>
      <c r="AA15" s="12" t="n"/>
      <c r="AB15" s="12" t="n"/>
    </row>
    <row r="16">
      <c r="A16" s="8" t="inlineStr">
        <is>
          <t>Primary line of business / Takeout &amp; delivery - Utilization</t>
        </is>
      </c>
      <c r="B16" s="8" t="inlineStr">
        <is>
          <t>Source driver</t>
        </is>
      </c>
      <c r="C16" s="13" t="n">
        <v>0.7</v>
      </c>
      <c r="D16" s="13" t="n">
        <v>0.6899999999999999</v>
      </c>
      <c r="E16" s="13" t="n">
        <v>0.699</v>
      </c>
      <c r="F16" s="13" t="n">
        <v>0.708</v>
      </c>
      <c r="G16" s="13" t="n">
        <v>0.717</v>
      </c>
      <c r="H16" s="13" t="n">
        <v>0.726</v>
      </c>
      <c r="I16" s="13" t="n">
        <v>0.735</v>
      </c>
      <c r="J16" s="13" t="n">
        <v>0.744</v>
      </c>
      <c r="K16" s="13" t="n">
        <v>0.753</v>
      </c>
      <c r="L16" s="13" t="n">
        <v>0.762</v>
      </c>
      <c r="M16" s="13" t="n">
        <v>0.771</v>
      </c>
      <c r="N16" s="13" t="n">
        <v>0.78</v>
      </c>
      <c r="O16" s="13" t="n">
        <v>0.784444</v>
      </c>
      <c r="P16" s="13" t="n">
        <v>0.788889</v>
      </c>
      <c r="Q16" s="13" t="n">
        <v>0.793333</v>
      </c>
      <c r="R16" s="13" t="n">
        <v>0.797778</v>
      </c>
      <c r="S16" s="13" t="n">
        <v>0.802222</v>
      </c>
      <c r="T16" s="13" t="n">
        <v>0.806667</v>
      </c>
      <c r="U16" s="13" t="n">
        <v>0.811111</v>
      </c>
      <c r="V16" s="13" t="n">
        <v>0.8155559999999999</v>
      </c>
      <c r="W16" s="13" t="n">
        <v>0.82</v>
      </c>
      <c r="X16" s="14" t="n"/>
      <c r="Y16" s="14" t="n"/>
      <c r="Z16" s="14" t="n"/>
      <c r="AA16" s="14" t="n"/>
      <c r="AB16" s="14" t="n"/>
    </row>
    <row r="17">
      <c r="A17" s="15" t="inlineStr">
        <is>
          <t>Primary line of business / Takeout &amp; delivery - Revenue</t>
        </is>
      </c>
      <c r="B17" s="15" t="inlineStr">
        <is>
          <t>Capacity x Unit Price x Utilization</t>
        </is>
      </c>
      <c r="C17" s="16">
        <f>C14*C15*C16</f>
        <v/>
      </c>
      <c r="D17" s="16">
        <f>D14*D15*D16</f>
        <v/>
      </c>
      <c r="E17" s="16">
        <f>E14*E15*E16</f>
        <v/>
      </c>
      <c r="F17" s="16">
        <f>F14*F15*F16</f>
        <v/>
      </c>
      <c r="G17" s="16">
        <f>G14*G15*G16</f>
        <v/>
      </c>
      <c r="H17" s="16">
        <f>H14*H15*H16</f>
        <v/>
      </c>
      <c r="I17" s="16">
        <f>I14*I15*I16</f>
        <v/>
      </c>
      <c r="J17" s="16">
        <f>J14*J15*J16</f>
        <v/>
      </c>
      <c r="K17" s="16">
        <f>K14*K15*K16</f>
        <v/>
      </c>
      <c r="L17" s="16">
        <f>L14*L15*L16</f>
        <v/>
      </c>
      <c r="M17" s="16">
        <f>M14*M15*M16</f>
        <v/>
      </c>
      <c r="N17" s="16">
        <f>N14*N15*N16</f>
        <v/>
      </c>
      <c r="O17" s="16">
        <f>O14*O15*O16</f>
        <v/>
      </c>
      <c r="P17" s="16">
        <f>P14*P15*P16</f>
        <v/>
      </c>
      <c r="Q17" s="16">
        <f>Q14*Q15*Q16</f>
        <v/>
      </c>
      <c r="R17" s="16">
        <f>R14*R15*R16</f>
        <v/>
      </c>
      <c r="S17" s="16">
        <f>S14*S15*S16</f>
        <v/>
      </c>
      <c r="T17" s="16">
        <f>T14*T15*T16</f>
        <v/>
      </c>
      <c r="U17" s="16">
        <f>U14*U15*U16</f>
        <v/>
      </c>
      <c r="V17" s="16">
        <f>V14*V15*V16</f>
        <v/>
      </c>
      <c r="W17" s="16">
        <f>W14*W15*W16</f>
        <v/>
      </c>
      <c r="X17" s="16">
        <f>SUM(D17:G17)</f>
        <v/>
      </c>
      <c r="Y17" s="16">
        <f>SUM(H17:K17)</f>
        <v/>
      </c>
      <c r="Z17" s="16">
        <f>SUM(L17:O17)</f>
        <v/>
      </c>
      <c r="AA17" s="16">
        <f>SUM(P17:S17)</f>
        <v/>
      </c>
      <c r="AB17" s="16">
        <f>SUM(T17:W17)</f>
        <v/>
      </c>
    </row>
    <row r="19">
      <c r="A19" s="7" t="inlineStr">
        <is>
          <t>Primary line of business / Catering</t>
        </is>
      </c>
    </row>
    <row r="20">
      <c r="A20" s="8" t="inlineStr">
        <is>
          <t>Primary line of business / Catering - Capacity</t>
        </is>
      </c>
      <c r="B20" s="8" t="inlineStr">
        <is>
          <t>Source driver</t>
        </is>
      </c>
      <c r="C20" s="9" t="n">
        <v>1950</v>
      </c>
      <c r="D20" s="9" t="n">
        <v>954.310345</v>
      </c>
      <c r="E20" s="9" t="n">
        <v>954.310345</v>
      </c>
      <c r="F20" s="9" t="n">
        <v>954.310345</v>
      </c>
      <c r="G20" s="9" t="n">
        <v>954.310345</v>
      </c>
      <c r="H20" s="9" t="n">
        <v>954.310345</v>
      </c>
      <c r="I20" s="9" t="n">
        <v>954.310345</v>
      </c>
      <c r="J20" s="9" t="n">
        <v>954.310345</v>
      </c>
      <c r="K20" s="9" t="n">
        <v>954.310345</v>
      </c>
      <c r="L20" s="9" t="n">
        <v>954.310345</v>
      </c>
      <c r="M20" s="9" t="n">
        <v>954.310345</v>
      </c>
      <c r="N20" s="9" t="n">
        <v>954.310345</v>
      </c>
      <c r="O20" s="9" t="n">
        <v>954.310345</v>
      </c>
      <c r="P20" s="9" t="n">
        <v>954.310345</v>
      </c>
      <c r="Q20" s="9" t="n">
        <v>954.310345</v>
      </c>
      <c r="R20" s="9" t="n">
        <v>954.310345</v>
      </c>
      <c r="S20" s="9" t="n">
        <v>954.310345</v>
      </c>
      <c r="T20" s="9" t="n">
        <v>954.310345</v>
      </c>
      <c r="U20" s="9" t="n">
        <v>954.310345</v>
      </c>
      <c r="V20" s="9" t="n">
        <v>954.310345</v>
      </c>
      <c r="W20" s="9" t="n">
        <v>954.310345</v>
      </c>
      <c r="X20" s="10" t="n"/>
      <c r="Y20" s="10" t="n"/>
      <c r="Z20" s="10" t="n"/>
      <c r="AA20" s="10" t="n"/>
      <c r="AB20" s="10" t="n"/>
    </row>
    <row r="21">
      <c r="A21" s="8" t="inlineStr">
        <is>
          <t>Primary line of business / Catering - Unit Price</t>
        </is>
      </c>
      <c r="B21" s="8" t="inlineStr">
        <is>
          <t>Source driver</t>
        </is>
      </c>
      <c r="C21" s="11" t="n">
        <v>45</v>
      </c>
      <c r="D21" s="11" t="n">
        <v>32</v>
      </c>
      <c r="E21" s="11" t="n">
        <v>32.5</v>
      </c>
      <c r="F21" s="11" t="n">
        <v>33</v>
      </c>
      <c r="G21" s="11" t="n">
        <v>33.5</v>
      </c>
      <c r="H21" s="11" t="n">
        <v>34</v>
      </c>
      <c r="I21" s="11" t="n">
        <v>34.5</v>
      </c>
      <c r="J21" s="11" t="n">
        <v>35</v>
      </c>
      <c r="K21" s="11" t="n">
        <v>35.5</v>
      </c>
      <c r="L21" s="11" t="n">
        <v>36</v>
      </c>
      <c r="M21" s="11" t="n">
        <v>36.5</v>
      </c>
      <c r="N21" s="11" t="n">
        <v>37</v>
      </c>
      <c r="O21" s="11" t="n">
        <v>37.333333</v>
      </c>
      <c r="P21" s="11" t="n">
        <v>37.666667</v>
      </c>
      <c r="Q21" s="11" t="n">
        <v>38</v>
      </c>
      <c r="R21" s="11" t="n">
        <v>38.333333</v>
      </c>
      <c r="S21" s="11" t="n">
        <v>38.666667</v>
      </c>
      <c r="T21" s="11" t="n">
        <v>39</v>
      </c>
      <c r="U21" s="11" t="n">
        <v>39.333333</v>
      </c>
      <c r="V21" s="11" t="n">
        <v>39.666667</v>
      </c>
      <c r="W21" s="11" t="n">
        <v>40</v>
      </c>
      <c r="X21" s="12" t="n"/>
      <c r="Y21" s="12" t="n"/>
      <c r="Z21" s="12" t="n"/>
      <c r="AA21" s="12" t="n"/>
      <c r="AB21" s="12" t="n"/>
    </row>
    <row r="22">
      <c r="A22" s="8" t="inlineStr">
        <is>
          <t>Primary line of business / Catering - Utilization</t>
        </is>
      </c>
      <c r="B22" s="8" t="inlineStr">
        <is>
          <t>Source driver</t>
        </is>
      </c>
      <c r="C22" s="13" t="n">
        <v>0.5</v>
      </c>
      <c r="D22" s="13" t="n">
        <v>0.6899999999999999</v>
      </c>
      <c r="E22" s="13" t="n">
        <v>0.699</v>
      </c>
      <c r="F22" s="13" t="n">
        <v>0.708</v>
      </c>
      <c r="G22" s="13" t="n">
        <v>0.717</v>
      </c>
      <c r="H22" s="13" t="n">
        <v>0.726</v>
      </c>
      <c r="I22" s="13" t="n">
        <v>0.735</v>
      </c>
      <c r="J22" s="13" t="n">
        <v>0.744</v>
      </c>
      <c r="K22" s="13" t="n">
        <v>0.753</v>
      </c>
      <c r="L22" s="13" t="n">
        <v>0.762</v>
      </c>
      <c r="M22" s="13" t="n">
        <v>0.771</v>
      </c>
      <c r="N22" s="13" t="n">
        <v>0.78</v>
      </c>
      <c r="O22" s="13" t="n">
        <v>0.784444</v>
      </c>
      <c r="P22" s="13" t="n">
        <v>0.788889</v>
      </c>
      <c r="Q22" s="13" t="n">
        <v>0.793333</v>
      </c>
      <c r="R22" s="13" t="n">
        <v>0.797778</v>
      </c>
      <c r="S22" s="13" t="n">
        <v>0.802222</v>
      </c>
      <c r="T22" s="13" t="n">
        <v>0.806667</v>
      </c>
      <c r="U22" s="13" t="n">
        <v>0.811111</v>
      </c>
      <c r="V22" s="13" t="n">
        <v>0.8155559999999999</v>
      </c>
      <c r="W22" s="13" t="n">
        <v>0.82</v>
      </c>
      <c r="X22" s="14" t="n"/>
      <c r="Y22" s="14" t="n"/>
      <c r="Z22" s="14" t="n"/>
      <c r="AA22" s="14" t="n"/>
      <c r="AB22" s="14" t="n"/>
    </row>
    <row r="23">
      <c r="A23" s="15" t="inlineStr">
        <is>
          <t>Primary line of business / Catering - Revenue</t>
        </is>
      </c>
      <c r="B23" s="15" t="inlineStr">
        <is>
          <t>Capacity x Unit Price x Utilization</t>
        </is>
      </c>
      <c r="C23" s="16">
        <f>C20*C21*C22</f>
        <v/>
      </c>
      <c r="D23" s="16">
        <f>D20*D21*D22</f>
        <v/>
      </c>
      <c r="E23" s="16">
        <f>E20*E21*E22</f>
        <v/>
      </c>
      <c r="F23" s="16">
        <f>F20*F21*F22</f>
        <v/>
      </c>
      <c r="G23" s="16">
        <f>G20*G21*G22</f>
        <v/>
      </c>
      <c r="H23" s="16">
        <f>H20*H21*H22</f>
        <v/>
      </c>
      <c r="I23" s="16">
        <f>I20*I21*I22</f>
        <v/>
      </c>
      <c r="J23" s="16">
        <f>J20*J21*J22</f>
        <v/>
      </c>
      <c r="K23" s="16">
        <f>K20*K21*K22</f>
        <v/>
      </c>
      <c r="L23" s="16">
        <f>L20*L21*L22</f>
        <v/>
      </c>
      <c r="M23" s="16">
        <f>M20*M21*M22</f>
        <v/>
      </c>
      <c r="N23" s="16">
        <f>N20*N21*N22</f>
        <v/>
      </c>
      <c r="O23" s="16">
        <f>O20*O21*O22</f>
        <v/>
      </c>
      <c r="P23" s="16">
        <f>P20*P21*P22</f>
        <v/>
      </c>
      <c r="Q23" s="16">
        <f>Q20*Q21*Q22</f>
        <v/>
      </c>
      <c r="R23" s="16">
        <f>R20*R21*R22</f>
        <v/>
      </c>
      <c r="S23" s="16">
        <f>S20*S21*S22</f>
        <v/>
      </c>
      <c r="T23" s="16">
        <f>T20*T21*T22</f>
        <v/>
      </c>
      <c r="U23" s="16">
        <f>U20*U21*U22</f>
        <v/>
      </c>
      <c r="V23" s="16">
        <f>V20*V21*V22</f>
        <v/>
      </c>
      <c r="W23" s="16">
        <f>W20*W21*W22</f>
        <v/>
      </c>
      <c r="X23" s="16">
        <f>SUM(D23:G23)</f>
        <v/>
      </c>
      <c r="Y23" s="16">
        <f>SUM(H23:K23)</f>
        <v/>
      </c>
      <c r="Z23" s="16">
        <f>SUM(L23:O23)</f>
        <v/>
      </c>
      <c r="AA23" s="16">
        <f>SUM(P23:S23)</f>
        <v/>
      </c>
      <c r="AB23" s="16">
        <f>SUM(T23:W23)</f>
        <v/>
      </c>
    </row>
    <row r="25">
      <c r="A25" s="17" t="inlineStr">
        <is>
          <t>Total Capacity Units</t>
        </is>
      </c>
      <c r="B25" s="17" t="inlineStr">
        <is>
          <t>All revenue driver capacity units</t>
        </is>
      </c>
      <c r="C25" s="18">
        <f>SUM(C8,C14,C20)</f>
        <v/>
      </c>
      <c r="D25" s="18">
        <f>SUM(D8,D14,D20)</f>
        <v/>
      </c>
      <c r="E25" s="18">
        <f>SUM(E8,E14,E20)</f>
        <v/>
      </c>
      <c r="F25" s="18">
        <f>SUM(F8,F14,F20)</f>
        <v/>
      </c>
      <c r="G25" s="18">
        <f>SUM(G8,G14,G20)</f>
        <v/>
      </c>
      <c r="H25" s="18">
        <f>SUM(H8,H14,H20)</f>
        <v/>
      </c>
      <c r="I25" s="18">
        <f>SUM(I8,I14,I20)</f>
        <v/>
      </c>
      <c r="J25" s="18">
        <f>SUM(J8,J14,J20)</f>
        <v/>
      </c>
      <c r="K25" s="18">
        <f>SUM(K8,K14,K20)</f>
        <v/>
      </c>
      <c r="L25" s="18">
        <f>SUM(L8,L14,L20)</f>
        <v/>
      </c>
      <c r="M25" s="18">
        <f>SUM(M8,M14,M20)</f>
        <v/>
      </c>
      <c r="N25" s="18">
        <f>SUM(N8,N14,N20)</f>
        <v/>
      </c>
      <c r="O25" s="18">
        <f>SUM(O8,O14,O20)</f>
        <v/>
      </c>
      <c r="P25" s="18">
        <f>SUM(P8,P14,P20)</f>
        <v/>
      </c>
      <c r="Q25" s="18">
        <f>SUM(Q8,Q14,Q20)</f>
        <v/>
      </c>
      <c r="R25" s="18">
        <f>SUM(R8,R14,R20)</f>
        <v/>
      </c>
      <c r="S25" s="18">
        <f>SUM(S8,S14,S20)</f>
        <v/>
      </c>
      <c r="T25" s="18">
        <f>SUM(T8,T14,T20)</f>
        <v/>
      </c>
      <c r="U25" s="18">
        <f>SUM(U8,U14,U20)</f>
        <v/>
      </c>
      <c r="V25" s="18">
        <f>SUM(V8,V14,V20)</f>
        <v/>
      </c>
      <c r="W25" s="18">
        <f>SUM(W8,W14,W20)</f>
        <v/>
      </c>
      <c r="X25" s="18">
        <f>SUM(D25:G25)</f>
        <v/>
      </c>
      <c r="Y25" s="18">
        <f>SUM(H25:K25)</f>
        <v/>
      </c>
      <c r="Z25" s="18">
        <f>SUM(L25:O25)</f>
        <v/>
      </c>
      <c r="AA25" s="18">
        <f>SUM(P25:S25)</f>
        <v/>
      </c>
      <c r="AB25" s="18">
        <f>SUM(T25:W25)</f>
        <v/>
      </c>
    </row>
    <row r="26">
      <c r="A26" s="19" t="inlineStr">
        <is>
          <t>Total Revenue</t>
        </is>
      </c>
      <c r="B26" s="19" t="inlineStr">
        <is>
          <t>All revenue products</t>
        </is>
      </c>
      <c r="C26" s="20">
        <f>SUM(C11,C17,C23)</f>
        <v/>
      </c>
      <c r="D26" s="20">
        <f>SUM(D11,D17,D23)</f>
        <v/>
      </c>
      <c r="E26" s="20">
        <f>SUM(E11,E17,E23)</f>
        <v/>
      </c>
      <c r="F26" s="20">
        <f>SUM(F11,F17,F23)</f>
        <v/>
      </c>
      <c r="G26" s="20">
        <f>SUM(G11,G17,G23)</f>
        <v/>
      </c>
      <c r="H26" s="20">
        <f>SUM(H11,H17,H23)</f>
        <v/>
      </c>
      <c r="I26" s="20">
        <f>SUM(I11,I17,I23)</f>
        <v/>
      </c>
      <c r="J26" s="20">
        <f>SUM(J11,J17,J23)</f>
        <v/>
      </c>
      <c r="K26" s="20">
        <f>SUM(K11,K17,K23)</f>
        <v/>
      </c>
      <c r="L26" s="20">
        <f>SUM(L11,L17,L23)</f>
        <v/>
      </c>
      <c r="M26" s="20">
        <f>SUM(M11,M17,M23)</f>
        <v/>
      </c>
      <c r="N26" s="20">
        <f>SUM(N11,N17,N23)</f>
        <v/>
      </c>
      <c r="O26" s="20">
        <f>SUM(O11,O17,O23)</f>
        <v/>
      </c>
      <c r="P26" s="20">
        <f>SUM(P11,P17,P23)</f>
        <v/>
      </c>
      <c r="Q26" s="20">
        <f>SUM(Q11,Q17,Q23)</f>
        <v/>
      </c>
      <c r="R26" s="20">
        <f>SUM(R11,R17,R23)</f>
        <v/>
      </c>
      <c r="S26" s="20">
        <f>SUM(S11,S17,S23)</f>
        <v/>
      </c>
      <c r="T26" s="20">
        <f>SUM(T11,T17,T23)</f>
        <v/>
      </c>
      <c r="U26" s="20">
        <f>SUM(U11,U17,U23)</f>
        <v/>
      </c>
      <c r="V26" s="20">
        <f>SUM(V11,V17,V23)</f>
        <v/>
      </c>
      <c r="W26" s="20">
        <f>SUM(W11,W17,W23)</f>
        <v/>
      </c>
      <c r="X26" s="20">
        <f>SUM(D26:G26)</f>
        <v/>
      </c>
      <c r="Y26" s="20">
        <f>SUM(H26:K26)</f>
        <v/>
      </c>
      <c r="Z26" s="20">
        <f>SUM(L26:O26)</f>
        <v/>
      </c>
      <c r="AA26" s="20">
        <f>SUM(P26:S26)</f>
        <v/>
      </c>
      <c r="AB26" s="20">
        <f>SUM(T26:W26)</f>
        <v/>
      </c>
    </row>
    <row r="28">
      <c r="A28" s="7" t="inlineStr">
        <is>
          <t>Stage Ramp Contract</t>
        </is>
      </c>
    </row>
    <row r="29">
      <c r="A29" s="21" t="inlineStr">
        <is>
          <t>Actual Revenue QoQ Growth</t>
        </is>
      </c>
      <c r="B29" s="21" t="inlineStr">
        <is>
          <t>Total revenue growth from modeled revenue drivers</t>
        </is>
      </c>
      <c r="C29" s="22">
        <f>0</f>
        <v/>
      </c>
      <c r="D29" s="22">
        <f>IFERROR(D26/C26-1,0)</f>
        <v/>
      </c>
      <c r="E29" s="22">
        <f>IFERROR(E26/D26-1,0)</f>
        <v/>
      </c>
      <c r="F29" s="22">
        <f>IFERROR(F26/E26-1,0)</f>
        <v/>
      </c>
      <c r="G29" s="22">
        <f>IFERROR(G26/F26-1,0)</f>
        <v/>
      </c>
      <c r="H29" s="22">
        <f>IFERROR(H26/G26-1,0)</f>
        <v/>
      </c>
      <c r="I29" s="22">
        <f>IFERROR(I26/H26-1,0)</f>
        <v/>
      </c>
      <c r="J29" s="22">
        <f>IFERROR(J26/I26-1,0)</f>
        <v/>
      </c>
      <c r="K29" s="22">
        <f>IFERROR(K26/J26-1,0)</f>
        <v/>
      </c>
      <c r="L29" s="22">
        <f>IFERROR(L26/K26-1,0)</f>
        <v/>
      </c>
      <c r="M29" s="22">
        <f>IFERROR(M26/L26-1,0)</f>
        <v/>
      </c>
      <c r="N29" s="22">
        <f>IFERROR(N26/M26-1,0)</f>
        <v/>
      </c>
      <c r="O29" s="22">
        <f>IFERROR(O26/N26-1,0)</f>
        <v/>
      </c>
      <c r="P29" s="22">
        <f>IFERROR(P26/O26-1,0)</f>
        <v/>
      </c>
      <c r="Q29" s="22">
        <f>IFERROR(Q26/P26-1,0)</f>
        <v/>
      </c>
      <c r="R29" s="22">
        <f>IFERROR(R26/Q26-1,0)</f>
        <v/>
      </c>
      <c r="S29" s="22">
        <f>IFERROR(S26/R26-1,0)</f>
        <v/>
      </c>
      <c r="T29" s="22">
        <f>IFERROR(T26/S26-1,0)</f>
        <v/>
      </c>
      <c r="U29" s="22">
        <f>IFERROR(U26/T26-1,0)</f>
        <v/>
      </c>
      <c r="V29" s="22">
        <f>IFERROR(V26/U26-1,0)</f>
        <v/>
      </c>
      <c r="W29" s="22">
        <f>IFERROR(W26/V26-1,0)</f>
        <v/>
      </c>
      <c r="X29" s="22">
        <f>AVERAGE(D29:G29)</f>
        <v/>
      </c>
      <c r="Y29" s="22">
        <f>AVERAGE(H29:K29)</f>
        <v/>
      </c>
      <c r="Z29" s="22">
        <f>AVERAGE(L29:O29)</f>
        <v/>
      </c>
      <c r="AA29" s="22">
        <f>AVERAGE(P29:S29)</f>
        <v/>
      </c>
      <c r="AB29" s="22">
        <f>AVERAGE(T29:W29)</f>
        <v/>
      </c>
    </row>
    <row r="30">
      <c r="A30" s="8" t="inlineStr">
        <is>
          <t>Stage Ramp Revenue QoQ Target</t>
        </is>
      </c>
      <c r="B30" s="8" t="inlineStr">
        <is>
          <t>GPT-selected stage ramp contract</t>
        </is>
      </c>
      <c r="C30" s="13" t="n">
        <v>0</v>
      </c>
      <c r="D30" s="13" t="n">
        <v>0.02</v>
      </c>
      <c r="E30" s="13" t="n">
        <v>0.02</v>
      </c>
      <c r="F30" s="13" t="n">
        <v>0.02</v>
      </c>
      <c r="G30" s="13" t="n">
        <v>0.02</v>
      </c>
      <c r="H30" s="13" t="n">
        <v>0.02</v>
      </c>
      <c r="I30" s="13" t="n">
        <v>0.02</v>
      </c>
      <c r="J30" s="13" t="n">
        <v>0.02</v>
      </c>
      <c r="K30" s="13" t="n">
        <v>0.02</v>
      </c>
      <c r="L30" s="13" t="n">
        <v>0.02</v>
      </c>
      <c r="M30" s="13" t="n">
        <v>0.02</v>
      </c>
      <c r="N30" s="13" t="n">
        <v>0.02</v>
      </c>
      <c r="O30" s="13" t="n">
        <v>0.02</v>
      </c>
      <c r="P30" s="13" t="n">
        <v>0.02</v>
      </c>
      <c r="Q30" s="13" t="n">
        <v>0.02</v>
      </c>
      <c r="R30" s="13" t="n">
        <v>0.02</v>
      </c>
      <c r="S30" s="13" t="n">
        <v>0.02</v>
      </c>
      <c r="T30" s="13" t="n">
        <v>0.02</v>
      </c>
      <c r="U30" s="13" t="n">
        <v>0.02</v>
      </c>
      <c r="V30" s="13" t="n">
        <v>0.02</v>
      </c>
      <c r="W30" s="13" t="n">
        <v>0.02</v>
      </c>
      <c r="X30" s="14">
        <f>AVERAGE(D30:G30)</f>
        <v/>
      </c>
      <c r="Y30" s="14">
        <f>AVERAGE(H30:K30)</f>
        <v/>
      </c>
      <c r="Z30" s="14">
        <f>AVERAGE(L30:O30)</f>
        <v/>
      </c>
      <c r="AA30" s="14">
        <f>AVERAGE(P30:S30)</f>
        <v/>
      </c>
      <c r="AB30" s="14">
        <f>AVERAGE(T30:W30)</f>
        <v/>
      </c>
    </row>
    <row r="31">
      <c r="A31" s="8" t="inlineStr">
        <is>
          <t>Stage Ramp Revenue QoQ Max</t>
        </is>
      </c>
      <c r="B31" s="8" t="inlineStr">
        <is>
          <t>GPT-selected stage ramp contract</t>
        </is>
      </c>
      <c r="C31" s="13" t="n">
        <v>0</v>
      </c>
      <c r="D31" s="13" t="n">
        <v>0.06</v>
      </c>
      <c r="E31" s="13" t="n">
        <v>0.06</v>
      </c>
      <c r="F31" s="13" t="n">
        <v>0.06</v>
      </c>
      <c r="G31" s="13" t="n">
        <v>0.06</v>
      </c>
      <c r="H31" s="13" t="n">
        <v>0.06</v>
      </c>
      <c r="I31" s="13" t="n">
        <v>0.06</v>
      </c>
      <c r="J31" s="13" t="n">
        <v>0.06</v>
      </c>
      <c r="K31" s="13" t="n">
        <v>0.06</v>
      </c>
      <c r="L31" s="13" t="n">
        <v>0.06</v>
      </c>
      <c r="M31" s="13" t="n">
        <v>0.06</v>
      </c>
      <c r="N31" s="13" t="n">
        <v>0.06</v>
      </c>
      <c r="O31" s="13" t="n">
        <v>0.06</v>
      </c>
      <c r="P31" s="13" t="n">
        <v>0.06</v>
      </c>
      <c r="Q31" s="13" t="n">
        <v>0.06</v>
      </c>
      <c r="R31" s="13" t="n">
        <v>0.06</v>
      </c>
      <c r="S31" s="13" t="n">
        <v>0.06</v>
      </c>
      <c r="T31" s="13" t="n">
        <v>0.06</v>
      </c>
      <c r="U31" s="13" t="n">
        <v>0.06</v>
      </c>
      <c r="V31" s="13" t="n">
        <v>0.06</v>
      </c>
      <c r="W31" s="13" t="n">
        <v>0.06</v>
      </c>
      <c r="X31" s="14">
        <f>AVERAGE(D31:G31)</f>
        <v/>
      </c>
      <c r="Y31" s="14">
        <f>AVERAGE(H31:K31)</f>
        <v/>
      </c>
      <c r="Z31" s="14">
        <f>AVERAGE(L31:O31)</f>
        <v/>
      </c>
      <c r="AA31" s="14">
        <f>AVERAGE(P31:S31)</f>
        <v/>
      </c>
      <c r="AB31" s="14">
        <f>AVERAGE(T31:W31)</f>
        <v/>
      </c>
    </row>
    <row r="32">
      <c r="A32" s="8" t="inlineStr">
        <is>
          <t>Stage Ramp Revenue QoQ Spike Max</t>
        </is>
      </c>
      <c r="B32" s="8" t="inlineStr">
        <is>
          <t>GPT-selected stage ramp contract</t>
        </is>
      </c>
      <c r="C32" s="13" t="n">
        <v>0</v>
      </c>
      <c r="D32" s="13" t="n">
        <v>0.06</v>
      </c>
      <c r="E32" s="13" t="n">
        <v>0.06</v>
      </c>
      <c r="F32" s="13" t="n">
        <v>0.06</v>
      </c>
      <c r="G32" s="13" t="n">
        <v>0.06</v>
      </c>
      <c r="H32" s="13" t="n">
        <v>0.06</v>
      </c>
      <c r="I32" s="13" t="n">
        <v>0.06</v>
      </c>
      <c r="J32" s="13" t="n">
        <v>0.06</v>
      </c>
      <c r="K32" s="13" t="n">
        <v>0.06</v>
      </c>
      <c r="L32" s="13" t="n">
        <v>0.06</v>
      </c>
      <c r="M32" s="13" t="n">
        <v>0.06</v>
      </c>
      <c r="N32" s="13" t="n">
        <v>0.06</v>
      </c>
      <c r="O32" s="13" t="n">
        <v>0.06</v>
      </c>
      <c r="P32" s="13" t="n">
        <v>0.06</v>
      </c>
      <c r="Q32" s="13" t="n">
        <v>0.06</v>
      </c>
      <c r="R32" s="13" t="n">
        <v>0.06</v>
      </c>
      <c r="S32" s="13" t="n">
        <v>0.06</v>
      </c>
      <c r="T32" s="13" t="n">
        <v>0.06</v>
      </c>
      <c r="U32" s="13" t="n">
        <v>0.06</v>
      </c>
      <c r="V32" s="13" t="n">
        <v>0.06</v>
      </c>
      <c r="W32" s="13" t="n">
        <v>0.06</v>
      </c>
      <c r="X32" s="14">
        <f>AVERAGE(D32:G32)</f>
        <v/>
      </c>
      <c r="Y32" s="14">
        <f>AVERAGE(H32:K32)</f>
        <v/>
      </c>
      <c r="Z32" s="14">
        <f>AVERAGE(L32:O32)</f>
        <v/>
      </c>
      <c r="AA32" s="14">
        <f>AVERAGE(P32:S32)</f>
        <v/>
      </c>
      <c r="AB32" s="14">
        <f>AVERAGE(T32:W32)</f>
        <v/>
      </c>
    </row>
    <row r="33">
      <c r="A33" s="8" t="inlineStr">
        <is>
          <t>Stage Ramp Utilization Cap</t>
        </is>
      </c>
      <c r="B33" s="8" t="inlineStr">
        <is>
          <t>GPT-selected stage ramp contract</t>
        </is>
      </c>
      <c r="C33" s="13" t="n">
        <v>0</v>
      </c>
      <c r="D33" s="13" t="n">
        <v>0.65</v>
      </c>
      <c r="E33" s="13" t="n">
        <v>0.67</v>
      </c>
      <c r="F33" s="13" t="n">
        <v>0.6899999999999999</v>
      </c>
      <c r="G33" s="13" t="n">
        <v>0.71</v>
      </c>
      <c r="H33" s="13" t="n">
        <v>0.73</v>
      </c>
      <c r="I33" s="13" t="n">
        <v>0.75</v>
      </c>
      <c r="J33" s="13" t="n">
        <v>0.77</v>
      </c>
      <c r="K33" s="13" t="n">
        <v>0.79</v>
      </c>
      <c r="L33" s="13" t="n">
        <v>0.8100000000000001</v>
      </c>
      <c r="M33" s="13" t="n">
        <v>0.83</v>
      </c>
      <c r="N33" s="13" t="n">
        <v>0.85</v>
      </c>
      <c r="O33" s="13" t="n">
        <v>0.85</v>
      </c>
      <c r="P33" s="13" t="n">
        <v>0.85</v>
      </c>
      <c r="Q33" s="13" t="n">
        <v>0.85</v>
      </c>
      <c r="R33" s="13" t="n">
        <v>0.85</v>
      </c>
      <c r="S33" s="13" t="n">
        <v>0.85</v>
      </c>
      <c r="T33" s="13" t="n">
        <v>0.85</v>
      </c>
      <c r="U33" s="13" t="n">
        <v>0.85</v>
      </c>
      <c r="V33" s="13" t="n">
        <v>0.85</v>
      </c>
      <c r="W33" s="13" t="n">
        <v>0.85</v>
      </c>
      <c r="X33" s="14">
        <f>AVERAGE(D33:G33)</f>
        <v/>
      </c>
      <c r="Y33" s="14">
        <f>AVERAGE(H33:K33)</f>
        <v/>
      </c>
      <c r="Z33" s="14">
        <f>AVERAGE(L33:O33)</f>
        <v/>
      </c>
      <c r="AA33" s="14">
        <f>AVERAGE(P33:S33)</f>
        <v/>
      </c>
      <c r="AB33" s="14">
        <f>AVERAGE(T33:W33)</f>
        <v/>
      </c>
    </row>
    <row r="34">
      <c r="A34" s="8" t="inlineStr">
        <is>
          <t>Stage Ramp COGS % Revenue Target</t>
        </is>
      </c>
      <c r="B34" s="8" t="inlineStr">
        <is>
          <t>GPT-selected stage ramp contract</t>
        </is>
      </c>
      <c r="C34" s="13" t="n">
        <v>0</v>
      </c>
      <c r="D34" s="13" t="n">
        <v>0.33</v>
      </c>
      <c r="E34" s="13" t="n">
        <v>0.33</v>
      </c>
      <c r="F34" s="13" t="n">
        <v>0.33</v>
      </c>
      <c r="G34" s="13" t="n">
        <v>0.33</v>
      </c>
      <c r="H34" s="13" t="n">
        <v>0.33</v>
      </c>
      <c r="I34" s="13" t="n">
        <v>0.33</v>
      </c>
      <c r="J34" s="13" t="n">
        <v>0.33</v>
      </c>
      <c r="K34" s="13" t="n">
        <v>0.33</v>
      </c>
      <c r="L34" s="13" t="n">
        <v>0.33</v>
      </c>
      <c r="M34" s="13" t="n">
        <v>0.33</v>
      </c>
      <c r="N34" s="13" t="n">
        <v>0.33</v>
      </c>
      <c r="O34" s="13" t="n">
        <v>0.33</v>
      </c>
      <c r="P34" s="13" t="n">
        <v>0.33</v>
      </c>
      <c r="Q34" s="13" t="n">
        <v>0.33</v>
      </c>
      <c r="R34" s="13" t="n">
        <v>0.33</v>
      </c>
      <c r="S34" s="13" t="n">
        <v>0.33</v>
      </c>
      <c r="T34" s="13" t="n">
        <v>0.33</v>
      </c>
      <c r="U34" s="13" t="n">
        <v>0.33</v>
      </c>
      <c r="V34" s="13" t="n">
        <v>0.33</v>
      </c>
      <c r="W34" s="13" t="n">
        <v>0.33</v>
      </c>
      <c r="X34" s="14">
        <f>AVERAGE(D34:G34)</f>
        <v/>
      </c>
      <c r="Y34" s="14">
        <f>AVERAGE(H34:K34)</f>
        <v/>
      </c>
      <c r="Z34" s="14">
        <f>AVERAGE(L34:O34)</f>
        <v/>
      </c>
      <c r="AA34" s="14">
        <f>AVERAGE(P34:S34)</f>
        <v/>
      </c>
      <c r="AB34" s="14">
        <f>AVERAGE(T34:W34)</f>
        <v/>
      </c>
    </row>
    <row r="35">
      <c r="A35" s="8" t="inlineStr">
        <is>
          <t>Stage Ramp COGS % Revenue Max</t>
        </is>
      </c>
      <c r="B35" s="8" t="inlineStr">
        <is>
          <t>GPT-selected stage ramp contract</t>
        </is>
      </c>
      <c r="C35" s="13" t="n">
        <v>0</v>
      </c>
      <c r="D35" s="13" t="n">
        <v>0.42</v>
      </c>
      <c r="E35" s="13" t="n">
        <v>0.42</v>
      </c>
      <c r="F35" s="13" t="n">
        <v>0.42</v>
      </c>
      <c r="G35" s="13" t="n">
        <v>0.42</v>
      </c>
      <c r="H35" s="13" t="n">
        <v>0.42</v>
      </c>
      <c r="I35" s="13" t="n">
        <v>0.42</v>
      </c>
      <c r="J35" s="13" t="n">
        <v>0.42</v>
      </c>
      <c r="K35" s="13" t="n">
        <v>0.42</v>
      </c>
      <c r="L35" s="13" t="n">
        <v>0.42</v>
      </c>
      <c r="M35" s="13" t="n">
        <v>0.42</v>
      </c>
      <c r="N35" s="13" t="n">
        <v>0.42</v>
      </c>
      <c r="O35" s="13" t="n">
        <v>0.42</v>
      </c>
      <c r="P35" s="13" t="n">
        <v>0.42</v>
      </c>
      <c r="Q35" s="13" t="n">
        <v>0.42</v>
      </c>
      <c r="R35" s="13" t="n">
        <v>0.42</v>
      </c>
      <c r="S35" s="13" t="n">
        <v>0.42</v>
      </c>
      <c r="T35" s="13" t="n">
        <v>0.42</v>
      </c>
      <c r="U35" s="13" t="n">
        <v>0.42</v>
      </c>
      <c r="V35" s="13" t="n">
        <v>0.42</v>
      </c>
      <c r="W35" s="13" t="n">
        <v>0.42</v>
      </c>
      <c r="X35" s="14">
        <f>AVERAGE(D35:G35)</f>
        <v/>
      </c>
      <c r="Y35" s="14">
        <f>AVERAGE(H35:K35)</f>
        <v/>
      </c>
      <c r="Z35" s="14">
        <f>AVERAGE(L35:O35)</f>
        <v/>
      </c>
      <c r="AA35" s="14">
        <f>AVERAGE(P35:S35)</f>
        <v/>
      </c>
      <c r="AB35" s="14">
        <f>AVERAGE(T35:W35)</f>
        <v/>
      </c>
    </row>
    <row r="36">
      <c r="A36" s="8" t="inlineStr">
        <is>
          <t>Stage Ramp Marketing % Revenue Max</t>
        </is>
      </c>
      <c r="B36" s="8" t="inlineStr">
        <is>
          <t>GPT-selected stage ramp contract</t>
        </is>
      </c>
      <c r="C36" s="13" t="n">
        <v>0</v>
      </c>
      <c r="D36" s="13" t="n">
        <v>0.25</v>
      </c>
      <c r="E36" s="13" t="n">
        <v>0.25</v>
      </c>
      <c r="F36" s="13" t="n">
        <v>0.25</v>
      </c>
      <c r="G36" s="13" t="n">
        <v>0.25</v>
      </c>
      <c r="H36" s="13" t="n">
        <v>0.25</v>
      </c>
      <c r="I36" s="13" t="n">
        <v>0.25</v>
      </c>
      <c r="J36" s="13" t="n">
        <v>0.25</v>
      </c>
      <c r="K36" s="13" t="n">
        <v>0.25</v>
      </c>
      <c r="L36" s="13" t="n">
        <v>0.25</v>
      </c>
      <c r="M36" s="13" t="n">
        <v>0.25</v>
      </c>
      <c r="N36" s="13" t="n">
        <v>0.25</v>
      </c>
      <c r="O36" s="13" t="n">
        <v>0.25</v>
      </c>
      <c r="P36" s="13" t="n">
        <v>0.25</v>
      </c>
      <c r="Q36" s="13" t="n">
        <v>0.25</v>
      </c>
      <c r="R36" s="13" t="n">
        <v>0.25</v>
      </c>
      <c r="S36" s="13" t="n">
        <v>0.25</v>
      </c>
      <c r="T36" s="13" t="n">
        <v>0.25</v>
      </c>
      <c r="U36" s="13" t="n">
        <v>0.25</v>
      </c>
      <c r="V36" s="13" t="n">
        <v>0.25</v>
      </c>
      <c r="W36" s="13" t="n">
        <v>0.25</v>
      </c>
      <c r="X36" s="14">
        <f>AVERAGE(D36:G36)</f>
        <v/>
      </c>
      <c r="Y36" s="14">
        <f>AVERAGE(H36:K36)</f>
        <v/>
      </c>
      <c r="Z36" s="14">
        <f>AVERAGE(L36:O36)</f>
        <v/>
      </c>
      <c r="AA36" s="14">
        <f>AVERAGE(P36:S36)</f>
        <v/>
      </c>
      <c r="AB36" s="14">
        <f>AVERAGE(T36:W36)</f>
        <v/>
      </c>
    </row>
    <row r="37">
      <c r="A37" s="8" t="inlineStr">
        <is>
          <t>Stage Ramp R&amp;D % Revenue Max</t>
        </is>
      </c>
      <c r="B37" s="8" t="inlineStr">
        <is>
          <t>GPT-selected stage ramp contract</t>
        </is>
      </c>
      <c r="C37" s="13" t="n">
        <v>0</v>
      </c>
      <c r="D37" s="13" t="n">
        <v>0.05</v>
      </c>
      <c r="E37" s="13" t="n">
        <v>0.05</v>
      </c>
      <c r="F37" s="13" t="n">
        <v>0.05</v>
      </c>
      <c r="G37" s="13" t="n">
        <v>0.05</v>
      </c>
      <c r="H37" s="13" t="n">
        <v>0.05</v>
      </c>
      <c r="I37" s="13" t="n">
        <v>0.05</v>
      </c>
      <c r="J37" s="13" t="n">
        <v>0.05</v>
      </c>
      <c r="K37" s="13" t="n">
        <v>0.05</v>
      </c>
      <c r="L37" s="13" t="n">
        <v>0.05</v>
      </c>
      <c r="M37" s="13" t="n">
        <v>0.05</v>
      </c>
      <c r="N37" s="13" t="n">
        <v>0.05</v>
      </c>
      <c r="O37" s="13" t="n">
        <v>0.05</v>
      </c>
      <c r="P37" s="13" t="n">
        <v>0.05</v>
      </c>
      <c r="Q37" s="13" t="n">
        <v>0.05</v>
      </c>
      <c r="R37" s="13" t="n">
        <v>0.05</v>
      </c>
      <c r="S37" s="13" t="n">
        <v>0.05</v>
      </c>
      <c r="T37" s="13" t="n">
        <v>0.05</v>
      </c>
      <c r="U37" s="13" t="n">
        <v>0.05</v>
      </c>
      <c r="V37" s="13" t="n">
        <v>0.05</v>
      </c>
      <c r="W37" s="13" t="n">
        <v>0.05</v>
      </c>
      <c r="X37" s="14">
        <f>AVERAGE(D37:G37)</f>
        <v/>
      </c>
      <c r="Y37" s="14">
        <f>AVERAGE(H37:K37)</f>
        <v/>
      </c>
      <c r="Z37" s="14">
        <f>AVERAGE(L37:O37)</f>
        <v/>
      </c>
      <c r="AA37" s="14">
        <f>AVERAGE(P37:S37)</f>
        <v/>
      </c>
      <c r="AB37" s="14">
        <f>AVERAGE(T37:W37)</f>
        <v/>
      </c>
    </row>
    <row r="38">
      <c r="A38" s="8" t="inlineStr">
        <is>
          <t>Stage Ramp G&amp;A % Revenue Max</t>
        </is>
      </c>
      <c r="B38" s="8" t="inlineStr">
        <is>
          <t>GPT-selected stage ramp contract</t>
        </is>
      </c>
      <c r="C38" s="13" t="n">
        <v>0</v>
      </c>
      <c r="D38" s="13" t="n">
        <v>0.25</v>
      </c>
      <c r="E38" s="13" t="n">
        <v>0.25</v>
      </c>
      <c r="F38" s="13" t="n">
        <v>0.25</v>
      </c>
      <c r="G38" s="13" t="n">
        <v>0.25</v>
      </c>
      <c r="H38" s="13" t="n">
        <v>0.25</v>
      </c>
      <c r="I38" s="13" t="n">
        <v>0.25</v>
      </c>
      <c r="J38" s="13" t="n">
        <v>0.25</v>
      </c>
      <c r="K38" s="13" t="n">
        <v>0.25</v>
      </c>
      <c r="L38" s="13" t="n">
        <v>0.25</v>
      </c>
      <c r="M38" s="13" t="n">
        <v>0.25</v>
      </c>
      <c r="N38" s="13" t="n">
        <v>0.25</v>
      </c>
      <c r="O38" s="13" t="n">
        <v>0.25</v>
      </c>
      <c r="P38" s="13" t="n">
        <v>0.25</v>
      </c>
      <c r="Q38" s="13" t="n">
        <v>0.25</v>
      </c>
      <c r="R38" s="13" t="n">
        <v>0.25</v>
      </c>
      <c r="S38" s="13" t="n">
        <v>0.25</v>
      </c>
      <c r="T38" s="13" t="n">
        <v>0.25</v>
      </c>
      <c r="U38" s="13" t="n">
        <v>0.25</v>
      </c>
      <c r="V38" s="13" t="n">
        <v>0.25</v>
      </c>
      <c r="W38" s="13" t="n">
        <v>0.25</v>
      </c>
      <c r="X38" s="14">
        <f>AVERAGE(D38:G38)</f>
        <v/>
      </c>
      <c r="Y38" s="14">
        <f>AVERAGE(H38:K38)</f>
        <v/>
      </c>
      <c r="Z38" s="14">
        <f>AVERAGE(L38:O38)</f>
        <v/>
      </c>
      <c r="AA38" s="14">
        <f>AVERAGE(P38:S38)</f>
        <v/>
      </c>
      <c r="AB38" s="14">
        <f>AVERAGE(T38:W38)</f>
        <v/>
      </c>
    </row>
    <row r="39">
      <c r="A39" s="8" t="inlineStr">
        <is>
          <t>Stage Ramp Lease % Revenue Max</t>
        </is>
      </c>
      <c r="B39" s="8" t="inlineStr">
        <is>
          <t>GPT-selected stage ramp contract</t>
        </is>
      </c>
      <c r="C39" s="13" t="n">
        <v>0</v>
      </c>
      <c r="D39" s="13" t="n">
        <v>0.09</v>
      </c>
      <c r="E39" s="13" t="n">
        <v>0.09</v>
      </c>
      <c r="F39" s="13" t="n">
        <v>0.09</v>
      </c>
      <c r="G39" s="13" t="n">
        <v>0.09</v>
      </c>
      <c r="H39" s="13" t="n">
        <v>0.09</v>
      </c>
      <c r="I39" s="13" t="n">
        <v>0.09</v>
      </c>
      <c r="J39" s="13" t="n">
        <v>0.09</v>
      </c>
      <c r="K39" s="13" t="n">
        <v>0.09</v>
      </c>
      <c r="L39" s="13" t="n">
        <v>0.09</v>
      </c>
      <c r="M39" s="13" t="n">
        <v>0.09</v>
      </c>
      <c r="N39" s="13" t="n">
        <v>0.09</v>
      </c>
      <c r="O39" s="13" t="n">
        <v>0.09</v>
      </c>
      <c r="P39" s="13" t="n">
        <v>0.09</v>
      </c>
      <c r="Q39" s="13" t="n">
        <v>0.09</v>
      </c>
      <c r="R39" s="13" t="n">
        <v>0.09</v>
      </c>
      <c r="S39" s="13" t="n">
        <v>0.09</v>
      </c>
      <c r="T39" s="13" t="n">
        <v>0.09</v>
      </c>
      <c r="U39" s="13" t="n">
        <v>0.09</v>
      </c>
      <c r="V39" s="13" t="n">
        <v>0.09</v>
      </c>
      <c r="W39" s="13" t="n">
        <v>0.09</v>
      </c>
      <c r="X39" s="14">
        <f>AVERAGE(D39:G39)</f>
        <v/>
      </c>
      <c r="Y39" s="14">
        <f>AVERAGE(H39:K39)</f>
        <v/>
      </c>
      <c r="Z39" s="14">
        <f>AVERAGE(L39:O39)</f>
        <v/>
      </c>
      <c r="AA39" s="14">
        <f>AVERAGE(P39:S39)</f>
        <v/>
      </c>
      <c r="AB39" s="14">
        <f>AVERAGE(T39:W39)</f>
        <v/>
      </c>
    </row>
    <row r="40">
      <c r="A40" s="8" t="inlineStr">
        <is>
          <t>Stage Ramp Net Income Margin Floor</t>
        </is>
      </c>
      <c r="B40" s="8" t="inlineStr">
        <is>
          <t>GPT-selected stage ramp contract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0.05</v>
      </c>
      <c r="I40" s="13" t="n">
        <v>0.05</v>
      </c>
      <c r="J40" s="13" t="n">
        <v>0.05</v>
      </c>
      <c r="K40" s="13" t="n">
        <v>0.05</v>
      </c>
      <c r="L40" s="13" t="n">
        <v>0.05</v>
      </c>
      <c r="M40" s="13" t="n">
        <v>0.05</v>
      </c>
      <c r="N40" s="13" t="n">
        <v>0.07000000000000001</v>
      </c>
      <c r="O40" s="13" t="n">
        <v>0.07000000000000001</v>
      </c>
      <c r="P40" s="13" t="n">
        <v>0.07000000000000001</v>
      </c>
      <c r="Q40" s="13" t="n">
        <v>0.07000000000000001</v>
      </c>
      <c r="R40" s="13" t="n">
        <v>0.07000000000000001</v>
      </c>
      <c r="S40" s="13" t="n">
        <v>0.07000000000000001</v>
      </c>
      <c r="T40" s="13" t="n">
        <v>0.07000000000000001</v>
      </c>
      <c r="U40" s="13" t="n">
        <v>0.07000000000000001</v>
      </c>
      <c r="V40" s="13" t="n">
        <v>0.07000000000000001</v>
      </c>
      <c r="W40" s="13" t="n">
        <v>0.07000000000000001</v>
      </c>
      <c r="X40" s="14">
        <f>AVERAGE(D40:G40)</f>
        <v/>
      </c>
      <c r="Y40" s="14">
        <f>AVERAGE(H40:K40)</f>
        <v/>
      </c>
      <c r="Z40" s="14">
        <f>AVERAGE(L40:O40)</f>
        <v/>
      </c>
      <c r="AA40" s="14">
        <f>AVERAGE(P40:S40)</f>
        <v/>
      </c>
      <c r="AB40" s="14">
        <f>AVERAGE(T40:W40)</f>
        <v/>
      </c>
    </row>
  </sheetData>
  <mergeCells count="5">
    <mergeCell ref="A7:AB7"/>
    <mergeCell ref="A19:AB19"/>
    <mergeCell ref="A28:AB28"/>
    <mergeCell ref="A13:AB13"/>
    <mergeCell ref="A6:A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900</v>
      </c>
    </row>
    <row r="12">
      <c r="A12" t="inlineStr">
        <is>
          <t>Target Payroll % of Revenue</t>
        </is>
      </c>
      <c r="B12" t="n">
        <v>0.32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SUMIFS($G$27:$G$186,$A$27:$A$186,0)</f>
        <v/>
      </c>
      <c r="D15" s="23">
        <f>SUMIFS($G$27:$G$186,$A$27:$A$186,1)</f>
        <v/>
      </c>
      <c r="E15" s="23">
        <f>SUMIFS($G$27:$G$186,$A$27:$A$186,2)</f>
        <v/>
      </c>
      <c r="F15" s="23">
        <f>SUMIFS($G$27:$G$186,$A$27:$A$186,3)</f>
        <v/>
      </c>
      <c r="G15" s="23">
        <f>SUMIFS($G$27:$G$186,$A$27:$A$186,4)</f>
        <v/>
      </c>
      <c r="H15" s="23">
        <f>SUMIFS($G$27:$G$186,$A$27:$A$186,5)</f>
        <v/>
      </c>
      <c r="I15" s="23">
        <f>SUMIFS($G$27:$G$186,$A$27:$A$186,6)</f>
        <v/>
      </c>
      <c r="J15" s="23">
        <f>SUMIFS($G$27:$G$186,$A$27:$A$186,7)</f>
        <v/>
      </c>
      <c r="K15" s="23">
        <f>SUMIFS($G$27:$G$186,$A$27:$A$186,8)</f>
        <v/>
      </c>
      <c r="L15" s="23">
        <f>SUMIFS($G$27:$G$186,$A$27:$A$186,9)</f>
        <v/>
      </c>
      <c r="M15" s="23">
        <f>SUMIFS($G$27:$G$186,$A$27:$A$186,10)</f>
        <v/>
      </c>
      <c r="N15" s="23">
        <f>SUMIFS($G$27:$G$186,$A$27:$A$186,11)</f>
        <v/>
      </c>
      <c r="O15" s="23">
        <f>SUMIFS($G$27:$G$186,$A$27:$A$186,12)</f>
        <v/>
      </c>
      <c r="P15" s="23">
        <f>SUMIFS($G$27:$G$186,$A$27:$A$186,13)</f>
        <v/>
      </c>
      <c r="Q15" s="23">
        <f>SUMIFS($G$27:$G$186,$A$27:$A$186,14)</f>
        <v/>
      </c>
      <c r="R15" s="23">
        <f>SUMIFS($G$27:$G$186,$A$27:$A$186,15)</f>
        <v/>
      </c>
      <c r="S15" s="23">
        <f>SUMIFS($G$27:$G$186,$A$27:$A$186,16)</f>
        <v/>
      </c>
      <c r="T15" s="23">
        <f>SUMIFS($G$27:$G$186,$A$27:$A$186,17)</f>
        <v/>
      </c>
      <c r="U15" s="23">
        <f>SUMIFS($G$27:$G$186,$A$27:$A$186,18)</f>
        <v/>
      </c>
      <c r="V15" s="23">
        <f>SUMIFS($G$27:$G$186,$A$27:$A$186,19)</f>
        <v/>
      </c>
      <c r="W15" s="23">
        <f>SUMIFS($G$27:$G$186,$A$27:$A$186,20)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SUMIFS($H$27:$H$186,$A$27:$A$186,0)</f>
        <v/>
      </c>
      <c r="D16" s="23">
        <f>SUMIFS($H$27:$H$186,$A$27:$A$186,1)</f>
        <v/>
      </c>
      <c r="E16" s="23">
        <f>SUMIFS($H$27:$H$186,$A$27:$A$186,2)</f>
        <v/>
      </c>
      <c r="F16" s="23">
        <f>SUMIFS($H$27:$H$186,$A$27:$A$186,3)</f>
        <v/>
      </c>
      <c r="G16" s="23">
        <f>SUMIFS($H$27:$H$186,$A$27:$A$186,4)</f>
        <v/>
      </c>
      <c r="H16" s="23">
        <f>SUMIFS($H$27:$H$186,$A$27:$A$186,5)</f>
        <v/>
      </c>
      <c r="I16" s="23">
        <f>SUMIFS($H$27:$H$186,$A$27:$A$186,6)</f>
        <v/>
      </c>
      <c r="J16" s="23">
        <f>SUMIFS($H$27:$H$186,$A$27:$A$186,7)</f>
        <v/>
      </c>
      <c r="K16" s="23">
        <f>SUMIFS($H$27:$H$186,$A$27:$A$186,8)</f>
        <v/>
      </c>
      <c r="L16" s="23">
        <f>SUMIFS($H$27:$H$186,$A$27:$A$186,9)</f>
        <v/>
      </c>
      <c r="M16" s="23">
        <f>SUMIFS($H$27:$H$186,$A$27:$A$186,10)</f>
        <v/>
      </c>
      <c r="N16" s="23">
        <f>SUMIFS($H$27:$H$186,$A$27:$A$186,11)</f>
        <v/>
      </c>
      <c r="O16" s="23">
        <f>SUMIFS($H$27:$H$186,$A$27:$A$186,12)</f>
        <v/>
      </c>
      <c r="P16" s="23">
        <f>SUMIFS($H$27:$H$186,$A$27:$A$186,13)</f>
        <v/>
      </c>
      <c r="Q16" s="23">
        <f>SUMIFS($H$27:$H$186,$A$27:$A$186,14)</f>
        <v/>
      </c>
      <c r="R16" s="23">
        <f>SUMIFS($H$27:$H$186,$A$27:$A$186,15)</f>
        <v/>
      </c>
      <c r="S16" s="23">
        <f>SUMIFS($H$27:$H$186,$A$27:$A$186,16)</f>
        <v/>
      </c>
      <c r="T16" s="23">
        <f>SUMIFS($H$27:$H$186,$A$27:$A$186,17)</f>
        <v/>
      </c>
      <c r="U16" s="23">
        <f>SUMIFS($H$27:$H$186,$A$27:$A$186,18)</f>
        <v/>
      </c>
      <c r="V16" s="23">
        <f>SUMIFS($H$27:$H$186,$A$27:$A$186,19)</f>
        <v/>
      </c>
      <c r="W16" s="23">
        <f>SUMIFS($H$27:$H$186,$A$27:$A$186,20)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SUMIFS($M$27:$M$186,$A$27:$A$186,0)</f>
        <v/>
      </c>
      <c r="D17" s="25">
        <f>SUMIFS($M$27:$M$186,$A$27:$A$186,1)</f>
        <v/>
      </c>
      <c r="E17" s="25">
        <f>SUMIFS($M$27:$M$186,$A$27:$A$186,2)</f>
        <v/>
      </c>
      <c r="F17" s="25">
        <f>SUMIFS($M$27:$M$186,$A$27:$A$186,3)</f>
        <v/>
      </c>
      <c r="G17" s="25">
        <f>SUMIFS($M$27:$M$186,$A$27:$A$186,4)</f>
        <v/>
      </c>
      <c r="H17" s="25">
        <f>SUMIFS($M$27:$M$186,$A$27:$A$186,5)</f>
        <v/>
      </c>
      <c r="I17" s="25">
        <f>SUMIFS($M$27:$M$186,$A$27:$A$186,6)</f>
        <v/>
      </c>
      <c r="J17" s="25">
        <f>SUMIFS($M$27:$M$186,$A$27:$A$186,7)</f>
        <v/>
      </c>
      <c r="K17" s="25">
        <f>SUMIFS($M$27:$M$186,$A$27:$A$186,8)</f>
        <v/>
      </c>
      <c r="L17" s="25">
        <f>SUMIFS($M$27:$M$186,$A$27:$A$186,9)</f>
        <v/>
      </c>
      <c r="M17" s="25">
        <f>SUMIFS($M$27:$M$186,$A$27:$A$186,10)</f>
        <v/>
      </c>
      <c r="N17" s="25">
        <f>SUMIFS($M$27:$M$186,$A$27:$A$186,11)</f>
        <v/>
      </c>
      <c r="O17" s="25">
        <f>SUMIFS($M$27:$M$186,$A$27:$A$186,12)</f>
        <v/>
      </c>
      <c r="P17" s="25">
        <f>SUMIFS($M$27:$M$186,$A$27:$A$186,13)</f>
        <v/>
      </c>
      <c r="Q17" s="25">
        <f>SUMIFS($M$27:$M$186,$A$27:$A$186,14)</f>
        <v/>
      </c>
      <c r="R17" s="25">
        <f>SUMIFS($M$27:$M$186,$A$27:$A$186,15)</f>
        <v/>
      </c>
      <c r="S17" s="25">
        <f>SUMIFS($M$27:$M$186,$A$27:$A$186,16)</f>
        <v/>
      </c>
      <c r="T17" s="25">
        <f>SUMIFS($M$27:$M$186,$A$27:$A$186,17)</f>
        <v/>
      </c>
      <c r="U17" s="25">
        <f>SUMIFS($M$27:$M$186,$A$27:$A$186,18)</f>
        <v/>
      </c>
      <c r="V17" s="25">
        <f>SUMIFS($M$27:$M$186,$A$27:$A$186,19)</f>
        <v/>
      </c>
      <c r="W17" s="25">
        <f>SUMIFS($M$27:$M$186,$A$27:$A$186,20)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Drivers'!C26</f>
        <v/>
      </c>
      <c r="D18" s="26">
        <f>'Revenue Drivers'!D26</f>
        <v/>
      </c>
      <c r="E18" s="26">
        <f>'Revenue Drivers'!E26</f>
        <v/>
      </c>
      <c r="F18" s="26">
        <f>'Revenue Drivers'!F26</f>
        <v/>
      </c>
      <c r="G18" s="26">
        <f>'Revenue Drivers'!G26</f>
        <v/>
      </c>
      <c r="H18" s="26">
        <f>'Revenue Drivers'!H26</f>
        <v/>
      </c>
      <c r="I18" s="26">
        <f>'Revenue Drivers'!I26</f>
        <v/>
      </c>
      <c r="J18" s="26">
        <f>'Revenue Drivers'!J26</f>
        <v/>
      </c>
      <c r="K18" s="26">
        <f>'Revenue Drivers'!K26</f>
        <v/>
      </c>
      <c r="L18" s="26">
        <f>'Revenue Drivers'!L26</f>
        <v/>
      </c>
      <c r="M18" s="26">
        <f>'Revenue Drivers'!M26</f>
        <v/>
      </c>
      <c r="N18" s="26">
        <f>'Revenue Drivers'!N26</f>
        <v/>
      </c>
      <c r="O18" s="26">
        <f>'Revenue Drivers'!O26</f>
        <v/>
      </c>
      <c r="P18" s="26">
        <f>'Revenue Drivers'!P26</f>
        <v/>
      </c>
      <c r="Q18" s="26">
        <f>'Revenue Drivers'!Q26</f>
        <v/>
      </c>
      <c r="R18" s="26">
        <f>'Revenue Drivers'!R26</f>
        <v/>
      </c>
      <c r="S18" s="26">
        <f>'Revenue Drivers'!S26</f>
        <v/>
      </c>
      <c r="T18" s="26">
        <f>'Revenue Drivers'!T26</f>
        <v/>
      </c>
      <c r="U18" s="26">
        <f>'Revenue Drivers'!U26</f>
        <v/>
      </c>
      <c r="V18" s="26">
        <f>'Revenue Drivers'!V26</f>
        <v/>
      </c>
      <c r="W18" s="26">
        <f>'Revenue Drivers'!W26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Drivers'!C25</f>
        <v/>
      </c>
      <c r="D19" s="23">
        <f>'Revenue Drivers'!D25</f>
        <v/>
      </c>
      <c r="E19" s="23">
        <f>'Revenue Drivers'!E25</f>
        <v/>
      </c>
      <c r="F19" s="23">
        <f>'Revenue Drivers'!F25</f>
        <v/>
      </c>
      <c r="G19" s="23">
        <f>'Revenue Drivers'!G25</f>
        <v/>
      </c>
      <c r="H19" s="23">
        <f>'Revenue Drivers'!H25</f>
        <v/>
      </c>
      <c r="I19" s="23">
        <f>'Revenue Drivers'!I25</f>
        <v/>
      </c>
      <c r="J19" s="23">
        <f>'Revenue Drivers'!J25</f>
        <v/>
      </c>
      <c r="K19" s="23">
        <f>'Revenue Drivers'!K25</f>
        <v/>
      </c>
      <c r="L19" s="23">
        <f>'Revenue Drivers'!L25</f>
        <v/>
      </c>
      <c r="M19" s="23">
        <f>'Revenue Drivers'!M25</f>
        <v/>
      </c>
      <c r="N19" s="23">
        <f>'Revenue Drivers'!N25</f>
        <v/>
      </c>
      <c r="O19" s="23">
        <f>'Revenue Drivers'!O25</f>
        <v/>
      </c>
      <c r="P19" s="23">
        <f>'Revenue Drivers'!P25</f>
        <v/>
      </c>
      <c r="Q19" s="23">
        <f>'Revenue Drivers'!Q25</f>
        <v/>
      </c>
      <c r="R19" s="23">
        <f>'Revenue Drivers'!R25</f>
        <v/>
      </c>
      <c r="S19" s="23">
        <f>'Revenue Drivers'!S25</f>
        <v/>
      </c>
      <c r="T19" s="23">
        <f>'Revenue Drivers'!T25</f>
        <v/>
      </c>
      <c r="U19" s="23">
        <f>'Revenue Drivers'!U25</f>
        <v/>
      </c>
      <c r="V19" s="23">
        <f>'Revenue Drivers'!V25</f>
        <v/>
      </c>
      <c r="W19" s="23">
        <f>'Revenue Drivers'!W25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Owner and General Manager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62490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Owner and General Manager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62490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Owner and General Manager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62490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Owner and General Manager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62490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Owner and General Manager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64365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Owner and General Manager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64365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Owner and General Manager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64365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Owner and General Manager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64365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Owner and General Manager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66296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Owner and General Manager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66296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Owner and General Manager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66296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Owner and General Manager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66296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Owner and General Manager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68285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Owner and General Manager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68285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Owner and General Manager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68285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Owner and General Manager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68285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Owner and General Manager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70333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Owner and General Manager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70333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Owner and General Manager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70333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Owner and General Manager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70333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Head Chef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57920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Head Chef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57920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Head Chef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57920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Head Chef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57920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Head Chef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59658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Head Chef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59658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Head Chef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59658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Head Chef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59658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Head Chef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61447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Head Chef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61447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Head Chef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61447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Head Chef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61447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Head Chef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63291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Head Chef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63291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Head Chef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63291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Head Chef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63291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Head Chef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65189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Head Chef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65189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Head Chef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65189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Head Chef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65189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key_person</t>
        </is>
      </c>
      <c r="C67" t="inlineStr">
        <is>
          <t>Front-of-House Manager</t>
        </is>
      </c>
      <c r="D67" t="inlineStr"/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62490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oews_median</t>
        </is>
      </c>
    </row>
    <row r="68">
      <c r="A68" t="n">
        <v>2</v>
      </c>
      <c r="B68" t="inlineStr">
        <is>
          <t>key_person</t>
        </is>
      </c>
      <c r="C68" t="inlineStr">
        <is>
          <t>Front-of-House Manager</t>
        </is>
      </c>
      <c r="D68" t="inlineStr"/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62490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oews_median</t>
        </is>
      </c>
    </row>
    <row r="69">
      <c r="A69" t="n">
        <v>3</v>
      </c>
      <c r="B69" t="inlineStr">
        <is>
          <t>key_person</t>
        </is>
      </c>
      <c r="C69" t="inlineStr">
        <is>
          <t>Front-of-House Manager</t>
        </is>
      </c>
      <c r="D69" t="inlineStr"/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62490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oews_median</t>
        </is>
      </c>
    </row>
    <row r="70">
      <c r="A70" t="n">
        <v>4</v>
      </c>
      <c r="B70" t="inlineStr">
        <is>
          <t>key_person</t>
        </is>
      </c>
      <c r="C70" t="inlineStr">
        <is>
          <t>Front-of-House Manager</t>
        </is>
      </c>
      <c r="D70" t="inlineStr"/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62490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oews_median</t>
        </is>
      </c>
    </row>
    <row r="71">
      <c r="A71" t="n">
        <v>5</v>
      </c>
      <c r="B71" t="inlineStr">
        <is>
          <t>key_person</t>
        </is>
      </c>
      <c r="C71" t="inlineStr">
        <is>
          <t>Front-of-House Manager</t>
        </is>
      </c>
      <c r="D71" t="inlineStr"/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64365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oews_median</t>
        </is>
      </c>
    </row>
    <row r="72">
      <c r="A72" t="n">
        <v>6</v>
      </c>
      <c r="B72" t="inlineStr">
        <is>
          <t>key_person</t>
        </is>
      </c>
      <c r="C72" t="inlineStr">
        <is>
          <t>Front-of-House Manager</t>
        </is>
      </c>
      <c r="D72" t="inlineStr"/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64365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oews_median</t>
        </is>
      </c>
    </row>
    <row r="73">
      <c r="A73" t="n">
        <v>7</v>
      </c>
      <c r="B73" t="inlineStr">
        <is>
          <t>key_person</t>
        </is>
      </c>
      <c r="C73" t="inlineStr">
        <is>
          <t>Front-of-House Manager</t>
        </is>
      </c>
      <c r="D73" t="inlineStr"/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64365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oews_median</t>
        </is>
      </c>
    </row>
    <row r="74">
      <c r="A74" t="n">
        <v>8</v>
      </c>
      <c r="B74" t="inlineStr">
        <is>
          <t>key_person</t>
        </is>
      </c>
      <c r="C74" t="inlineStr">
        <is>
          <t>Front-of-House Manager</t>
        </is>
      </c>
      <c r="D74" t="inlineStr"/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64365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oews_median</t>
        </is>
      </c>
    </row>
    <row r="75">
      <c r="A75" t="n">
        <v>9</v>
      </c>
      <c r="B75" t="inlineStr">
        <is>
          <t>key_person</t>
        </is>
      </c>
      <c r="C75" t="inlineStr">
        <is>
          <t>Front-of-House Manager</t>
        </is>
      </c>
      <c r="D75" t="inlineStr"/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66296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oews_median</t>
        </is>
      </c>
    </row>
    <row r="76">
      <c r="A76" t="n">
        <v>10</v>
      </c>
      <c r="B76" t="inlineStr">
        <is>
          <t>key_person</t>
        </is>
      </c>
      <c r="C76" t="inlineStr">
        <is>
          <t>Front-of-House Manager</t>
        </is>
      </c>
      <c r="D76" t="inlineStr"/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66296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oews_median</t>
        </is>
      </c>
    </row>
    <row r="77">
      <c r="A77" t="n">
        <v>11</v>
      </c>
      <c r="B77" t="inlineStr">
        <is>
          <t>key_person</t>
        </is>
      </c>
      <c r="C77" t="inlineStr">
        <is>
          <t>Front-of-House Manager</t>
        </is>
      </c>
      <c r="D77" t="inlineStr"/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66296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oews_median</t>
        </is>
      </c>
    </row>
    <row r="78">
      <c r="A78" t="n">
        <v>12</v>
      </c>
      <c r="B78" t="inlineStr">
        <is>
          <t>key_person</t>
        </is>
      </c>
      <c r="C78" t="inlineStr">
        <is>
          <t>Front-of-House Manager</t>
        </is>
      </c>
      <c r="D78" t="inlineStr"/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66296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oews_median</t>
        </is>
      </c>
    </row>
    <row r="79">
      <c r="A79" t="n">
        <v>13</v>
      </c>
      <c r="B79" t="inlineStr">
        <is>
          <t>key_person</t>
        </is>
      </c>
      <c r="C79" t="inlineStr">
        <is>
          <t>Front-of-House Manager</t>
        </is>
      </c>
      <c r="D79" t="inlineStr"/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68285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oews_median</t>
        </is>
      </c>
    </row>
    <row r="80">
      <c r="A80" t="n">
        <v>14</v>
      </c>
      <c r="B80" t="inlineStr">
        <is>
          <t>key_person</t>
        </is>
      </c>
      <c r="C80" t="inlineStr">
        <is>
          <t>Front-of-House Manager</t>
        </is>
      </c>
      <c r="D80" t="inlineStr"/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68285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oews_median</t>
        </is>
      </c>
    </row>
    <row r="81">
      <c r="A81" t="n">
        <v>15</v>
      </c>
      <c r="B81" t="inlineStr">
        <is>
          <t>key_person</t>
        </is>
      </c>
      <c r="C81" t="inlineStr">
        <is>
          <t>Front-of-House Manager</t>
        </is>
      </c>
      <c r="D81" t="inlineStr"/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68285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oews_median</t>
        </is>
      </c>
    </row>
    <row r="82">
      <c r="A82" t="n">
        <v>16</v>
      </c>
      <c r="B82" t="inlineStr">
        <is>
          <t>key_person</t>
        </is>
      </c>
      <c r="C82" t="inlineStr">
        <is>
          <t>Front-of-House Manager</t>
        </is>
      </c>
      <c r="D82" t="inlineStr"/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68285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oews_median</t>
        </is>
      </c>
    </row>
    <row r="83">
      <c r="A83" t="n">
        <v>17</v>
      </c>
      <c r="B83" t="inlineStr">
        <is>
          <t>key_person</t>
        </is>
      </c>
      <c r="C83" t="inlineStr">
        <is>
          <t>Front-of-House Manager</t>
        </is>
      </c>
      <c r="D83" t="inlineStr"/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70333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oews_median</t>
        </is>
      </c>
    </row>
    <row r="84">
      <c r="A84" t="n">
        <v>18</v>
      </c>
      <c r="B84" t="inlineStr">
        <is>
          <t>key_person</t>
        </is>
      </c>
      <c r="C84" t="inlineStr">
        <is>
          <t>Front-of-House Manager</t>
        </is>
      </c>
      <c r="D84" t="inlineStr"/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70333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oews_median</t>
        </is>
      </c>
    </row>
    <row r="85">
      <c r="A85" t="n">
        <v>19</v>
      </c>
      <c r="B85" t="inlineStr">
        <is>
          <t>key_person</t>
        </is>
      </c>
      <c r="C85" t="inlineStr">
        <is>
          <t>Front-of-House Manager</t>
        </is>
      </c>
      <c r="D85" t="inlineStr"/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70333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oews_median</t>
        </is>
      </c>
    </row>
    <row r="86">
      <c r="A86" t="n">
        <v>20</v>
      </c>
      <c r="B86" t="inlineStr">
        <is>
          <t>key_person</t>
        </is>
      </c>
      <c r="C86" t="inlineStr">
        <is>
          <t>Front-of-House Manager</t>
        </is>
      </c>
      <c r="D86" t="inlineStr"/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70333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oews_median</t>
        </is>
      </c>
    </row>
    <row r="87">
      <c r="A87" t="n">
        <v>1</v>
      </c>
      <c r="B87" t="inlineStr">
        <is>
          <t>supporting_staff</t>
        </is>
      </c>
      <c r="C87" t="inlineStr">
        <is>
          <t>Bartenders</t>
        </is>
      </c>
      <c r="D87" t="inlineStr">
        <is>
          <t>Bartenders</t>
        </is>
      </c>
      <c r="E87" s="29" t="n">
        <v>0.75</v>
      </c>
      <c r="F87" s="29" t="n">
        <v>0</v>
      </c>
      <c r="G87" s="30">
        <f>E87+F87</f>
        <v/>
      </c>
      <c r="H87" s="30">
        <f>(E87+G87)/2</f>
        <v/>
      </c>
      <c r="I87" s="31" t="n">
        <v>41820</v>
      </c>
      <c r="J87" s="32" t="n">
        <v>0.18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1</v>
      </c>
      <c r="B88" t="inlineStr">
        <is>
          <t>supporting_staff</t>
        </is>
      </c>
      <c r="C88" t="inlineStr">
        <is>
          <t>Cooks, Restaurant</t>
        </is>
      </c>
      <c r="D88" t="inlineStr">
        <is>
          <t>Cooks, Restaurant</t>
        </is>
      </c>
      <c r="E88" s="29" t="n">
        <v>2</v>
      </c>
      <c r="F88" s="29" t="n">
        <v>0</v>
      </c>
      <c r="G88" s="30">
        <f>E88+F88</f>
        <v/>
      </c>
      <c r="H88" s="30">
        <f>(E88+G88)/2</f>
        <v/>
      </c>
      <c r="I88" s="31" t="n">
        <v>43944</v>
      </c>
      <c r="J88" s="32" t="n">
        <v>0.18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1</v>
      </c>
      <c r="B89" t="inlineStr">
        <is>
          <t>supporting_staff</t>
        </is>
      </c>
      <c r="C89" t="inlineStr">
        <is>
          <t>Dishwashers</t>
        </is>
      </c>
      <c r="D89" t="inlineStr">
        <is>
          <t>Dishwashers</t>
        </is>
      </c>
      <c r="E89" s="29" t="n">
        <v>1</v>
      </c>
      <c r="F89" s="29" t="n">
        <v>0</v>
      </c>
      <c r="G89" s="30">
        <f>E89+F89</f>
        <v/>
      </c>
      <c r="H89" s="30">
        <f>(E89+G89)/2</f>
        <v/>
      </c>
      <c r="I89" s="31" t="n">
        <v>39876</v>
      </c>
      <c r="J89" s="32" t="n">
        <v>0.18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1</v>
      </c>
      <c r="B90" t="inlineStr">
        <is>
          <t>supporting_staff</t>
        </is>
      </c>
      <c r="C90" t="inlineStr">
        <is>
          <t>Hosts and Hostesses, Restaurant, Lounge, and Coffee Shop</t>
        </is>
      </c>
      <c r="D90" t="inlineStr">
        <is>
          <t>Hosts and Hostesses, Restaurant, Lounge, and Coffee Shop</t>
        </is>
      </c>
      <c r="E90" s="29" t="n">
        <v>0.5</v>
      </c>
      <c r="F90" s="29" t="n">
        <v>0</v>
      </c>
      <c r="G90" s="30">
        <f>E90+F90</f>
        <v/>
      </c>
      <c r="H90" s="30">
        <f>(E90+G90)/2</f>
        <v/>
      </c>
      <c r="I90" s="31" t="n">
        <v>35988</v>
      </c>
      <c r="J90" s="32" t="n">
        <v>0.18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1</v>
      </c>
      <c r="B91" t="inlineStr">
        <is>
          <t>supporting_staff</t>
        </is>
      </c>
      <c r="C91" t="inlineStr">
        <is>
          <t>Waiters and Waitresses</t>
        </is>
      </c>
      <c r="D91" t="inlineStr">
        <is>
          <t>Waiters and Waitresses</t>
        </is>
      </c>
      <c r="E91" s="29" t="n">
        <v>3</v>
      </c>
      <c r="F91" s="29" t="n">
        <v>0</v>
      </c>
      <c r="G91" s="30">
        <f>E91+F91</f>
        <v/>
      </c>
      <c r="H91" s="30">
        <f>(E91+G91)/2</f>
        <v/>
      </c>
      <c r="I91" s="31" t="n">
        <v>40212</v>
      </c>
      <c r="J91" s="32" t="n">
        <v>0.18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2</v>
      </c>
      <c r="B92" t="inlineStr">
        <is>
          <t>supporting_staff</t>
        </is>
      </c>
      <c r="C92" t="inlineStr">
        <is>
          <t>Bartenders</t>
        </is>
      </c>
      <c r="D92" t="inlineStr">
        <is>
          <t>Bartenders</t>
        </is>
      </c>
      <c r="E92" s="29" t="n">
        <v>0.75</v>
      </c>
      <c r="F92" s="29" t="n">
        <v>0</v>
      </c>
      <c r="G92" s="30">
        <f>E92+F92</f>
        <v/>
      </c>
      <c r="H92" s="30">
        <f>(E92+G92)/2</f>
        <v/>
      </c>
      <c r="I92" s="31" t="n">
        <v>41820</v>
      </c>
      <c r="J92" s="32" t="n">
        <v>0.18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2</v>
      </c>
      <c r="B93" t="inlineStr">
        <is>
          <t>supporting_staff</t>
        </is>
      </c>
      <c r="C93" t="inlineStr">
        <is>
          <t>Cooks, Restaurant</t>
        </is>
      </c>
      <c r="D93" t="inlineStr">
        <is>
          <t>Cooks, Restaurant</t>
        </is>
      </c>
      <c r="E93" s="29" t="n">
        <v>2</v>
      </c>
      <c r="F93" s="29" t="n">
        <v>0</v>
      </c>
      <c r="G93" s="30">
        <f>E93+F93</f>
        <v/>
      </c>
      <c r="H93" s="30">
        <f>(E93+G93)/2</f>
        <v/>
      </c>
      <c r="I93" s="31" t="n">
        <v>43944</v>
      </c>
      <c r="J93" s="32" t="n">
        <v>0.18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2</v>
      </c>
      <c r="B94" t="inlineStr">
        <is>
          <t>supporting_staff</t>
        </is>
      </c>
      <c r="C94" t="inlineStr">
        <is>
          <t>Dishwashers</t>
        </is>
      </c>
      <c r="D94" t="inlineStr">
        <is>
          <t>Dishwashers</t>
        </is>
      </c>
      <c r="E94" s="29" t="n">
        <v>1</v>
      </c>
      <c r="F94" s="29" t="n">
        <v>0</v>
      </c>
      <c r="G94" s="30">
        <f>E94+F94</f>
        <v/>
      </c>
      <c r="H94" s="30">
        <f>(E94+G94)/2</f>
        <v/>
      </c>
      <c r="I94" s="31" t="n">
        <v>39876</v>
      </c>
      <c r="J94" s="32" t="n">
        <v>0.18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2</v>
      </c>
      <c r="B95" t="inlineStr">
        <is>
          <t>supporting_staff</t>
        </is>
      </c>
      <c r="C95" t="inlineStr">
        <is>
          <t>Hosts and Hostesses, Restaurant, Lounge, and Coffee Shop</t>
        </is>
      </c>
      <c r="D95" t="inlineStr">
        <is>
          <t>Hosts and Hostesses, Restaurant, Lounge, and Coffee Shop</t>
        </is>
      </c>
      <c r="E95" s="29" t="n">
        <v>0.5</v>
      </c>
      <c r="F95" s="29" t="n">
        <v>0</v>
      </c>
      <c r="G95" s="30">
        <f>E95+F95</f>
        <v/>
      </c>
      <c r="H95" s="30">
        <f>(E95+G95)/2</f>
        <v/>
      </c>
      <c r="I95" s="31" t="n">
        <v>35988</v>
      </c>
      <c r="J95" s="32" t="n">
        <v>0.18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2</v>
      </c>
      <c r="B96" t="inlineStr">
        <is>
          <t>supporting_staff</t>
        </is>
      </c>
      <c r="C96" t="inlineStr">
        <is>
          <t>Waiters and Waitresses</t>
        </is>
      </c>
      <c r="D96" t="inlineStr">
        <is>
          <t>Waiters and Waitresses</t>
        </is>
      </c>
      <c r="E96" s="29" t="n">
        <v>3</v>
      </c>
      <c r="F96" s="29" t="n">
        <v>0</v>
      </c>
      <c r="G96" s="30">
        <f>E96+F96</f>
        <v/>
      </c>
      <c r="H96" s="30">
        <f>(E96+G96)/2</f>
        <v/>
      </c>
      <c r="I96" s="31" t="n">
        <v>40212</v>
      </c>
      <c r="J96" s="32" t="n">
        <v>0.18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3</v>
      </c>
      <c r="B97" t="inlineStr">
        <is>
          <t>supporting_staff</t>
        </is>
      </c>
      <c r="C97" t="inlineStr">
        <is>
          <t>Bartenders</t>
        </is>
      </c>
      <c r="D97" t="inlineStr">
        <is>
          <t>Bartenders</t>
        </is>
      </c>
      <c r="E97" s="29" t="n">
        <v>0.75</v>
      </c>
      <c r="F97" s="29" t="n">
        <v>0</v>
      </c>
      <c r="G97" s="30">
        <f>E97+F97</f>
        <v/>
      </c>
      <c r="H97" s="30">
        <f>(E97+G97)/2</f>
        <v/>
      </c>
      <c r="I97" s="31" t="n">
        <v>41820</v>
      </c>
      <c r="J97" s="32" t="n">
        <v>0.18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3</v>
      </c>
      <c r="B98" t="inlineStr">
        <is>
          <t>supporting_staff</t>
        </is>
      </c>
      <c r="C98" t="inlineStr">
        <is>
          <t>Cooks, Restaurant</t>
        </is>
      </c>
      <c r="D98" t="inlineStr">
        <is>
          <t>Cooks, Restaurant</t>
        </is>
      </c>
      <c r="E98" s="29" t="n">
        <v>2</v>
      </c>
      <c r="F98" s="29" t="n">
        <v>0</v>
      </c>
      <c r="G98" s="30">
        <f>E98+F98</f>
        <v/>
      </c>
      <c r="H98" s="30">
        <f>(E98+G98)/2</f>
        <v/>
      </c>
      <c r="I98" s="31" t="n">
        <v>43944</v>
      </c>
      <c r="J98" s="32" t="n">
        <v>0.18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3</v>
      </c>
      <c r="B99" t="inlineStr">
        <is>
          <t>supporting_staff</t>
        </is>
      </c>
      <c r="C99" t="inlineStr">
        <is>
          <t>Dishwashers</t>
        </is>
      </c>
      <c r="D99" t="inlineStr">
        <is>
          <t>Dishwashers</t>
        </is>
      </c>
      <c r="E99" s="29" t="n">
        <v>1</v>
      </c>
      <c r="F99" s="29" t="n">
        <v>0</v>
      </c>
      <c r="G99" s="30">
        <f>E99+F99</f>
        <v/>
      </c>
      <c r="H99" s="30">
        <f>(E99+G99)/2</f>
        <v/>
      </c>
      <c r="I99" s="31" t="n">
        <v>39876</v>
      </c>
      <c r="J99" s="32" t="n">
        <v>0.18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3</v>
      </c>
      <c r="B100" t="inlineStr">
        <is>
          <t>supporting_staff</t>
        </is>
      </c>
      <c r="C100" t="inlineStr">
        <is>
          <t>Hosts and Hostesses, Restaurant, Lounge, and Coffee Shop</t>
        </is>
      </c>
      <c r="D100" t="inlineStr">
        <is>
          <t>Hosts and Hostesses, Restaurant, Lounge, and Coffee Shop</t>
        </is>
      </c>
      <c r="E100" s="29" t="n">
        <v>0.5</v>
      </c>
      <c r="F100" s="29" t="n">
        <v>0</v>
      </c>
      <c r="G100" s="30">
        <f>E100+F100</f>
        <v/>
      </c>
      <c r="H100" s="30">
        <f>(E100+G100)/2</f>
        <v/>
      </c>
      <c r="I100" s="31" t="n">
        <v>35988</v>
      </c>
      <c r="J100" s="32" t="n">
        <v>0.18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3</v>
      </c>
      <c r="B101" t="inlineStr">
        <is>
          <t>supporting_staff</t>
        </is>
      </c>
      <c r="C101" t="inlineStr">
        <is>
          <t>Waiters and Waitresses</t>
        </is>
      </c>
      <c r="D101" t="inlineStr">
        <is>
          <t>Waiters and Waitresses</t>
        </is>
      </c>
      <c r="E101" s="29" t="n">
        <v>3</v>
      </c>
      <c r="F101" s="29" t="n">
        <v>0</v>
      </c>
      <c r="G101" s="30">
        <f>E101+F101</f>
        <v/>
      </c>
      <c r="H101" s="30">
        <f>(E101+G101)/2</f>
        <v/>
      </c>
      <c r="I101" s="31" t="n">
        <v>40212</v>
      </c>
      <c r="J101" s="32" t="n">
        <v>0.18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4</v>
      </c>
      <c r="B102" t="inlineStr">
        <is>
          <t>supporting_staff</t>
        </is>
      </c>
      <c r="C102" t="inlineStr">
        <is>
          <t>Bartenders</t>
        </is>
      </c>
      <c r="D102" t="inlineStr">
        <is>
          <t>Bartenders</t>
        </is>
      </c>
      <c r="E102" s="29" t="n">
        <v>0.75</v>
      </c>
      <c r="F102" s="29" t="n">
        <v>0</v>
      </c>
      <c r="G102" s="30">
        <f>E102+F102</f>
        <v/>
      </c>
      <c r="H102" s="30">
        <f>(E102+G102)/2</f>
        <v/>
      </c>
      <c r="I102" s="31" t="n">
        <v>41820</v>
      </c>
      <c r="J102" s="32" t="n">
        <v>0.18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4</v>
      </c>
      <c r="B103" t="inlineStr">
        <is>
          <t>supporting_staff</t>
        </is>
      </c>
      <c r="C103" t="inlineStr">
        <is>
          <t>Cooks, Restaurant</t>
        </is>
      </c>
      <c r="D103" t="inlineStr">
        <is>
          <t>Cooks, Restaurant</t>
        </is>
      </c>
      <c r="E103" s="29" t="n">
        <v>2</v>
      </c>
      <c r="F103" s="29" t="n">
        <v>0</v>
      </c>
      <c r="G103" s="30">
        <f>E103+F103</f>
        <v/>
      </c>
      <c r="H103" s="30">
        <f>(E103+G103)/2</f>
        <v/>
      </c>
      <c r="I103" s="31" t="n">
        <v>43944</v>
      </c>
      <c r="J103" s="32" t="n">
        <v>0.18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4</v>
      </c>
      <c r="B104" t="inlineStr">
        <is>
          <t>supporting_staff</t>
        </is>
      </c>
      <c r="C104" t="inlineStr">
        <is>
          <t>Dishwashers</t>
        </is>
      </c>
      <c r="D104" t="inlineStr">
        <is>
          <t>Dishwashers</t>
        </is>
      </c>
      <c r="E104" s="29" t="n">
        <v>1</v>
      </c>
      <c r="F104" s="29" t="n">
        <v>0</v>
      </c>
      <c r="G104" s="30">
        <f>E104+F104</f>
        <v/>
      </c>
      <c r="H104" s="30">
        <f>(E104+G104)/2</f>
        <v/>
      </c>
      <c r="I104" s="31" t="n">
        <v>39876</v>
      </c>
      <c r="J104" s="32" t="n">
        <v>0.18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4</v>
      </c>
      <c r="B105" t="inlineStr">
        <is>
          <t>supporting_staff</t>
        </is>
      </c>
      <c r="C105" t="inlineStr">
        <is>
          <t>Hosts and Hostesses, Restaurant, Lounge, and Coffee Shop</t>
        </is>
      </c>
      <c r="D105" t="inlineStr">
        <is>
          <t>Hosts and Hostesses, Restaurant, Lounge, and Coffee Shop</t>
        </is>
      </c>
      <c r="E105" s="29" t="n">
        <v>0.5</v>
      </c>
      <c r="F105" s="29" t="n">
        <v>0</v>
      </c>
      <c r="G105" s="30">
        <f>E105+F105</f>
        <v/>
      </c>
      <c r="H105" s="30">
        <f>(E105+G105)/2</f>
        <v/>
      </c>
      <c r="I105" s="31" t="n">
        <v>35988</v>
      </c>
      <c r="J105" s="32" t="n">
        <v>0.18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4</v>
      </c>
      <c r="B106" t="inlineStr">
        <is>
          <t>supporting_staff</t>
        </is>
      </c>
      <c r="C106" t="inlineStr">
        <is>
          <t>Waiters and Waitresses</t>
        </is>
      </c>
      <c r="D106" t="inlineStr">
        <is>
          <t>Waiters and Waitresses</t>
        </is>
      </c>
      <c r="E106" s="29" t="n">
        <v>3</v>
      </c>
      <c r="F106" s="29" t="n">
        <v>0</v>
      </c>
      <c r="G106" s="30">
        <f>E106+F106</f>
        <v/>
      </c>
      <c r="H106" s="30">
        <f>(E106+G106)/2</f>
        <v/>
      </c>
      <c r="I106" s="31" t="n">
        <v>40212</v>
      </c>
      <c r="J106" s="32" t="n">
        <v>0.18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  <row r="107">
      <c r="A107" t="n">
        <v>5</v>
      </c>
      <c r="B107" t="inlineStr">
        <is>
          <t>supporting_staff</t>
        </is>
      </c>
      <c r="C107" t="inlineStr">
        <is>
          <t>Bartenders</t>
        </is>
      </c>
      <c r="D107" t="inlineStr">
        <is>
          <t>Bartenders</t>
        </is>
      </c>
      <c r="E107" s="29" t="n">
        <v>0.75</v>
      </c>
      <c r="F107" s="29" t="n">
        <v>0</v>
      </c>
      <c r="G107" s="30">
        <f>E107+F107</f>
        <v/>
      </c>
      <c r="H107" s="30">
        <f>(E107+G107)/2</f>
        <v/>
      </c>
      <c r="I107" s="31" t="n">
        <v>43075</v>
      </c>
      <c r="J107" s="32" t="n">
        <v>0.18</v>
      </c>
      <c r="K107" s="33">
        <f>H107*I107/4</f>
        <v/>
      </c>
      <c r="L107" s="33">
        <f>K107*J107</f>
        <v/>
      </c>
      <c r="M107" s="33">
        <f>K107+L107</f>
        <v/>
      </c>
      <c r="N107" t="inlineStr">
        <is>
          <t>oews_title_catalog:oews_median</t>
        </is>
      </c>
    </row>
    <row r="108">
      <c r="A108" t="n">
        <v>5</v>
      </c>
      <c r="B108" t="inlineStr">
        <is>
          <t>supporting_staff</t>
        </is>
      </c>
      <c r="C108" t="inlineStr">
        <is>
          <t>Cooks, Restaurant</t>
        </is>
      </c>
      <c r="D108" t="inlineStr">
        <is>
          <t>Cooks, Restaurant</t>
        </is>
      </c>
      <c r="E108" s="29" t="n">
        <v>2</v>
      </c>
      <c r="F108" s="29" t="n">
        <v>0</v>
      </c>
      <c r="G108" s="30">
        <f>E108+F108</f>
        <v/>
      </c>
      <c r="H108" s="30">
        <f>(E108+G108)/2</f>
        <v/>
      </c>
      <c r="I108" s="31" t="n">
        <v>45262</v>
      </c>
      <c r="J108" s="32" t="n">
        <v>0.18</v>
      </c>
      <c r="K108" s="33">
        <f>H108*I108/4</f>
        <v/>
      </c>
      <c r="L108" s="33">
        <f>K108*J108</f>
        <v/>
      </c>
      <c r="M108" s="33">
        <f>K108+L108</f>
        <v/>
      </c>
      <c r="N108" t="inlineStr">
        <is>
          <t>oews_title_catalog:oews_median</t>
        </is>
      </c>
    </row>
    <row r="109">
      <c r="A109" t="n">
        <v>5</v>
      </c>
      <c r="B109" t="inlineStr">
        <is>
          <t>supporting_staff</t>
        </is>
      </c>
      <c r="C109" t="inlineStr">
        <is>
          <t>Dishwashers</t>
        </is>
      </c>
      <c r="D109" t="inlineStr">
        <is>
          <t>Dishwashers</t>
        </is>
      </c>
      <c r="E109" s="29" t="n">
        <v>1</v>
      </c>
      <c r="F109" s="29" t="n">
        <v>0</v>
      </c>
      <c r="G109" s="30">
        <f>E109+F109</f>
        <v/>
      </c>
      <c r="H109" s="30">
        <f>(E109+G109)/2</f>
        <v/>
      </c>
      <c r="I109" s="31" t="n">
        <v>41072</v>
      </c>
      <c r="J109" s="32" t="n">
        <v>0.18</v>
      </c>
      <c r="K109" s="33">
        <f>H109*I109/4</f>
        <v/>
      </c>
      <c r="L109" s="33">
        <f>K109*J109</f>
        <v/>
      </c>
      <c r="M109" s="33">
        <f>K109+L109</f>
        <v/>
      </c>
      <c r="N109" t="inlineStr">
        <is>
          <t>oews_title_catalog:oews_median</t>
        </is>
      </c>
    </row>
    <row r="110">
      <c r="A110" t="n">
        <v>5</v>
      </c>
      <c r="B110" t="inlineStr">
        <is>
          <t>supporting_staff</t>
        </is>
      </c>
      <c r="C110" t="inlineStr">
        <is>
          <t>Hosts and Hostesses, Restaurant, Lounge, and Coffee Shop</t>
        </is>
      </c>
      <c r="D110" t="inlineStr">
        <is>
          <t>Hosts and Hostesses, Restaurant, Lounge, and Coffee Shop</t>
        </is>
      </c>
      <c r="E110" s="29" t="n">
        <v>0.5</v>
      </c>
      <c r="F110" s="29" t="n">
        <v>0</v>
      </c>
      <c r="G110" s="30">
        <f>E110+F110</f>
        <v/>
      </c>
      <c r="H110" s="30">
        <f>(E110+G110)/2</f>
        <v/>
      </c>
      <c r="I110" s="31" t="n">
        <v>37068</v>
      </c>
      <c r="J110" s="32" t="n">
        <v>0.18</v>
      </c>
      <c r="K110" s="33">
        <f>H110*I110/4</f>
        <v/>
      </c>
      <c r="L110" s="33">
        <f>K110*J110</f>
        <v/>
      </c>
      <c r="M110" s="33">
        <f>K110+L110</f>
        <v/>
      </c>
      <c r="N110" t="inlineStr">
        <is>
          <t>oews_title_catalog:oews_median</t>
        </is>
      </c>
    </row>
    <row r="111">
      <c r="A111" t="n">
        <v>5</v>
      </c>
      <c r="B111" t="inlineStr">
        <is>
          <t>supporting_staff</t>
        </is>
      </c>
      <c r="C111" t="inlineStr">
        <is>
          <t>Waiters and Waitresses</t>
        </is>
      </c>
      <c r="D111" t="inlineStr">
        <is>
          <t>Waiters and Waitresses</t>
        </is>
      </c>
      <c r="E111" s="29" t="n">
        <v>3</v>
      </c>
      <c r="F111" s="29" t="n">
        <v>0</v>
      </c>
      <c r="G111" s="30">
        <f>E111+F111</f>
        <v/>
      </c>
      <c r="H111" s="30">
        <f>(E111+G111)/2</f>
        <v/>
      </c>
      <c r="I111" s="31" t="n">
        <v>41418</v>
      </c>
      <c r="J111" s="32" t="n">
        <v>0.18</v>
      </c>
      <c r="K111" s="33">
        <f>H111*I111/4</f>
        <v/>
      </c>
      <c r="L111" s="33">
        <f>K111*J111</f>
        <v/>
      </c>
      <c r="M111" s="33">
        <f>K111+L111</f>
        <v/>
      </c>
      <c r="N111" t="inlineStr">
        <is>
          <t>oews_title_catalog:oews_median</t>
        </is>
      </c>
    </row>
    <row r="112">
      <c r="A112" t="n">
        <v>6</v>
      </c>
      <c r="B112" t="inlineStr">
        <is>
          <t>supporting_staff</t>
        </is>
      </c>
      <c r="C112" t="inlineStr">
        <is>
          <t>Bartenders</t>
        </is>
      </c>
      <c r="D112" t="inlineStr">
        <is>
          <t>Bartenders</t>
        </is>
      </c>
      <c r="E112" s="29" t="n">
        <v>0.75</v>
      </c>
      <c r="F112" s="29" t="n">
        <v>0</v>
      </c>
      <c r="G112" s="30">
        <f>E112+F112</f>
        <v/>
      </c>
      <c r="H112" s="30">
        <f>(E112+G112)/2</f>
        <v/>
      </c>
      <c r="I112" s="31" t="n">
        <v>43075</v>
      </c>
      <c r="J112" s="32" t="n">
        <v>0.18</v>
      </c>
      <c r="K112" s="33">
        <f>H112*I112/4</f>
        <v/>
      </c>
      <c r="L112" s="33">
        <f>K112*J112</f>
        <v/>
      </c>
      <c r="M112" s="33">
        <f>K112+L112</f>
        <v/>
      </c>
      <c r="N112" t="inlineStr">
        <is>
          <t>oews_title_catalog:oews_median</t>
        </is>
      </c>
    </row>
    <row r="113">
      <c r="A113" t="n">
        <v>6</v>
      </c>
      <c r="B113" t="inlineStr">
        <is>
          <t>supporting_staff</t>
        </is>
      </c>
      <c r="C113" t="inlineStr">
        <is>
          <t>Cooks, Restaurant</t>
        </is>
      </c>
      <c r="D113" t="inlineStr">
        <is>
          <t>Cooks, Restaurant</t>
        </is>
      </c>
      <c r="E113" s="29" t="n">
        <v>2</v>
      </c>
      <c r="F113" s="29" t="n">
        <v>0</v>
      </c>
      <c r="G113" s="30">
        <f>E113+F113</f>
        <v/>
      </c>
      <c r="H113" s="30">
        <f>(E113+G113)/2</f>
        <v/>
      </c>
      <c r="I113" s="31" t="n">
        <v>45262</v>
      </c>
      <c r="J113" s="32" t="n">
        <v>0.18</v>
      </c>
      <c r="K113" s="33">
        <f>H113*I113/4</f>
        <v/>
      </c>
      <c r="L113" s="33">
        <f>K113*J113</f>
        <v/>
      </c>
      <c r="M113" s="33">
        <f>K113+L113</f>
        <v/>
      </c>
      <c r="N113" t="inlineStr">
        <is>
          <t>oews_title_catalog:oews_median</t>
        </is>
      </c>
    </row>
    <row r="114">
      <c r="A114" t="n">
        <v>6</v>
      </c>
      <c r="B114" t="inlineStr">
        <is>
          <t>supporting_staff</t>
        </is>
      </c>
      <c r="C114" t="inlineStr">
        <is>
          <t>Dishwashers</t>
        </is>
      </c>
      <c r="D114" t="inlineStr">
        <is>
          <t>Dishwashers</t>
        </is>
      </c>
      <c r="E114" s="29" t="n">
        <v>1</v>
      </c>
      <c r="F114" s="29" t="n">
        <v>0</v>
      </c>
      <c r="G114" s="30">
        <f>E114+F114</f>
        <v/>
      </c>
      <c r="H114" s="30">
        <f>(E114+G114)/2</f>
        <v/>
      </c>
      <c r="I114" s="31" t="n">
        <v>41072</v>
      </c>
      <c r="J114" s="32" t="n">
        <v>0.18</v>
      </c>
      <c r="K114" s="33">
        <f>H114*I114/4</f>
        <v/>
      </c>
      <c r="L114" s="33">
        <f>K114*J114</f>
        <v/>
      </c>
      <c r="M114" s="33">
        <f>K114+L114</f>
        <v/>
      </c>
      <c r="N114" t="inlineStr">
        <is>
          <t>oews_title_catalog:oews_median</t>
        </is>
      </c>
    </row>
    <row r="115">
      <c r="A115" t="n">
        <v>6</v>
      </c>
      <c r="B115" t="inlineStr">
        <is>
          <t>supporting_staff</t>
        </is>
      </c>
      <c r="C115" t="inlineStr">
        <is>
          <t>Hosts and Hostesses, Restaurant, Lounge, and Coffee Shop</t>
        </is>
      </c>
      <c r="D115" t="inlineStr">
        <is>
          <t>Hosts and Hostesses, Restaurant, Lounge, and Coffee Shop</t>
        </is>
      </c>
      <c r="E115" s="29" t="n">
        <v>0.5</v>
      </c>
      <c r="F115" s="29" t="n">
        <v>0</v>
      </c>
      <c r="G115" s="30">
        <f>E115+F115</f>
        <v/>
      </c>
      <c r="H115" s="30">
        <f>(E115+G115)/2</f>
        <v/>
      </c>
      <c r="I115" s="31" t="n">
        <v>37068</v>
      </c>
      <c r="J115" s="32" t="n">
        <v>0.18</v>
      </c>
      <c r="K115" s="33">
        <f>H115*I115/4</f>
        <v/>
      </c>
      <c r="L115" s="33">
        <f>K115*J115</f>
        <v/>
      </c>
      <c r="M115" s="33">
        <f>K115+L115</f>
        <v/>
      </c>
      <c r="N115" t="inlineStr">
        <is>
          <t>oews_title_catalog:oews_median</t>
        </is>
      </c>
    </row>
    <row r="116">
      <c r="A116" t="n">
        <v>6</v>
      </c>
      <c r="B116" t="inlineStr">
        <is>
          <t>supporting_staff</t>
        </is>
      </c>
      <c r="C116" t="inlineStr">
        <is>
          <t>Waiters and Waitresses</t>
        </is>
      </c>
      <c r="D116" t="inlineStr">
        <is>
          <t>Waiters and Waitresses</t>
        </is>
      </c>
      <c r="E116" s="29" t="n">
        <v>3</v>
      </c>
      <c r="F116" s="29" t="n">
        <v>0</v>
      </c>
      <c r="G116" s="30">
        <f>E116+F116</f>
        <v/>
      </c>
      <c r="H116" s="30">
        <f>(E116+G116)/2</f>
        <v/>
      </c>
      <c r="I116" s="31" t="n">
        <v>41418</v>
      </c>
      <c r="J116" s="32" t="n">
        <v>0.18</v>
      </c>
      <c r="K116" s="33">
        <f>H116*I116/4</f>
        <v/>
      </c>
      <c r="L116" s="33">
        <f>K116*J116</f>
        <v/>
      </c>
      <c r="M116" s="33">
        <f>K116+L116</f>
        <v/>
      </c>
      <c r="N116" t="inlineStr">
        <is>
          <t>oews_title_catalog:oews_median</t>
        </is>
      </c>
    </row>
    <row r="117">
      <c r="A117" t="n">
        <v>7</v>
      </c>
      <c r="B117" t="inlineStr">
        <is>
          <t>supporting_staff</t>
        </is>
      </c>
      <c r="C117" t="inlineStr">
        <is>
          <t>Bartenders</t>
        </is>
      </c>
      <c r="D117" t="inlineStr">
        <is>
          <t>Bartenders</t>
        </is>
      </c>
      <c r="E117" s="29" t="n">
        <v>0.75</v>
      </c>
      <c r="F117" s="29" t="n">
        <v>0</v>
      </c>
      <c r="G117" s="30">
        <f>E117+F117</f>
        <v/>
      </c>
      <c r="H117" s="30">
        <f>(E117+G117)/2</f>
        <v/>
      </c>
      <c r="I117" s="31" t="n">
        <v>43075</v>
      </c>
      <c r="J117" s="32" t="n">
        <v>0.18</v>
      </c>
      <c r="K117" s="33">
        <f>H117*I117/4</f>
        <v/>
      </c>
      <c r="L117" s="33">
        <f>K117*J117</f>
        <v/>
      </c>
      <c r="M117" s="33">
        <f>K117+L117</f>
        <v/>
      </c>
      <c r="N117" t="inlineStr">
        <is>
          <t>oews_title_catalog:oews_median</t>
        </is>
      </c>
    </row>
    <row r="118">
      <c r="A118" t="n">
        <v>7</v>
      </c>
      <c r="B118" t="inlineStr">
        <is>
          <t>supporting_staff</t>
        </is>
      </c>
      <c r="C118" t="inlineStr">
        <is>
          <t>Cooks, Restaurant</t>
        </is>
      </c>
      <c r="D118" t="inlineStr">
        <is>
          <t>Cooks, Restaurant</t>
        </is>
      </c>
      <c r="E118" s="29" t="n">
        <v>2</v>
      </c>
      <c r="F118" s="29" t="n">
        <v>0</v>
      </c>
      <c r="G118" s="30">
        <f>E118+F118</f>
        <v/>
      </c>
      <c r="H118" s="30">
        <f>(E118+G118)/2</f>
        <v/>
      </c>
      <c r="I118" s="31" t="n">
        <v>45262</v>
      </c>
      <c r="J118" s="32" t="n">
        <v>0.18</v>
      </c>
      <c r="K118" s="33">
        <f>H118*I118/4</f>
        <v/>
      </c>
      <c r="L118" s="33">
        <f>K118*J118</f>
        <v/>
      </c>
      <c r="M118" s="33">
        <f>K118+L118</f>
        <v/>
      </c>
      <c r="N118" t="inlineStr">
        <is>
          <t>oews_title_catalog:oews_median</t>
        </is>
      </c>
    </row>
    <row r="119">
      <c r="A119" t="n">
        <v>7</v>
      </c>
      <c r="B119" t="inlineStr">
        <is>
          <t>supporting_staff</t>
        </is>
      </c>
      <c r="C119" t="inlineStr">
        <is>
          <t>Dishwashers</t>
        </is>
      </c>
      <c r="D119" t="inlineStr">
        <is>
          <t>Dishwashers</t>
        </is>
      </c>
      <c r="E119" s="29" t="n">
        <v>1</v>
      </c>
      <c r="F119" s="29" t="n">
        <v>0</v>
      </c>
      <c r="G119" s="30">
        <f>E119+F119</f>
        <v/>
      </c>
      <c r="H119" s="30">
        <f>(E119+G119)/2</f>
        <v/>
      </c>
      <c r="I119" s="31" t="n">
        <v>41072</v>
      </c>
      <c r="J119" s="32" t="n">
        <v>0.18</v>
      </c>
      <c r="K119" s="33">
        <f>H119*I119/4</f>
        <v/>
      </c>
      <c r="L119" s="33">
        <f>K119*J119</f>
        <v/>
      </c>
      <c r="M119" s="33">
        <f>K119+L119</f>
        <v/>
      </c>
      <c r="N119" t="inlineStr">
        <is>
          <t>oews_title_catalog:oews_median</t>
        </is>
      </c>
    </row>
    <row r="120">
      <c r="A120" t="n">
        <v>7</v>
      </c>
      <c r="B120" t="inlineStr">
        <is>
          <t>supporting_staff</t>
        </is>
      </c>
      <c r="C120" t="inlineStr">
        <is>
          <t>Hosts and Hostesses, Restaurant, Lounge, and Coffee Shop</t>
        </is>
      </c>
      <c r="D120" t="inlineStr">
        <is>
          <t>Hosts and Hostesses, Restaurant, Lounge, and Coffee Shop</t>
        </is>
      </c>
      <c r="E120" s="29" t="n">
        <v>0.5</v>
      </c>
      <c r="F120" s="29" t="n">
        <v>0</v>
      </c>
      <c r="G120" s="30">
        <f>E120+F120</f>
        <v/>
      </c>
      <c r="H120" s="30">
        <f>(E120+G120)/2</f>
        <v/>
      </c>
      <c r="I120" s="31" t="n">
        <v>37068</v>
      </c>
      <c r="J120" s="32" t="n">
        <v>0.18</v>
      </c>
      <c r="K120" s="33">
        <f>H120*I120/4</f>
        <v/>
      </c>
      <c r="L120" s="33">
        <f>K120*J120</f>
        <v/>
      </c>
      <c r="M120" s="33">
        <f>K120+L120</f>
        <v/>
      </c>
      <c r="N120" t="inlineStr">
        <is>
          <t>oews_title_catalog:oews_median</t>
        </is>
      </c>
    </row>
    <row r="121">
      <c r="A121" t="n">
        <v>7</v>
      </c>
      <c r="B121" t="inlineStr">
        <is>
          <t>supporting_staff</t>
        </is>
      </c>
      <c r="C121" t="inlineStr">
        <is>
          <t>Waiters and Waitresses</t>
        </is>
      </c>
      <c r="D121" t="inlineStr">
        <is>
          <t>Waiters and Waitresses</t>
        </is>
      </c>
      <c r="E121" s="29" t="n">
        <v>3</v>
      </c>
      <c r="F121" s="29" t="n">
        <v>0</v>
      </c>
      <c r="G121" s="30">
        <f>E121+F121</f>
        <v/>
      </c>
      <c r="H121" s="30">
        <f>(E121+G121)/2</f>
        <v/>
      </c>
      <c r="I121" s="31" t="n">
        <v>41418</v>
      </c>
      <c r="J121" s="32" t="n">
        <v>0.18</v>
      </c>
      <c r="K121" s="33">
        <f>H121*I121/4</f>
        <v/>
      </c>
      <c r="L121" s="33">
        <f>K121*J121</f>
        <v/>
      </c>
      <c r="M121" s="33">
        <f>K121+L121</f>
        <v/>
      </c>
      <c r="N121" t="inlineStr">
        <is>
          <t>oews_title_catalog:oews_median</t>
        </is>
      </c>
    </row>
    <row r="122">
      <c r="A122" t="n">
        <v>8</v>
      </c>
      <c r="B122" t="inlineStr">
        <is>
          <t>supporting_staff</t>
        </is>
      </c>
      <c r="C122" t="inlineStr">
        <is>
          <t>Bartenders</t>
        </is>
      </c>
      <c r="D122" t="inlineStr">
        <is>
          <t>Bartenders</t>
        </is>
      </c>
      <c r="E122" s="29" t="n">
        <v>0.75</v>
      </c>
      <c r="F122" s="29" t="n">
        <v>0</v>
      </c>
      <c r="G122" s="30">
        <f>E122+F122</f>
        <v/>
      </c>
      <c r="H122" s="30">
        <f>(E122+G122)/2</f>
        <v/>
      </c>
      <c r="I122" s="31" t="n">
        <v>43075</v>
      </c>
      <c r="J122" s="32" t="n">
        <v>0.18</v>
      </c>
      <c r="K122" s="33">
        <f>H122*I122/4</f>
        <v/>
      </c>
      <c r="L122" s="33">
        <f>K122*J122</f>
        <v/>
      </c>
      <c r="M122" s="33">
        <f>K122+L122</f>
        <v/>
      </c>
      <c r="N122" t="inlineStr">
        <is>
          <t>oews_title_catalog:oews_median</t>
        </is>
      </c>
    </row>
    <row r="123">
      <c r="A123" t="n">
        <v>8</v>
      </c>
      <c r="B123" t="inlineStr">
        <is>
          <t>supporting_staff</t>
        </is>
      </c>
      <c r="C123" t="inlineStr">
        <is>
          <t>Cooks, Restaurant</t>
        </is>
      </c>
      <c r="D123" t="inlineStr">
        <is>
          <t>Cooks, Restaurant</t>
        </is>
      </c>
      <c r="E123" s="29" t="n">
        <v>2</v>
      </c>
      <c r="F123" s="29" t="n">
        <v>0</v>
      </c>
      <c r="G123" s="30">
        <f>E123+F123</f>
        <v/>
      </c>
      <c r="H123" s="30">
        <f>(E123+G123)/2</f>
        <v/>
      </c>
      <c r="I123" s="31" t="n">
        <v>45262</v>
      </c>
      <c r="J123" s="32" t="n">
        <v>0.18</v>
      </c>
      <c r="K123" s="33">
        <f>H123*I123/4</f>
        <v/>
      </c>
      <c r="L123" s="33">
        <f>K123*J123</f>
        <v/>
      </c>
      <c r="M123" s="33">
        <f>K123+L123</f>
        <v/>
      </c>
      <c r="N123" t="inlineStr">
        <is>
          <t>oews_title_catalog:oews_median</t>
        </is>
      </c>
    </row>
    <row r="124">
      <c r="A124" t="n">
        <v>8</v>
      </c>
      <c r="B124" t="inlineStr">
        <is>
          <t>supporting_staff</t>
        </is>
      </c>
      <c r="C124" t="inlineStr">
        <is>
          <t>Dishwashers</t>
        </is>
      </c>
      <c r="D124" t="inlineStr">
        <is>
          <t>Dishwashers</t>
        </is>
      </c>
      <c r="E124" s="29" t="n">
        <v>1</v>
      </c>
      <c r="F124" s="29" t="n">
        <v>0</v>
      </c>
      <c r="G124" s="30">
        <f>E124+F124</f>
        <v/>
      </c>
      <c r="H124" s="30">
        <f>(E124+G124)/2</f>
        <v/>
      </c>
      <c r="I124" s="31" t="n">
        <v>41072</v>
      </c>
      <c r="J124" s="32" t="n">
        <v>0.18</v>
      </c>
      <c r="K124" s="33">
        <f>H124*I124/4</f>
        <v/>
      </c>
      <c r="L124" s="33">
        <f>K124*J124</f>
        <v/>
      </c>
      <c r="M124" s="33">
        <f>K124+L124</f>
        <v/>
      </c>
      <c r="N124" t="inlineStr">
        <is>
          <t>oews_title_catalog:oews_median</t>
        </is>
      </c>
    </row>
    <row r="125">
      <c r="A125" t="n">
        <v>8</v>
      </c>
      <c r="B125" t="inlineStr">
        <is>
          <t>supporting_staff</t>
        </is>
      </c>
      <c r="C125" t="inlineStr">
        <is>
          <t>Hosts and Hostesses, Restaurant, Lounge, and Coffee Shop</t>
        </is>
      </c>
      <c r="D125" t="inlineStr">
        <is>
          <t>Hosts and Hostesses, Restaurant, Lounge, and Coffee Shop</t>
        </is>
      </c>
      <c r="E125" s="29" t="n">
        <v>0.5</v>
      </c>
      <c r="F125" s="29" t="n">
        <v>0</v>
      </c>
      <c r="G125" s="30">
        <f>E125+F125</f>
        <v/>
      </c>
      <c r="H125" s="30">
        <f>(E125+G125)/2</f>
        <v/>
      </c>
      <c r="I125" s="31" t="n">
        <v>37068</v>
      </c>
      <c r="J125" s="32" t="n">
        <v>0.18</v>
      </c>
      <c r="K125" s="33">
        <f>H125*I125/4</f>
        <v/>
      </c>
      <c r="L125" s="33">
        <f>K125*J125</f>
        <v/>
      </c>
      <c r="M125" s="33">
        <f>K125+L125</f>
        <v/>
      </c>
      <c r="N125" t="inlineStr">
        <is>
          <t>oews_title_catalog:oews_median</t>
        </is>
      </c>
    </row>
    <row r="126">
      <c r="A126" t="n">
        <v>8</v>
      </c>
      <c r="B126" t="inlineStr">
        <is>
          <t>supporting_staff</t>
        </is>
      </c>
      <c r="C126" t="inlineStr">
        <is>
          <t>Waiters and Waitresses</t>
        </is>
      </c>
      <c r="D126" t="inlineStr">
        <is>
          <t>Waiters and Waitresses</t>
        </is>
      </c>
      <c r="E126" s="29" t="n">
        <v>3</v>
      </c>
      <c r="F126" s="29" t="n">
        <v>0</v>
      </c>
      <c r="G126" s="30">
        <f>E126+F126</f>
        <v/>
      </c>
      <c r="H126" s="30">
        <f>(E126+G126)/2</f>
        <v/>
      </c>
      <c r="I126" s="31" t="n">
        <v>41418</v>
      </c>
      <c r="J126" s="32" t="n">
        <v>0.18</v>
      </c>
      <c r="K126" s="33">
        <f>H126*I126/4</f>
        <v/>
      </c>
      <c r="L126" s="33">
        <f>K126*J126</f>
        <v/>
      </c>
      <c r="M126" s="33">
        <f>K126+L126</f>
        <v/>
      </c>
      <c r="N126" t="inlineStr">
        <is>
          <t>oews_title_catalog:oews_median</t>
        </is>
      </c>
    </row>
    <row r="127">
      <c r="A127" t="n">
        <v>9</v>
      </c>
      <c r="B127" t="inlineStr">
        <is>
          <t>supporting_staff</t>
        </is>
      </c>
      <c r="C127" t="inlineStr">
        <is>
          <t>Bartenders</t>
        </is>
      </c>
      <c r="D127" t="inlineStr">
        <is>
          <t>Bartenders</t>
        </is>
      </c>
      <c r="E127" s="29" t="n">
        <v>0.75</v>
      </c>
      <c r="F127" s="29" t="n">
        <v>0</v>
      </c>
      <c r="G127" s="30">
        <f>E127+F127</f>
        <v/>
      </c>
      <c r="H127" s="30">
        <f>(E127+G127)/2</f>
        <v/>
      </c>
      <c r="I127" s="31" t="n">
        <v>44367</v>
      </c>
      <c r="J127" s="32" t="n">
        <v>0.18</v>
      </c>
      <c r="K127" s="33">
        <f>H127*I127/4</f>
        <v/>
      </c>
      <c r="L127" s="33">
        <f>K127*J127</f>
        <v/>
      </c>
      <c r="M127" s="33">
        <f>K127+L127</f>
        <v/>
      </c>
      <c r="N127" t="inlineStr">
        <is>
          <t>oews_title_catalog:oews_median</t>
        </is>
      </c>
    </row>
    <row r="128">
      <c r="A128" t="n">
        <v>9</v>
      </c>
      <c r="B128" t="inlineStr">
        <is>
          <t>supporting_staff</t>
        </is>
      </c>
      <c r="C128" t="inlineStr">
        <is>
          <t>Cooks, Restaurant</t>
        </is>
      </c>
      <c r="D128" t="inlineStr">
        <is>
          <t>Cooks, Restaurant</t>
        </is>
      </c>
      <c r="E128" s="29" t="n">
        <v>2</v>
      </c>
      <c r="F128" s="29" t="n">
        <v>0</v>
      </c>
      <c r="G128" s="30">
        <f>E128+F128</f>
        <v/>
      </c>
      <c r="H128" s="30">
        <f>(E128+G128)/2</f>
        <v/>
      </c>
      <c r="I128" s="31" t="n">
        <v>46620</v>
      </c>
      <c r="J128" s="32" t="n">
        <v>0.18</v>
      </c>
      <c r="K128" s="33">
        <f>H128*I128/4</f>
        <v/>
      </c>
      <c r="L128" s="33">
        <f>K128*J128</f>
        <v/>
      </c>
      <c r="M128" s="33">
        <f>K128+L128</f>
        <v/>
      </c>
      <c r="N128" t="inlineStr">
        <is>
          <t>oews_title_catalog:oews_median</t>
        </is>
      </c>
    </row>
    <row r="129">
      <c r="A129" t="n">
        <v>9</v>
      </c>
      <c r="B129" t="inlineStr">
        <is>
          <t>supporting_staff</t>
        </is>
      </c>
      <c r="C129" t="inlineStr">
        <is>
          <t>Dishwashers</t>
        </is>
      </c>
      <c r="D129" t="inlineStr">
        <is>
          <t>Dishwashers</t>
        </is>
      </c>
      <c r="E129" s="29" t="n">
        <v>1</v>
      </c>
      <c r="F129" s="29" t="n">
        <v>0</v>
      </c>
      <c r="G129" s="30">
        <f>E129+F129</f>
        <v/>
      </c>
      <c r="H129" s="30">
        <f>(E129+G129)/2</f>
        <v/>
      </c>
      <c r="I129" s="31" t="n">
        <v>42304</v>
      </c>
      <c r="J129" s="32" t="n">
        <v>0.18</v>
      </c>
      <c r="K129" s="33">
        <f>H129*I129/4</f>
        <v/>
      </c>
      <c r="L129" s="33">
        <f>K129*J129</f>
        <v/>
      </c>
      <c r="M129" s="33">
        <f>K129+L129</f>
        <v/>
      </c>
      <c r="N129" t="inlineStr">
        <is>
          <t>oews_title_catalog:oews_median</t>
        </is>
      </c>
    </row>
    <row r="130">
      <c r="A130" t="n">
        <v>9</v>
      </c>
      <c r="B130" t="inlineStr">
        <is>
          <t>supporting_staff</t>
        </is>
      </c>
      <c r="C130" t="inlineStr">
        <is>
          <t>Hosts and Hostesses, Restaurant, Lounge, and Coffee Shop</t>
        </is>
      </c>
      <c r="D130" t="inlineStr">
        <is>
          <t>Hosts and Hostesses, Restaurant, Lounge, and Coffee Shop</t>
        </is>
      </c>
      <c r="E130" s="29" t="n">
        <v>0.5</v>
      </c>
      <c r="F130" s="29" t="n">
        <v>0</v>
      </c>
      <c r="G130" s="30">
        <f>E130+F130</f>
        <v/>
      </c>
      <c r="H130" s="30">
        <f>(E130+G130)/2</f>
        <v/>
      </c>
      <c r="I130" s="31" t="n">
        <v>38180</v>
      </c>
      <c r="J130" s="32" t="n">
        <v>0.18</v>
      </c>
      <c r="K130" s="33">
        <f>H130*I130/4</f>
        <v/>
      </c>
      <c r="L130" s="33">
        <f>K130*J130</f>
        <v/>
      </c>
      <c r="M130" s="33">
        <f>K130+L130</f>
        <v/>
      </c>
      <c r="N130" t="inlineStr">
        <is>
          <t>oews_title_catalog:oews_median</t>
        </is>
      </c>
    </row>
    <row r="131">
      <c r="A131" t="n">
        <v>9</v>
      </c>
      <c r="B131" t="inlineStr">
        <is>
          <t>supporting_staff</t>
        </is>
      </c>
      <c r="C131" t="inlineStr">
        <is>
          <t>Waiters and Waitresses</t>
        </is>
      </c>
      <c r="D131" t="inlineStr">
        <is>
          <t>Waiters and Waitresses</t>
        </is>
      </c>
      <c r="E131" s="29" t="n">
        <v>3</v>
      </c>
      <c r="F131" s="29" t="n">
        <v>0</v>
      </c>
      <c r="G131" s="30">
        <f>E131+F131</f>
        <v/>
      </c>
      <c r="H131" s="30">
        <f>(E131+G131)/2</f>
        <v/>
      </c>
      <c r="I131" s="31" t="n">
        <v>42661</v>
      </c>
      <c r="J131" s="32" t="n">
        <v>0.18</v>
      </c>
      <c r="K131" s="33">
        <f>H131*I131/4</f>
        <v/>
      </c>
      <c r="L131" s="33">
        <f>K131*J131</f>
        <v/>
      </c>
      <c r="M131" s="33">
        <f>K131+L131</f>
        <v/>
      </c>
      <c r="N131" t="inlineStr">
        <is>
          <t>oews_title_catalog:oews_median</t>
        </is>
      </c>
    </row>
    <row r="132">
      <c r="A132" t="n">
        <v>10</v>
      </c>
      <c r="B132" t="inlineStr">
        <is>
          <t>supporting_staff</t>
        </is>
      </c>
      <c r="C132" t="inlineStr">
        <is>
          <t>Bartenders</t>
        </is>
      </c>
      <c r="D132" t="inlineStr">
        <is>
          <t>Bartenders</t>
        </is>
      </c>
      <c r="E132" s="29" t="n">
        <v>0.75</v>
      </c>
      <c r="F132" s="29" t="n">
        <v>0</v>
      </c>
      <c r="G132" s="30">
        <f>E132+F132</f>
        <v/>
      </c>
      <c r="H132" s="30">
        <f>(E132+G132)/2</f>
        <v/>
      </c>
      <c r="I132" s="31" t="n">
        <v>44367</v>
      </c>
      <c r="J132" s="32" t="n">
        <v>0.18</v>
      </c>
      <c r="K132" s="33">
        <f>H132*I132/4</f>
        <v/>
      </c>
      <c r="L132" s="33">
        <f>K132*J132</f>
        <v/>
      </c>
      <c r="M132" s="33">
        <f>K132+L132</f>
        <v/>
      </c>
      <c r="N132" t="inlineStr">
        <is>
          <t>oews_title_catalog:oews_median</t>
        </is>
      </c>
    </row>
    <row r="133">
      <c r="A133" t="n">
        <v>10</v>
      </c>
      <c r="B133" t="inlineStr">
        <is>
          <t>supporting_staff</t>
        </is>
      </c>
      <c r="C133" t="inlineStr">
        <is>
          <t>Cooks, Restaurant</t>
        </is>
      </c>
      <c r="D133" t="inlineStr">
        <is>
          <t>Cooks, Restaurant</t>
        </is>
      </c>
      <c r="E133" s="29" t="n">
        <v>2</v>
      </c>
      <c r="F133" s="29" t="n">
        <v>0</v>
      </c>
      <c r="G133" s="30">
        <f>E133+F133</f>
        <v/>
      </c>
      <c r="H133" s="30">
        <f>(E133+G133)/2</f>
        <v/>
      </c>
      <c r="I133" s="31" t="n">
        <v>46620</v>
      </c>
      <c r="J133" s="32" t="n">
        <v>0.18</v>
      </c>
      <c r="K133" s="33">
        <f>H133*I133/4</f>
        <v/>
      </c>
      <c r="L133" s="33">
        <f>K133*J133</f>
        <v/>
      </c>
      <c r="M133" s="33">
        <f>K133+L133</f>
        <v/>
      </c>
      <c r="N133" t="inlineStr">
        <is>
          <t>oews_title_catalog:oews_median</t>
        </is>
      </c>
    </row>
    <row r="134">
      <c r="A134" t="n">
        <v>10</v>
      </c>
      <c r="B134" t="inlineStr">
        <is>
          <t>supporting_staff</t>
        </is>
      </c>
      <c r="C134" t="inlineStr">
        <is>
          <t>Dishwashers</t>
        </is>
      </c>
      <c r="D134" t="inlineStr">
        <is>
          <t>Dishwashers</t>
        </is>
      </c>
      <c r="E134" s="29" t="n">
        <v>1</v>
      </c>
      <c r="F134" s="29" t="n">
        <v>0</v>
      </c>
      <c r="G134" s="30">
        <f>E134+F134</f>
        <v/>
      </c>
      <c r="H134" s="30">
        <f>(E134+G134)/2</f>
        <v/>
      </c>
      <c r="I134" s="31" t="n">
        <v>42304</v>
      </c>
      <c r="J134" s="32" t="n">
        <v>0.18</v>
      </c>
      <c r="K134" s="33">
        <f>H134*I134/4</f>
        <v/>
      </c>
      <c r="L134" s="33">
        <f>K134*J134</f>
        <v/>
      </c>
      <c r="M134" s="33">
        <f>K134+L134</f>
        <v/>
      </c>
      <c r="N134" t="inlineStr">
        <is>
          <t>oews_title_catalog:oews_median</t>
        </is>
      </c>
    </row>
    <row r="135">
      <c r="A135" t="n">
        <v>10</v>
      </c>
      <c r="B135" t="inlineStr">
        <is>
          <t>supporting_staff</t>
        </is>
      </c>
      <c r="C135" t="inlineStr">
        <is>
          <t>Hosts and Hostesses, Restaurant, Lounge, and Coffee Shop</t>
        </is>
      </c>
      <c r="D135" t="inlineStr">
        <is>
          <t>Hosts and Hostesses, Restaurant, Lounge, and Coffee Shop</t>
        </is>
      </c>
      <c r="E135" s="29" t="n">
        <v>0.5</v>
      </c>
      <c r="F135" s="29" t="n">
        <v>0</v>
      </c>
      <c r="G135" s="30">
        <f>E135+F135</f>
        <v/>
      </c>
      <c r="H135" s="30">
        <f>(E135+G135)/2</f>
        <v/>
      </c>
      <c r="I135" s="31" t="n">
        <v>38180</v>
      </c>
      <c r="J135" s="32" t="n">
        <v>0.18</v>
      </c>
      <c r="K135" s="33">
        <f>H135*I135/4</f>
        <v/>
      </c>
      <c r="L135" s="33">
        <f>K135*J135</f>
        <v/>
      </c>
      <c r="M135" s="33">
        <f>K135+L135</f>
        <v/>
      </c>
      <c r="N135" t="inlineStr">
        <is>
          <t>oews_title_catalog:oews_median</t>
        </is>
      </c>
    </row>
    <row r="136">
      <c r="A136" t="n">
        <v>10</v>
      </c>
      <c r="B136" t="inlineStr">
        <is>
          <t>supporting_staff</t>
        </is>
      </c>
      <c r="C136" t="inlineStr">
        <is>
          <t>Waiters and Waitresses</t>
        </is>
      </c>
      <c r="D136" t="inlineStr">
        <is>
          <t>Waiters and Waitresses</t>
        </is>
      </c>
      <c r="E136" s="29" t="n">
        <v>3</v>
      </c>
      <c r="F136" s="29" t="n">
        <v>0</v>
      </c>
      <c r="G136" s="30">
        <f>E136+F136</f>
        <v/>
      </c>
      <c r="H136" s="30">
        <f>(E136+G136)/2</f>
        <v/>
      </c>
      <c r="I136" s="31" t="n">
        <v>42661</v>
      </c>
      <c r="J136" s="32" t="n">
        <v>0.18</v>
      </c>
      <c r="K136" s="33">
        <f>H136*I136/4</f>
        <v/>
      </c>
      <c r="L136" s="33">
        <f>K136*J136</f>
        <v/>
      </c>
      <c r="M136" s="33">
        <f>K136+L136</f>
        <v/>
      </c>
      <c r="N136" t="inlineStr">
        <is>
          <t>oews_title_catalog:oews_median</t>
        </is>
      </c>
    </row>
    <row r="137">
      <c r="A137" t="n">
        <v>11</v>
      </c>
      <c r="B137" t="inlineStr">
        <is>
          <t>supporting_staff</t>
        </is>
      </c>
      <c r="C137" t="inlineStr">
        <is>
          <t>Bartenders</t>
        </is>
      </c>
      <c r="D137" t="inlineStr">
        <is>
          <t>Bartenders</t>
        </is>
      </c>
      <c r="E137" s="29" t="n">
        <v>0.75</v>
      </c>
      <c r="F137" s="29" t="n">
        <v>0</v>
      </c>
      <c r="G137" s="30">
        <f>E137+F137</f>
        <v/>
      </c>
      <c r="H137" s="30">
        <f>(E137+G137)/2</f>
        <v/>
      </c>
      <c r="I137" s="31" t="n">
        <v>44367</v>
      </c>
      <c r="J137" s="32" t="n">
        <v>0.18</v>
      </c>
      <c r="K137" s="33">
        <f>H137*I137/4</f>
        <v/>
      </c>
      <c r="L137" s="33">
        <f>K137*J137</f>
        <v/>
      </c>
      <c r="M137" s="33">
        <f>K137+L137</f>
        <v/>
      </c>
      <c r="N137" t="inlineStr">
        <is>
          <t>oews_title_catalog:oews_median</t>
        </is>
      </c>
    </row>
    <row r="138">
      <c r="A138" t="n">
        <v>11</v>
      </c>
      <c r="B138" t="inlineStr">
        <is>
          <t>supporting_staff</t>
        </is>
      </c>
      <c r="C138" t="inlineStr">
        <is>
          <t>Cooks, Restaurant</t>
        </is>
      </c>
      <c r="D138" t="inlineStr">
        <is>
          <t>Cooks, Restaurant</t>
        </is>
      </c>
      <c r="E138" s="29" t="n">
        <v>2</v>
      </c>
      <c r="F138" s="29" t="n">
        <v>0</v>
      </c>
      <c r="G138" s="30">
        <f>E138+F138</f>
        <v/>
      </c>
      <c r="H138" s="30">
        <f>(E138+G138)/2</f>
        <v/>
      </c>
      <c r="I138" s="31" t="n">
        <v>46620</v>
      </c>
      <c r="J138" s="32" t="n">
        <v>0.18</v>
      </c>
      <c r="K138" s="33">
        <f>H138*I138/4</f>
        <v/>
      </c>
      <c r="L138" s="33">
        <f>K138*J138</f>
        <v/>
      </c>
      <c r="M138" s="33">
        <f>K138+L138</f>
        <v/>
      </c>
      <c r="N138" t="inlineStr">
        <is>
          <t>oews_title_catalog:oews_median</t>
        </is>
      </c>
    </row>
    <row r="139">
      <c r="A139" t="n">
        <v>11</v>
      </c>
      <c r="B139" t="inlineStr">
        <is>
          <t>supporting_staff</t>
        </is>
      </c>
      <c r="C139" t="inlineStr">
        <is>
          <t>Dishwashers</t>
        </is>
      </c>
      <c r="D139" t="inlineStr">
        <is>
          <t>Dishwashers</t>
        </is>
      </c>
      <c r="E139" s="29" t="n">
        <v>1</v>
      </c>
      <c r="F139" s="29" t="n">
        <v>0</v>
      </c>
      <c r="G139" s="30">
        <f>E139+F139</f>
        <v/>
      </c>
      <c r="H139" s="30">
        <f>(E139+G139)/2</f>
        <v/>
      </c>
      <c r="I139" s="31" t="n">
        <v>42304</v>
      </c>
      <c r="J139" s="32" t="n">
        <v>0.18</v>
      </c>
      <c r="K139" s="33">
        <f>H139*I139/4</f>
        <v/>
      </c>
      <c r="L139" s="33">
        <f>K139*J139</f>
        <v/>
      </c>
      <c r="M139" s="33">
        <f>K139+L139</f>
        <v/>
      </c>
      <c r="N139" t="inlineStr">
        <is>
          <t>oews_title_catalog:oews_median</t>
        </is>
      </c>
    </row>
    <row r="140">
      <c r="A140" t="n">
        <v>11</v>
      </c>
      <c r="B140" t="inlineStr">
        <is>
          <t>supporting_staff</t>
        </is>
      </c>
      <c r="C140" t="inlineStr">
        <is>
          <t>Hosts and Hostesses, Restaurant, Lounge, and Coffee Shop</t>
        </is>
      </c>
      <c r="D140" t="inlineStr">
        <is>
          <t>Hosts and Hostesses, Restaurant, Lounge, and Coffee Shop</t>
        </is>
      </c>
      <c r="E140" s="29" t="n">
        <v>0.5</v>
      </c>
      <c r="F140" s="29" t="n">
        <v>0</v>
      </c>
      <c r="G140" s="30">
        <f>E140+F140</f>
        <v/>
      </c>
      <c r="H140" s="30">
        <f>(E140+G140)/2</f>
        <v/>
      </c>
      <c r="I140" s="31" t="n">
        <v>38180</v>
      </c>
      <c r="J140" s="32" t="n">
        <v>0.18</v>
      </c>
      <c r="K140" s="33">
        <f>H140*I140/4</f>
        <v/>
      </c>
      <c r="L140" s="33">
        <f>K140*J140</f>
        <v/>
      </c>
      <c r="M140" s="33">
        <f>K140+L140</f>
        <v/>
      </c>
      <c r="N140" t="inlineStr">
        <is>
          <t>oews_title_catalog:oews_median</t>
        </is>
      </c>
    </row>
    <row r="141">
      <c r="A141" t="n">
        <v>11</v>
      </c>
      <c r="B141" t="inlineStr">
        <is>
          <t>supporting_staff</t>
        </is>
      </c>
      <c r="C141" t="inlineStr">
        <is>
          <t>Waiters and Waitresses</t>
        </is>
      </c>
      <c r="D141" t="inlineStr">
        <is>
          <t>Waiters and Waitresses</t>
        </is>
      </c>
      <c r="E141" s="29" t="n">
        <v>3</v>
      </c>
      <c r="F141" s="29" t="n">
        <v>0</v>
      </c>
      <c r="G141" s="30">
        <f>E141+F141</f>
        <v/>
      </c>
      <c r="H141" s="30">
        <f>(E141+G141)/2</f>
        <v/>
      </c>
      <c r="I141" s="31" t="n">
        <v>42661</v>
      </c>
      <c r="J141" s="32" t="n">
        <v>0.18</v>
      </c>
      <c r="K141" s="33">
        <f>H141*I141/4</f>
        <v/>
      </c>
      <c r="L141" s="33">
        <f>K141*J141</f>
        <v/>
      </c>
      <c r="M141" s="33">
        <f>K141+L141</f>
        <v/>
      </c>
      <c r="N141" t="inlineStr">
        <is>
          <t>oews_title_catalog:oews_median</t>
        </is>
      </c>
    </row>
    <row r="142">
      <c r="A142" t="n">
        <v>12</v>
      </c>
      <c r="B142" t="inlineStr">
        <is>
          <t>supporting_staff</t>
        </is>
      </c>
      <c r="C142" t="inlineStr">
        <is>
          <t>Bartenders</t>
        </is>
      </c>
      <c r="D142" t="inlineStr">
        <is>
          <t>Bartenders</t>
        </is>
      </c>
      <c r="E142" s="29" t="n">
        <v>0.75</v>
      </c>
      <c r="F142" s="29" t="n">
        <v>0</v>
      </c>
      <c r="G142" s="30">
        <f>E142+F142</f>
        <v/>
      </c>
      <c r="H142" s="30">
        <f>(E142+G142)/2</f>
        <v/>
      </c>
      <c r="I142" s="31" t="n">
        <v>44367</v>
      </c>
      <c r="J142" s="32" t="n">
        <v>0.18</v>
      </c>
      <c r="K142" s="33">
        <f>H142*I142/4</f>
        <v/>
      </c>
      <c r="L142" s="33">
        <f>K142*J142</f>
        <v/>
      </c>
      <c r="M142" s="33">
        <f>K142+L142</f>
        <v/>
      </c>
      <c r="N142" t="inlineStr">
        <is>
          <t>oews_title_catalog:oews_median</t>
        </is>
      </c>
    </row>
    <row r="143">
      <c r="A143" t="n">
        <v>12</v>
      </c>
      <c r="B143" t="inlineStr">
        <is>
          <t>supporting_staff</t>
        </is>
      </c>
      <c r="C143" t="inlineStr">
        <is>
          <t>Cooks, Restaurant</t>
        </is>
      </c>
      <c r="D143" t="inlineStr">
        <is>
          <t>Cooks, Restaurant</t>
        </is>
      </c>
      <c r="E143" s="29" t="n">
        <v>2</v>
      </c>
      <c r="F143" s="29" t="n">
        <v>0</v>
      </c>
      <c r="G143" s="30">
        <f>E143+F143</f>
        <v/>
      </c>
      <c r="H143" s="30">
        <f>(E143+G143)/2</f>
        <v/>
      </c>
      <c r="I143" s="31" t="n">
        <v>46620</v>
      </c>
      <c r="J143" s="32" t="n">
        <v>0.18</v>
      </c>
      <c r="K143" s="33">
        <f>H143*I143/4</f>
        <v/>
      </c>
      <c r="L143" s="33">
        <f>K143*J143</f>
        <v/>
      </c>
      <c r="M143" s="33">
        <f>K143+L143</f>
        <v/>
      </c>
      <c r="N143" t="inlineStr">
        <is>
          <t>oews_title_catalog:oews_median</t>
        </is>
      </c>
    </row>
    <row r="144">
      <c r="A144" t="n">
        <v>12</v>
      </c>
      <c r="B144" t="inlineStr">
        <is>
          <t>supporting_staff</t>
        </is>
      </c>
      <c r="C144" t="inlineStr">
        <is>
          <t>Dishwashers</t>
        </is>
      </c>
      <c r="D144" t="inlineStr">
        <is>
          <t>Dishwashers</t>
        </is>
      </c>
      <c r="E144" s="29" t="n">
        <v>1</v>
      </c>
      <c r="F144" s="29" t="n">
        <v>0</v>
      </c>
      <c r="G144" s="30">
        <f>E144+F144</f>
        <v/>
      </c>
      <c r="H144" s="30">
        <f>(E144+G144)/2</f>
        <v/>
      </c>
      <c r="I144" s="31" t="n">
        <v>42304</v>
      </c>
      <c r="J144" s="32" t="n">
        <v>0.18</v>
      </c>
      <c r="K144" s="33">
        <f>H144*I144/4</f>
        <v/>
      </c>
      <c r="L144" s="33">
        <f>K144*J144</f>
        <v/>
      </c>
      <c r="M144" s="33">
        <f>K144+L144</f>
        <v/>
      </c>
      <c r="N144" t="inlineStr">
        <is>
          <t>oews_title_catalog:oews_median</t>
        </is>
      </c>
    </row>
    <row r="145">
      <c r="A145" t="n">
        <v>12</v>
      </c>
      <c r="B145" t="inlineStr">
        <is>
          <t>supporting_staff</t>
        </is>
      </c>
      <c r="C145" t="inlineStr">
        <is>
          <t>Hosts and Hostesses, Restaurant, Lounge, and Coffee Shop</t>
        </is>
      </c>
      <c r="D145" t="inlineStr">
        <is>
          <t>Hosts and Hostesses, Restaurant, Lounge, and Coffee Shop</t>
        </is>
      </c>
      <c r="E145" s="29" t="n">
        <v>0.5</v>
      </c>
      <c r="F145" s="29" t="n">
        <v>0</v>
      </c>
      <c r="G145" s="30">
        <f>E145+F145</f>
        <v/>
      </c>
      <c r="H145" s="30">
        <f>(E145+G145)/2</f>
        <v/>
      </c>
      <c r="I145" s="31" t="n">
        <v>38180</v>
      </c>
      <c r="J145" s="32" t="n">
        <v>0.18</v>
      </c>
      <c r="K145" s="33">
        <f>H145*I145/4</f>
        <v/>
      </c>
      <c r="L145" s="33">
        <f>K145*J145</f>
        <v/>
      </c>
      <c r="M145" s="33">
        <f>K145+L145</f>
        <v/>
      </c>
      <c r="N145" t="inlineStr">
        <is>
          <t>oews_title_catalog:oews_median</t>
        </is>
      </c>
    </row>
    <row r="146">
      <c r="A146" t="n">
        <v>12</v>
      </c>
      <c r="B146" t="inlineStr">
        <is>
          <t>supporting_staff</t>
        </is>
      </c>
      <c r="C146" t="inlineStr">
        <is>
          <t>Waiters and Waitresses</t>
        </is>
      </c>
      <c r="D146" t="inlineStr">
        <is>
          <t>Waiters and Waitresses</t>
        </is>
      </c>
      <c r="E146" s="29" t="n">
        <v>3</v>
      </c>
      <c r="F146" s="29" t="n">
        <v>0</v>
      </c>
      <c r="G146" s="30">
        <f>E146+F146</f>
        <v/>
      </c>
      <c r="H146" s="30">
        <f>(E146+G146)/2</f>
        <v/>
      </c>
      <c r="I146" s="31" t="n">
        <v>42661</v>
      </c>
      <c r="J146" s="32" t="n">
        <v>0.18</v>
      </c>
      <c r="K146" s="33">
        <f>H146*I146/4</f>
        <v/>
      </c>
      <c r="L146" s="33">
        <f>K146*J146</f>
        <v/>
      </c>
      <c r="M146" s="33">
        <f>K146+L146</f>
        <v/>
      </c>
      <c r="N146" t="inlineStr">
        <is>
          <t>oews_title_catalog:oews_median</t>
        </is>
      </c>
    </row>
    <row r="147">
      <c r="A147" t="n">
        <v>13</v>
      </c>
      <c r="B147" t="inlineStr">
        <is>
          <t>supporting_staff</t>
        </is>
      </c>
      <c r="C147" t="inlineStr">
        <is>
          <t>Bartenders</t>
        </is>
      </c>
      <c r="D147" t="inlineStr">
        <is>
          <t>Bartenders</t>
        </is>
      </c>
      <c r="E147" s="29" t="n">
        <v>0.75</v>
      </c>
      <c r="F147" s="29" t="n">
        <v>0</v>
      </c>
      <c r="G147" s="30">
        <f>E147+F147</f>
        <v/>
      </c>
      <c r="H147" s="30">
        <f>(E147+G147)/2</f>
        <v/>
      </c>
      <c r="I147" s="31" t="n">
        <v>45698</v>
      </c>
      <c r="J147" s="32" t="n">
        <v>0.18</v>
      </c>
      <c r="K147" s="33">
        <f>H147*I147/4</f>
        <v/>
      </c>
      <c r="L147" s="33">
        <f>K147*J147</f>
        <v/>
      </c>
      <c r="M147" s="33">
        <f>K147+L147</f>
        <v/>
      </c>
      <c r="N147" t="inlineStr">
        <is>
          <t>oews_title_catalog:oews_median</t>
        </is>
      </c>
    </row>
    <row r="148">
      <c r="A148" t="n">
        <v>13</v>
      </c>
      <c r="B148" t="inlineStr">
        <is>
          <t>supporting_staff</t>
        </is>
      </c>
      <c r="C148" t="inlineStr">
        <is>
          <t>Cooks, Restaurant</t>
        </is>
      </c>
      <c r="D148" t="inlineStr">
        <is>
          <t>Cooks, Restaurant</t>
        </is>
      </c>
      <c r="E148" s="29" t="n">
        <v>2</v>
      </c>
      <c r="F148" s="29" t="n">
        <v>0</v>
      </c>
      <c r="G148" s="30">
        <f>E148+F148</f>
        <v/>
      </c>
      <c r="H148" s="30">
        <f>(E148+G148)/2</f>
        <v/>
      </c>
      <c r="I148" s="31" t="n">
        <v>48019</v>
      </c>
      <c r="J148" s="32" t="n">
        <v>0.18</v>
      </c>
      <c r="K148" s="33">
        <f>H148*I148/4</f>
        <v/>
      </c>
      <c r="L148" s="33">
        <f>K148*J148</f>
        <v/>
      </c>
      <c r="M148" s="33">
        <f>K148+L148</f>
        <v/>
      </c>
      <c r="N148" t="inlineStr">
        <is>
          <t>oews_title_catalog:oews_median</t>
        </is>
      </c>
    </row>
    <row r="149">
      <c r="A149" t="n">
        <v>13</v>
      </c>
      <c r="B149" t="inlineStr">
        <is>
          <t>supporting_staff</t>
        </is>
      </c>
      <c r="C149" t="inlineStr">
        <is>
          <t>Dishwashers</t>
        </is>
      </c>
      <c r="D149" t="inlineStr">
        <is>
          <t>Dishwashers</t>
        </is>
      </c>
      <c r="E149" s="29" t="n">
        <v>1</v>
      </c>
      <c r="F149" s="29" t="n">
        <v>0</v>
      </c>
      <c r="G149" s="30">
        <f>E149+F149</f>
        <v/>
      </c>
      <c r="H149" s="30">
        <f>(E149+G149)/2</f>
        <v/>
      </c>
      <c r="I149" s="31" t="n">
        <v>43574</v>
      </c>
      <c r="J149" s="32" t="n">
        <v>0.18</v>
      </c>
      <c r="K149" s="33">
        <f>H149*I149/4</f>
        <v/>
      </c>
      <c r="L149" s="33">
        <f>K149*J149</f>
        <v/>
      </c>
      <c r="M149" s="33">
        <f>K149+L149</f>
        <v/>
      </c>
      <c r="N149" t="inlineStr">
        <is>
          <t>oews_title_catalog:oews_median</t>
        </is>
      </c>
    </row>
    <row r="150">
      <c r="A150" t="n">
        <v>13</v>
      </c>
      <c r="B150" t="inlineStr">
        <is>
          <t>supporting_staff</t>
        </is>
      </c>
      <c r="C150" t="inlineStr">
        <is>
          <t>Hosts and Hostesses, Restaurant, Lounge, and Coffee Shop</t>
        </is>
      </c>
      <c r="D150" t="inlineStr">
        <is>
          <t>Hosts and Hostesses, Restaurant, Lounge, and Coffee Shop</t>
        </is>
      </c>
      <c r="E150" s="29" t="n">
        <v>0.5</v>
      </c>
      <c r="F150" s="29" t="n">
        <v>0</v>
      </c>
      <c r="G150" s="30">
        <f>E150+F150</f>
        <v/>
      </c>
      <c r="H150" s="30">
        <f>(E150+G150)/2</f>
        <v/>
      </c>
      <c r="I150" s="31" t="n">
        <v>39325</v>
      </c>
      <c r="J150" s="32" t="n">
        <v>0.18</v>
      </c>
      <c r="K150" s="33">
        <f>H150*I150/4</f>
        <v/>
      </c>
      <c r="L150" s="33">
        <f>K150*J150</f>
        <v/>
      </c>
      <c r="M150" s="33">
        <f>K150+L150</f>
        <v/>
      </c>
      <c r="N150" t="inlineStr">
        <is>
          <t>oews_title_catalog:oews_median</t>
        </is>
      </c>
    </row>
    <row r="151">
      <c r="A151" t="n">
        <v>13</v>
      </c>
      <c r="B151" t="inlineStr">
        <is>
          <t>supporting_staff</t>
        </is>
      </c>
      <c r="C151" t="inlineStr">
        <is>
          <t>Waiters and Waitresses</t>
        </is>
      </c>
      <c r="D151" t="inlineStr">
        <is>
          <t>Waiters and Waitresses</t>
        </is>
      </c>
      <c r="E151" s="29" t="n">
        <v>3</v>
      </c>
      <c r="F151" s="29" t="n">
        <v>0</v>
      </c>
      <c r="G151" s="30">
        <f>E151+F151</f>
        <v/>
      </c>
      <c r="H151" s="30">
        <f>(E151+G151)/2</f>
        <v/>
      </c>
      <c r="I151" s="31" t="n">
        <v>43941</v>
      </c>
      <c r="J151" s="32" t="n">
        <v>0.18</v>
      </c>
      <c r="K151" s="33">
        <f>H151*I151/4</f>
        <v/>
      </c>
      <c r="L151" s="33">
        <f>K151*J151</f>
        <v/>
      </c>
      <c r="M151" s="33">
        <f>K151+L151</f>
        <v/>
      </c>
      <c r="N151" t="inlineStr">
        <is>
          <t>oews_title_catalog:oews_median</t>
        </is>
      </c>
    </row>
    <row r="152">
      <c r="A152" t="n">
        <v>14</v>
      </c>
      <c r="B152" t="inlineStr">
        <is>
          <t>supporting_staff</t>
        </is>
      </c>
      <c r="C152" t="inlineStr">
        <is>
          <t>Bartenders</t>
        </is>
      </c>
      <c r="D152" t="inlineStr">
        <is>
          <t>Bartenders</t>
        </is>
      </c>
      <c r="E152" s="29" t="n">
        <v>0.75</v>
      </c>
      <c r="F152" s="29" t="n">
        <v>0</v>
      </c>
      <c r="G152" s="30">
        <f>E152+F152</f>
        <v/>
      </c>
      <c r="H152" s="30">
        <f>(E152+G152)/2</f>
        <v/>
      </c>
      <c r="I152" s="31" t="n">
        <v>45698</v>
      </c>
      <c r="J152" s="32" t="n">
        <v>0.18</v>
      </c>
      <c r="K152" s="33">
        <f>H152*I152/4</f>
        <v/>
      </c>
      <c r="L152" s="33">
        <f>K152*J152</f>
        <v/>
      </c>
      <c r="M152" s="33">
        <f>K152+L152</f>
        <v/>
      </c>
      <c r="N152" t="inlineStr">
        <is>
          <t>oews_title_catalog:oews_median</t>
        </is>
      </c>
    </row>
    <row r="153">
      <c r="A153" t="n">
        <v>14</v>
      </c>
      <c r="B153" t="inlineStr">
        <is>
          <t>supporting_staff</t>
        </is>
      </c>
      <c r="C153" t="inlineStr">
        <is>
          <t>Cooks, Restaurant</t>
        </is>
      </c>
      <c r="D153" t="inlineStr">
        <is>
          <t>Cooks, Restaurant</t>
        </is>
      </c>
      <c r="E153" s="29" t="n">
        <v>2</v>
      </c>
      <c r="F153" s="29" t="n">
        <v>0</v>
      </c>
      <c r="G153" s="30">
        <f>E153+F153</f>
        <v/>
      </c>
      <c r="H153" s="30">
        <f>(E153+G153)/2</f>
        <v/>
      </c>
      <c r="I153" s="31" t="n">
        <v>48019</v>
      </c>
      <c r="J153" s="32" t="n">
        <v>0.18</v>
      </c>
      <c r="K153" s="33">
        <f>H153*I153/4</f>
        <v/>
      </c>
      <c r="L153" s="33">
        <f>K153*J153</f>
        <v/>
      </c>
      <c r="M153" s="33">
        <f>K153+L153</f>
        <v/>
      </c>
      <c r="N153" t="inlineStr">
        <is>
          <t>oews_title_catalog:oews_median</t>
        </is>
      </c>
    </row>
    <row r="154">
      <c r="A154" t="n">
        <v>14</v>
      </c>
      <c r="B154" t="inlineStr">
        <is>
          <t>supporting_staff</t>
        </is>
      </c>
      <c r="C154" t="inlineStr">
        <is>
          <t>Dishwashers</t>
        </is>
      </c>
      <c r="D154" t="inlineStr">
        <is>
          <t>Dishwashers</t>
        </is>
      </c>
      <c r="E154" s="29" t="n">
        <v>1</v>
      </c>
      <c r="F154" s="29" t="n">
        <v>0</v>
      </c>
      <c r="G154" s="30">
        <f>E154+F154</f>
        <v/>
      </c>
      <c r="H154" s="30">
        <f>(E154+G154)/2</f>
        <v/>
      </c>
      <c r="I154" s="31" t="n">
        <v>43574</v>
      </c>
      <c r="J154" s="32" t="n">
        <v>0.18</v>
      </c>
      <c r="K154" s="33">
        <f>H154*I154/4</f>
        <v/>
      </c>
      <c r="L154" s="33">
        <f>K154*J154</f>
        <v/>
      </c>
      <c r="M154" s="33">
        <f>K154+L154</f>
        <v/>
      </c>
      <c r="N154" t="inlineStr">
        <is>
          <t>oews_title_catalog:oews_median</t>
        </is>
      </c>
    </row>
    <row r="155">
      <c r="A155" t="n">
        <v>14</v>
      </c>
      <c r="B155" t="inlineStr">
        <is>
          <t>supporting_staff</t>
        </is>
      </c>
      <c r="C155" t="inlineStr">
        <is>
          <t>Hosts and Hostesses, Restaurant, Lounge, and Coffee Shop</t>
        </is>
      </c>
      <c r="D155" t="inlineStr">
        <is>
          <t>Hosts and Hostesses, Restaurant, Lounge, and Coffee Shop</t>
        </is>
      </c>
      <c r="E155" s="29" t="n">
        <v>0.5</v>
      </c>
      <c r="F155" s="29" t="n">
        <v>0</v>
      </c>
      <c r="G155" s="30">
        <f>E155+F155</f>
        <v/>
      </c>
      <c r="H155" s="30">
        <f>(E155+G155)/2</f>
        <v/>
      </c>
      <c r="I155" s="31" t="n">
        <v>39325</v>
      </c>
      <c r="J155" s="32" t="n">
        <v>0.18</v>
      </c>
      <c r="K155" s="33">
        <f>H155*I155/4</f>
        <v/>
      </c>
      <c r="L155" s="33">
        <f>K155*J155</f>
        <v/>
      </c>
      <c r="M155" s="33">
        <f>K155+L155</f>
        <v/>
      </c>
      <c r="N155" t="inlineStr">
        <is>
          <t>oews_title_catalog:oews_median</t>
        </is>
      </c>
    </row>
    <row r="156">
      <c r="A156" t="n">
        <v>14</v>
      </c>
      <c r="B156" t="inlineStr">
        <is>
          <t>supporting_staff</t>
        </is>
      </c>
      <c r="C156" t="inlineStr">
        <is>
          <t>Waiters and Waitresses</t>
        </is>
      </c>
      <c r="D156" t="inlineStr">
        <is>
          <t>Waiters and Waitresses</t>
        </is>
      </c>
      <c r="E156" s="29" t="n">
        <v>3</v>
      </c>
      <c r="F156" s="29" t="n">
        <v>0</v>
      </c>
      <c r="G156" s="30">
        <f>E156+F156</f>
        <v/>
      </c>
      <c r="H156" s="30">
        <f>(E156+G156)/2</f>
        <v/>
      </c>
      <c r="I156" s="31" t="n">
        <v>43941</v>
      </c>
      <c r="J156" s="32" t="n">
        <v>0.18</v>
      </c>
      <c r="K156" s="33">
        <f>H156*I156/4</f>
        <v/>
      </c>
      <c r="L156" s="33">
        <f>K156*J156</f>
        <v/>
      </c>
      <c r="M156" s="33">
        <f>K156+L156</f>
        <v/>
      </c>
      <c r="N156" t="inlineStr">
        <is>
          <t>oews_title_catalog:oews_median</t>
        </is>
      </c>
    </row>
    <row r="157">
      <c r="A157" t="n">
        <v>15</v>
      </c>
      <c r="B157" t="inlineStr">
        <is>
          <t>supporting_staff</t>
        </is>
      </c>
      <c r="C157" t="inlineStr">
        <is>
          <t>Bartenders</t>
        </is>
      </c>
      <c r="D157" t="inlineStr">
        <is>
          <t>Bartenders</t>
        </is>
      </c>
      <c r="E157" s="29" t="n">
        <v>0.75</v>
      </c>
      <c r="F157" s="29" t="n">
        <v>0</v>
      </c>
      <c r="G157" s="30">
        <f>E157+F157</f>
        <v/>
      </c>
      <c r="H157" s="30">
        <f>(E157+G157)/2</f>
        <v/>
      </c>
      <c r="I157" s="31" t="n">
        <v>45698</v>
      </c>
      <c r="J157" s="32" t="n">
        <v>0.18</v>
      </c>
      <c r="K157" s="33">
        <f>H157*I157/4</f>
        <v/>
      </c>
      <c r="L157" s="33">
        <f>K157*J157</f>
        <v/>
      </c>
      <c r="M157" s="33">
        <f>K157+L157</f>
        <v/>
      </c>
      <c r="N157" t="inlineStr">
        <is>
          <t>oews_title_catalog:oews_median</t>
        </is>
      </c>
    </row>
    <row r="158">
      <c r="A158" t="n">
        <v>15</v>
      </c>
      <c r="B158" t="inlineStr">
        <is>
          <t>supporting_staff</t>
        </is>
      </c>
      <c r="C158" t="inlineStr">
        <is>
          <t>Cooks, Restaurant</t>
        </is>
      </c>
      <c r="D158" t="inlineStr">
        <is>
          <t>Cooks, Restaurant</t>
        </is>
      </c>
      <c r="E158" s="29" t="n">
        <v>2</v>
      </c>
      <c r="F158" s="29" t="n">
        <v>0</v>
      </c>
      <c r="G158" s="30">
        <f>E158+F158</f>
        <v/>
      </c>
      <c r="H158" s="30">
        <f>(E158+G158)/2</f>
        <v/>
      </c>
      <c r="I158" s="31" t="n">
        <v>48019</v>
      </c>
      <c r="J158" s="32" t="n">
        <v>0.18</v>
      </c>
      <c r="K158" s="33">
        <f>H158*I158/4</f>
        <v/>
      </c>
      <c r="L158" s="33">
        <f>K158*J158</f>
        <v/>
      </c>
      <c r="M158" s="33">
        <f>K158+L158</f>
        <v/>
      </c>
      <c r="N158" t="inlineStr">
        <is>
          <t>oews_title_catalog:oews_median</t>
        </is>
      </c>
    </row>
    <row r="159">
      <c r="A159" t="n">
        <v>15</v>
      </c>
      <c r="B159" t="inlineStr">
        <is>
          <t>supporting_staff</t>
        </is>
      </c>
      <c r="C159" t="inlineStr">
        <is>
          <t>Dishwashers</t>
        </is>
      </c>
      <c r="D159" t="inlineStr">
        <is>
          <t>Dishwashers</t>
        </is>
      </c>
      <c r="E159" s="29" t="n">
        <v>1</v>
      </c>
      <c r="F159" s="29" t="n">
        <v>0</v>
      </c>
      <c r="G159" s="30">
        <f>E159+F159</f>
        <v/>
      </c>
      <c r="H159" s="30">
        <f>(E159+G159)/2</f>
        <v/>
      </c>
      <c r="I159" s="31" t="n">
        <v>43574</v>
      </c>
      <c r="J159" s="32" t="n">
        <v>0.18</v>
      </c>
      <c r="K159" s="33">
        <f>H159*I159/4</f>
        <v/>
      </c>
      <c r="L159" s="33">
        <f>K159*J159</f>
        <v/>
      </c>
      <c r="M159" s="33">
        <f>K159+L159</f>
        <v/>
      </c>
      <c r="N159" t="inlineStr">
        <is>
          <t>oews_title_catalog:oews_median</t>
        </is>
      </c>
    </row>
    <row r="160">
      <c r="A160" t="n">
        <v>15</v>
      </c>
      <c r="B160" t="inlineStr">
        <is>
          <t>supporting_staff</t>
        </is>
      </c>
      <c r="C160" t="inlineStr">
        <is>
          <t>Hosts and Hostesses, Restaurant, Lounge, and Coffee Shop</t>
        </is>
      </c>
      <c r="D160" t="inlineStr">
        <is>
          <t>Hosts and Hostesses, Restaurant, Lounge, and Coffee Shop</t>
        </is>
      </c>
      <c r="E160" s="29" t="n">
        <v>0.5</v>
      </c>
      <c r="F160" s="29" t="n">
        <v>0</v>
      </c>
      <c r="G160" s="30">
        <f>E160+F160</f>
        <v/>
      </c>
      <c r="H160" s="30">
        <f>(E160+G160)/2</f>
        <v/>
      </c>
      <c r="I160" s="31" t="n">
        <v>39325</v>
      </c>
      <c r="J160" s="32" t="n">
        <v>0.18</v>
      </c>
      <c r="K160" s="33">
        <f>H160*I160/4</f>
        <v/>
      </c>
      <c r="L160" s="33">
        <f>K160*J160</f>
        <v/>
      </c>
      <c r="M160" s="33">
        <f>K160+L160</f>
        <v/>
      </c>
      <c r="N160" t="inlineStr">
        <is>
          <t>oews_title_catalog:oews_median</t>
        </is>
      </c>
    </row>
    <row r="161">
      <c r="A161" t="n">
        <v>15</v>
      </c>
      <c r="B161" t="inlineStr">
        <is>
          <t>supporting_staff</t>
        </is>
      </c>
      <c r="C161" t="inlineStr">
        <is>
          <t>Waiters and Waitresses</t>
        </is>
      </c>
      <c r="D161" t="inlineStr">
        <is>
          <t>Waiters and Waitresses</t>
        </is>
      </c>
      <c r="E161" s="29" t="n">
        <v>3</v>
      </c>
      <c r="F161" s="29" t="n">
        <v>0</v>
      </c>
      <c r="G161" s="30">
        <f>E161+F161</f>
        <v/>
      </c>
      <c r="H161" s="30">
        <f>(E161+G161)/2</f>
        <v/>
      </c>
      <c r="I161" s="31" t="n">
        <v>43941</v>
      </c>
      <c r="J161" s="32" t="n">
        <v>0.18</v>
      </c>
      <c r="K161" s="33">
        <f>H161*I161/4</f>
        <v/>
      </c>
      <c r="L161" s="33">
        <f>K161*J161</f>
        <v/>
      </c>
      <c r="M161" s="33">
        <f>K161+L161</f>
        <v/>
      </c>
      <c r="N161" t="inlineStr">
        <is>
          <t>oews_title_catalog:oews_median</t>
        </is>
      </c>
    </row>
    <row r="162">
      <c r="A162" t="n">
        <v>16</v>
      </c>
      <c r="B162" t="inlineStr">
        <is>
          <t>supporting_staff</t>
        </is>
      </c>
      <c r="C162" t="inlineStr">
        <is>
          <t>Bartenders</t>
        </is>
      </c>
      <c r="D162" t="inlineStr">
        <is>
          <t>Bartenders</t>
        </is>
      </c>
      <c r="E162" s="29" t="n">
        <v>0.75</v>
      </c>
      <c r="F162" s="29" t="n">
        <v>0</v>
      </c>
      <c r="G162" s="30">
        <f>E162+F162</f>
        <v/>
      </c>
      <c r="H162" s="30">
        <f>(E162+G162)/2</f>
        <v/>
      </c>
      <c r="I162" s="31" t="n">
        <v>45698</v>
      </c>
      <c r="J162" s="32" t="n">
        <v>0.18</v>
      </c>
      <c r="K162" s="33">
        <f>H162*I162/4</f>
        <v/>
      </c>
      <c r="L162" s="33">
        <f>K162*J162</f>
        <v/>
      </c>
      <c r="M162" s="33">
        <f>K162+L162</f>
        <v/>
      </c>
      <c r="N162" t="inlineStr">
        <is>
          <t>oews_title_catalog:oews_median</t>
        </is>
      </c>
    </row>
    <row r="163">
      <c r="A163" t="n">
        <v>16</v>
      </c>
      <c r="B163" t="inlineStr">
        <is>
          <t>supporting_staff</t>
        </is>
      </c>
      <c r="C163" t="inlineStr">
        <is>
          <t>Cooks, Restaurant</t>
        </is>
      </c>
      <c r="D163" t="inlineStr">
        <is>
          <t>Cooks, Restaurant</t>
        </is>
      </c>
      <c r="E163" s="29" t="n">
        <v>2</v>
      </c>
      <c r="F163" s="29" t="n">
        <v>0</v>
      </c>
      <c r="G163" s="30">
        <f>E163+F163</f>
        <v/>
      </c>
      <c r="H163" s="30">
        <f>(E163+G163)/2</f>
        <v/>
      </c>
      <c r="I163" s="31" t="n">
        <v>48019</v>
      </c>
      <c r="J163" s="32" t="n">
        <v>0.18</v>
      </c>
      <c r="K163" s="33">
        <f>H163*I163/4</f>
        <v/>
      </c>
      <c r="L163" s="33">
        <f>K163*J163</f>
        <v/>
      </c>
      <c r="M163" s="33">
        <f>K163+L163</f>
        <v/>
      </c>
      <c r="N163" t="inlineStr">
        <is>
          <t>oews_title_catalog:oews_median</t>
        </is>
      </c>
    </row>
    <row r="164">
      <c r="A164" t="n">
        <v>16</v>
      </c>
      <c r="B164" t="inlineStr">
        <is>
          <t>supporting_staff</t>
        </is>
      </c>
      <c r="C164" t="inlineStr">
        <is>
          <t>Dishwashers</t>
        </is>
      </c>
      <c r="D164" t="inlineStr">
        <is>
          <t>Dishwashers</t>
        </is>
      </c>
      <c r="E164" s="29" t="n">
        <v>1</v>
      </c>
      <c r="F164" s="29" t="n">
        <v>0</v>
      </c>
      <c r="G164" s="30">
        <f>E164+F164</f>
        <v/>
      </c>
      <c r="H164" s="30">
        <f>(E164+G164)/2</f>
        <v/>
      </c>
      <c r="I164" s="31" t="n">
        <v>43574</v>
      </c>
      <c r="J164" s="32" t="n">
        <v>0.18</v>
      </c>
      <c r="K164" s="33">
        <f>H164*I164/4</f>
        <v/>
      </c>
      <c r="L164" s="33">
        <f>K164*J164</f>
        <v/>
      </c>
      <c r="M164" s="33">
        <f>K164+L164</f>
        <v/>
      </c>
      <c r="N164" t="inlineStr">
        <is>
          <t>oews_title_catalog:oews_median</t>
        </is>
      </c>
    </row>
    <row r="165">
      <c r="A165" t="n">
        <v>16</v>
      </c>
      <c r="B165" t="inlineStr">
        <is>
          <t>supporting_staff</t>
        </is>
      </c>
      <c r="C165" t="inlineStr">
        <is>
          <t>Hosts and Hostesses, Restaurant, Lounge, and Coffee Shop</t>
        </is>
      </c>
      <c r="D165" t="inlineStr">
        <is>
          <t>Hosts and Hostesses, Restaurant, Lounge, and Coffee Shop</t>
        </is>
      </c>
      <c r="E165" s="29" t="n">
        <v>0.5</v>
      </c>
      <c r="F165" s="29" t="n">
        <v>0</v>
      </c>
      <c r="G165" s="30">
        <f>E165+F165</f>
        <v/>
      </c>
      <c r="H165" s="30">
        <f>(E165+G165)/2</f>
        <v/>
      </c>
      <c r="I165" s="31" t="n">
        <v>39325</v>
      </c>
      <c r="J165" s="32" t="n">
        <v>0.18</v>
      </c>
      <c r="K165" s="33">
        <f>H165*I165/4</f>
        <v/>
      </c>
      <c r="L165" s="33">
        <f>K165*J165</f>
        <v/>
      </c>
      <c r="M165" s="33">
        <f>K165+L165</f>
        <v/>
      </c>
      <c r="N165" t="inlineStr">
        <is>
          <t>oews_title_catalog:oews_median</t>
        </is>
      </c>
    </row>
    <row r="166">
      <c r="A166" t="n">
        <v>16</v>
      </c>
      <c r="B166" t="inlineStr">
        <is>
          <t>supporting_staff</t>
        </is>
      </c>
      <c r="C166" t="inlineStr">
        <is>
          <t>Waiters and Waitresses</t>
        </is>
      </c>
      <c r="D166" t="inlineStr">
        <is>
          <t>Waiters and Waitresses</t>
        </is>
      </c>
      <c r="E166" s="29" t="n">
        <v>3</v>
      </c>
      <c r="F166" s="29" t="n">
        <v>0</v>
      </c>
      <c r="G166" s="30">
        <f>E166+F166</f>
        <v/>
      </c>
      <c r="H166" s="30">
        <f>(E166+G166)/2</f>
        <v/>
      </c>
      <c r="I166" s="31" t="n">
        <v>43941</v>
      </c>
      <c r="J166" s="32" t="n">
        <v>0.18</v>
      </c>
      <c r="K166" s="33">
        <f>H166*I166/4</f>
        <v/>
      </c>
      <c r="L166" s="33">
        <f>K166*J166</f>
        <v/>
      </c>
      <c r="M166" s="33">
        <f>K166+L166</f>
        <v/>
      </c>
      <c r="N166" t="inlineStr">
        <is>
          <t>oews_title_catalog:oews_median</t>
        </is>
      </c>
    </row>
    <row r="167">
      <c r="A167" t="n">
        <v>17</v>
      </c>
      <c r="B167" t="inlineStr">
        <is>
          <t>supporting_staff</t>
        </is>
      </c>
      <c r="C167" t="inlineStr">
        <is>
          <t>Bartenders</t>
        </is>
      </c>
      <c r="D167" t="inlineStr">
        <is>
          <t>Bartenders</t>
        </is>
      </c>
      <c r="E167" s="29" t="n">
        <v>0.75</v>
      </c>
      <c r="F167" s="29" t="n">
        <v>0</v>
      </c>
      <c r="G167" s="30">
        <f>E167+F167</f>
        <v/>
      </c>
      <c r="H167" s="30">
        <f>(E167+G167)/2</f>
        <v/>
      </c>
      <c r="I167" s="31" t="n">
        <v>47069</v>
      </c>
      <c r="J167" s="32" t="n">
        <v>0.18</v>
      </c>
      <c r="K167" s="33">
        <f>H167*I167/4</f>
        <v/>
      </c>
      <c r="L167" s="33">
        <f>K167*J167</f>
        <v/>
      </c>
      <c r="M167" s="33">
        <f>K167+L167</f>
        <v/>
      </c>
      <c r="N167" t="inlineStr">
        <is>
          <t>oews_title_catalog:oews_median</t>
        </is>
      </c>
    </row>
    <row r="168">
      <c r="A168" t="n">
        <v>17</v>
      </c>
      <c r="B168" t="inlineStr">
        <is>
          <t>supporting_staff</t>
        </is>
      </c>
      <c r="C168" t="inlineStr">
        <is>
          <t>Cooks, Restaurant</t>
        </is>
      </c>
      <c r="D168" t="inlineStr">
        <is>
          <t>Cooks, Restaurant</t>
        </is>
      </c>
      <c r="E168" s="29" t="n">
        <v>2</v>
      </c>
      <c r="F168" s="29" t="n">
        <v>0</v>
      </c>
      <c r="G168" s="30">
        <f>E168+F168</f>
        <v/>
      </c>
      <c r="H168" s="30">
        <f>(E168+G168)/2</f>
        <v/>
      </c>
      <c r="I168" s="31" t="n">
        <v>49459</v>
      </c>
      <c r="J168" s="32" t="n">
        <v>0.18</v>
      </c>
      <c r="K168" s="33">
        <f>H168*I168/4</f>
        <v/>
      </c>
      <c r="L168" s="33">
        <f>K168*J168</f>
        <v/>
      </c>
      <c r="M168" s="33">
        <f>K168+L168</f>
        <v/>
      </c>
      <c r="N168" t="inlineStr">
        <is>
          <t>oews_title_catalog:oews_median</t>
        </is>
      </c>
    </row>
    <row r="169">
      <c r="A169" t="n">
        <v>17</v>
      </c>
      <c r="B169" t="inlineStr">
        <is>
          <t>supporting_staff</t>
        </is>
      </c>
      <c r="C169" t="inlineStr">
        <is>
          <t>Dishwashers</t>
        </is>
      </c>
      <c r="D169" t="inlineStr">
        <is>
          <t>Dishwashers</t>
        </is>
      </c>
      <c r="E169" s="29" t="n">
        <v>1</v>
      </c>
      <c r="F169" s="29" t="n">
        <v>0</v>
      </c>
      <c r="G169" s="30">
        <f>E169+F169</f>
        <v/>
      </c>
      <c r="H169" s="30">
        <f>(E169+G169)/2</f>
        <v/>
      </c>
      <c r="I169" s="31" t="n">
        <v>44881</v>
      </c>
      <c r="J169" s="32" t="n">
        <v>0.18</v>
      </c>
      <c r="K169" s="33">
        <f>H169*I169/4</f>
        <v/>
      </c>
      <c r="L169" s="33">
        <f>K169*J169</f>
        <v/>
      </c>
      <c r="M169" s="33">
        <f>K169+L169</f>
        <v/>
      </c>
      <c r="N169" t="inlineStr">
        <is>
          <t>oews_title_catalog:oews_median</t>
        </is>
      </c>
    </row>
    <row r="170">
      <c r="A170" t="n">
        <v>17</v>
      </c>
      <c r="B170" t="inlineStr">
        <is>
          <t>supporting_staff</t>
        </is>
      </c>
      <c r="C170" t="inlineStr">
        <is>
          <t>Hosts and Hostesses, Restaurant, Lounge, and Coffee Shop</t>
        </is>
      </c>
      <c r="D170" t="inlineStr">
        <is>
          <t>Hosts and Hostesses, Restaurant, Lounge, and Coffee Shop</t>
        </is>
      </c>
      <c r="E170" s="29" t="n">
        <v>0.5</v>
      </c>
      <c r="F170" s="29" t="n">
        <v>0</v>
      </c>
      <c r="G170" s="30">
        <f>E170+F170</f>
        <v/>
      </c>
      <c r="H170" s="30">
        <f>(E170+G170)/2</f>
        <v/>
      </c>
      <c r="I170" s="31" t="n">
        <v>40505</v>
      </c>
      <c r="J170" s="32" t="n">
        <v>0.18</v>
      </c>
      <c r="K170" s="33">
        <f>H170*I170/4</f>
        <v/>
      </c>
      <c r="L170" s="33">
        <f>K170*J170</f>
        <v/>
      </c>
      <c r="M170" s="33">
        <f>K170+L170</f>
        <v/>
      </c>
      <c r="N170" t="inlineStr">
        <is>
          <t>oews_title_catalog:oews_median</t>
        </is>
      </c>
    </row>
    <row r="171">
      <c r="A171" t="n">
        <v>17</v>
      </c>
      <c r="B171" t="inlineStr">
        <is>
          <t>supporting_staff</t>
        </is>
      </c>
      <c r="C171" t="inlineStr">
        <is>
          <t>Waiters and Waitresses</t>
        </is>
      </c>
      <c r="D171" t="inlineStr">
        <is>
          <t>Waiters and Waitresses</t>
        </is>
      </c>
      <c r="E171" s="29" t="n">
        <v>3</v>
      </c>
      <c r="F171" s="29" t="n">
        <v>0</v>
      </c>
      <c r="G171" s="30">
        <f>E171+F171</f>
        <v/>
      </c>
      <c r="H171" s="30">
        <f>(E171+G171)/2</f>
        <v/>
      </c>
      <c r="I171" s="31" t="n">
        <v>45259</v>
      </c>
      <c r="J171" s="32" t="n">
        <v>0.18</v>
      </c>
      <c r="K171" s="33">
        <f>H171*I171/4</f>
        <v/>
      </c>
      <c r="L171" s="33">
        <f>K171*J171</f>
        <v/>
      </c>
      <c r="M171" s="33">
        <f>K171+L171</f>
        <v/>
      </c>
      <c r="N171" t="inlineStr">
        <is>
          <t>oews_title_catalog:oews_median</t>
        </is>
      </c>
    </row>
    <row r="172">
      <c r="A172" t="n">
        <v>18</v>
      </c>
      <c r="B172" t="inlineStr">
        <is>
          <t>supporting_staff</t>
        </is>
      </c>
      <c r="C172" t="inlineStr">
        <is>
          <t>Bartenders</t>
        </is>
      </c>
      <c r="D172" t="inlineStr">
        <is>
          <t>Bartenders</t>
        </is>
      </c>
      <c r="E172" s="29" t="n">
        <v>0.75</v>
      </c>
      <c r="F172" s="29" t="n">
        <v>0</v>
      </c>
      <c r="G172" s="30">
        <f>E172+F172</f>
        <v/>
      </c>
      <c r="H172" s="30">
        <f>(E172+G172)/2</f>
        <v/>
      </c>
      <c r="I172" s="31" t="n">
        <v>47069</v>
      </c>
      <c r="J172" s="32" t="n">
        <v>0.18</v>
      </c>
      <c r="K172" s="33">
        <f>H172*I172/4</f>
        <v/>
      </c>
      <c r="L172" s="33">
        <f>K172*J172</f>
        <v/>
      </c>
      <c r="M172" s="33">
        <f>K172+L172</f>
        <v/>
      </c>
      <c r="N172" t="inlineStr">
        <is>
          <t>oews_title_catalog:oews_median</t>
        </is>
      </c>
    </row>
    <row r="173">
      <c r="A173" t="n">
        <v>18</v>
      </c>
      <c r="B173" t="inlineStr">
        <is>
          <t>supporting_staff</t>
        </is>
      </c>
      <c r="C173" t="inlineStr">
        <is>
          <t>Cooks, Restaurant</t>
        </is>
      </c>
      <c r="D173" t="inlineStr">
        <is>
          <t>Cooks, Restaurant</t>
        </is>
      </c>
      <c r="E173" s="29" t="n">
        <v>2</v>
      </c>
      <c r="F173" s="29" t="n">
        <v>0</v>
      </c>
      <c r="G173" s="30">
        <f>E173+F173</f>
        <v/>
      </c>
      <c r="H173" s="30">
        <f>(E173+G173)/2</f>
        <v/>
      </c>
      <c r="I173" s="31" t="n">
        <v>49459</v>
      </c>
      <c r="J173" s="32" t="n">
        <v>0.18</v>
      </c>
      <c r="K173" s="33">
        <f>H173*I173/4</f>
        <v/>
      </c>
      <c r="L173" s="33">
        <f>K173*J173</f>
        <v/>
      </c>
      <c r="M173" s="33">
        <f>K173+L173</f>
        <v/>
      </c>
      <c r="N173" t="inlineStr">
        <is>
          <t>oews_title_catalog:oews_median</t>
        </is>
      </c>
    </row>
    <row r="174">
      <c r="A174" t="n">
        <v>18</v>
      </c>
      <c r="B174" t="inlineStr">
        <is>
          <t>supporting_staff</t>
        </is>
      </c>
      <c r="C174" t="inlineStr">
        <is>
          <t>Dishwashers</t>
        </is>
      </c>
      <c r="D174" t="inlineStr">
        <is>
          <t>Dishwashers</t>
        </is>
      </c>
      <c r="E174" s="29" t="n">
        <v>1</v>
      </c>
      <c r="F174" s="29" t="n">
        <v>0</v>
      </c>
      <c r="G174" s="30">
        <f>E174+F174</f>
        <v/>
      </c>
      <c r="H174" s="30">
        <f>(E174+G174)/2</f>
        <v/>
      </c>
      <c r="I174" s="31" t="n">
        <v>44881</v>
      </c>
      <c r="J174" s="32" t="n">
        <v>0.18</v>
      </c>
      <c r="K174" s="33">
        <f>H174*I174/4</f>
        <v/>
      </c>
      <c r="L174" s="33">
        <f>K174*J174</f>
        <v/>
      </c>
      <c r="M174" s="33">
        <f>K174+L174</f>
        <v/>
      </c>
      <c r="N174" t="inlineStr">
        <is>
          <t>oews_title_catalog:oews_median</t>
        </is>
      </c>
    </row>
    <row r="175">
      <c r="A175" t="n">
        <v>18</v>
      </c>
      <c r="B175" t="inlineStr">
        <is>
          <t>supporting_staff</t>
        </is>
      </c>
      <c r="C175" t="inlineStr">
        <is>
          <t>Hosts and Hostesses, Restaurant, Lounge, and Coffee Shop</t>
        </is>
      </c>
      <c r="D175" t="inlineStr">
        <is>
          <t>Hosts and Hostesses, Restaurant, Lounge, and Coffee Shop</t>
        </is>
      </c>
      <c r="E175" s="29" t="n">
        <v>0.5</v>
      </c>
      <c r="F175" s="29" t="n">
        <v>0</v>
      </c>
      <c r="G175" s="30">
        <f>E175+F175</f>
        <v/>
      </c>
      <c r="H175" s="30">
        <f>(E175+G175)/2</f>
        <v/>
      </c>
      <c r="I175" s="31" t="n">
        <v>40505</v>
      </c>
      <c r="J175" s="32" t="n">
        <v>0.18</v>
      </c>
      <c r="K175" s="33">
        <f>H175*I175/4</f>
        <v/>
      </c>
      <c r="L175" s="33">
        <f>K175*J175</f>
        <v/>
      </c>
      <c r="M175" s="33">
        <f>K175+L175</f>
        <v/>
      </c>
      <c r="N175" t="inlineStr">
        <is>
          <t>oews_title_catalog:oews_median</t>
        </is>
      </c>
    </row>
    <row r="176">
      <c r="A176" t="n">
        <v>18</v>
      </c>
      <c r="B176" t="inlineStr">
        <is>
          <t>supporting_staff</t>
        </is>
      </c>
      <c r="C176" t="inlineStr">
        <is>
          <t>Waiters and Waitresses</t>
        </is>
      </c>
      <c r="D176" t="inlineStr">
        <is>
          <t>Waiters and Waitresses</t>
        </is>
      </c>
      <c r="E176" s="29" t="n">
        <v>3</v>
      </c>
      <c r="F176" s="29" t="n">
        <v>0</v>
      </c>
      <c r="G176" s="30">
        <f>E176+F176</f>
        <v/>
      </c>
      <c r="H176" s="30">
        <f>(E176+G176)/2</f>
        <v/>
      </c>
      <c r="I176" s="31" t="n">
        <v>45259</v>
      </c>
      <c r="J176" s="32" t="n">
        <v>0.18</v>
      </c>
      <c r="K176" s="33">
        <f>H176*I176/4</f>
        <v/>
      </c>
      <c r="L176" s="33">
        <f>K176*J176</f>
        <v/>
      </c>
      <c r="M176" s="33">
        <f>K176+L176</f>
        <v/>
      </c>
      <c r="N176" t="inlineStr">
        <is>
          <t>oews_title_catalog:oews_median</t>
        </is>
      </c>
    </row>
    <row r="177">
      <c r="A177" t="n">
        <v>19</v>
      </c>
      <c r="B177" t="inlineStr">
        <is>
          <t>supporting_staff</t>
        </is>
      </c>
      <c r="C177" t="inlineStr">
        <is>
          <t>Bartenders</t>
        </is>
      </c>
      <c r="D177" t="inlineStr">
        <is>
          <t>Bartenders</t>
        </is>
      </c>
      <c r="E177" s="29" t="n">
        <v>0.75</v>
      </c>
      <c r="F177" s="29" t="n">
        <v>0</v>
      </c>
      <c r="G177" s="30">
        <f>E177+F177</f>
        <v/>
      </c>
      <c r="H177" s="30">
        <f>(E177+G177)/2</f>
        <v/>
      </c>
      <c r="I177" s="31" t="n">
        <v>47069</v>
      </c>
      <c r="J177" s="32" t="n">
        <v>0.18</v>
      </c>
      <c r="K177" s="33">
        <f>H177*I177/4</f>
        <v/>
      </c>
      <c r="L177" s="33">
        <f>K177*J177</f>
        <v/>
      </c>
      <c r="M177" s="33">
        <f>K177+L177</f>
        <v/>
      </c>
      <c r="N177" t="inlineStr">
        <is>
          <t>oews_title_catalog:oews_median</t>
        </is>
      </c>
    </row>
    <row r="178">
      <c r="A178" t="n">
        <v>19</v>
      </c>
      <c r="B178" t="inlineStr">
        <is>
          <t>supporting_staff</t>
        </is>
      </c>
      <c r="C178" t="inlineStr">
        <is>
          <t>Cooks, Restaurant</t>
        </is>
      </c>
      <c r="D178" t="inlineStr">
        <is>
          <t>Cooks, Restaurant</t>
        </is>
      </c>
      <c r="E178" s="29" t="n">
        <v>2</v>
      </c>
      <c r="F178" s="29" t="n">
        <v>0</v>
      </c>
      <c r="G178" s="30">
        <f>E178+F178</f>
        <v/>
      </c>
      <c r="H178" s="30">
        <f>(E178+G178)/2</f>
        <v/>
      </c>
      <c r="I178" s="31" t="n">
        <v>49459</v>
      </c>
      <c r="J178" s="32" t="n">
        <v>0.18</v>
      </c>
      <c r="K178" s="33">
        <f>H178*I178/4</f>
        <v/>
      </c>
      <c r="L178" s="33">
        <f>K178*J178</f>
        <v/>
      </c>
      <c r="M178" s="33">
        <f>K178+L178</f>
        <v/>
      </c>
      <c r="N178" t="inlineStr">
        <is>
          <t>oews_title_catalog:oews_median</t>
        </is>
      </c>
    </row>
    <row r="179">
      <c r="A179" t="n">
        <v>19</v>
      </c>
      <c r="B179" t="inlineStr">
        <is>
          <t>supporting_staff</t>
        </is>
      </c>
      <c r="C179" t="inlineStr">
        <is>
          <t>Dishwashers</t>
        </is>
      </c>
      <c r="D179" t="inlineStr">
        <is>
          <t>Dishwashers</t>
        </is>
      </c>
      <c r="E179" s="29" t="n">
        <v>1</v>
      </c>
      <c r="F179" s="29" t="n">
        <v>0</v>
      </c>
      <c r="G179" s="30">
        <f>E179+F179</f>
        <v/>
      </c>
      <c r="H179" s="30">
        <f>(E179+G179)/2</f>
        <v/>
      </c>
      <c r="I179" s="31" t="n">
        <v>44881</v>
      </c>
      <c r="J179" s="32" t="n">
        <v>0.18</v>
      </c>
      <c r="K179" s="33">
        <f>H179*I179/4</f>
        <v/>
      </c>
      <c r="L179" s="33">
        <f>K179*J179</f>
        <v/>
      </c>
      <c r="M179" s="33">
        <f>K179+L179</f>
        <v/>
      </c>
      <c r="N179" t="inlineStr">
        <is>
          <t>oews_title_catalog:oews_median</t>
        </is>
      </c>
    </row>
    <row r="180">
      <c r="A180" t="n">
        <v>19</v>
      </c>
      <c r="B180" t="inlineStr">
        <is>
          <t>supporting_staff</t>
        </is>
      </c>
      <c r="C180" t="inlineStr">
        <is>
          <t>Hosts and Hostesses, Restaurant, Lounge, and Coffee Shop</t>
        </is>
      </c>
      <c r="D180" t="inlineStr">
        <is>
          <t>Hosts and Hostesses, Restaurant, Lounge, and Coffee Shop</t>
        </is>
      </c>
      <c r="E180" s="29" t="n">
        <v>0.5</v>
      </c>
      <c r="F180" s="29" t="n">
        <v>0</v>
      </c>
      <c r="G180" s="30">
        <f>E180+F180</f>
        <v/>
      </c>
      <c r="H180" s="30">
        <f>(E180+G180)/2</f>
        <v/>
      </c>
      <c r="I180" s="31" t="n">
        <v>40505</v>
      </c>
      <c r="J180" s="32" t="n">
        <v>0.18</v>
      </c>
      <c r="K180" s="33">
        <f>H180*I180/4</f>
        <v/>
      </c>
      <c r="L180" s="33">
        <f>K180*J180</f>
        <v/>
      </c>
      <c r="M180" s="33">
        <f>K180+L180</f>
        <v/>
      </c>
      <c r="N180" t="inlineStr">
        <is>
          <t>oews_title_catalog:oews_median</t>
        </is>
      </c>
    </row>
    <row r="181">
      <c r="A181" t="n">
        <v>19</v>
      </c>
      <c r="B181" t="inlineStr">
        <is>
          <t>supporting_staff</t>
        </is>
      </c>
      <c r="C181" t="inlineStr">
        <is>
          <t>Waiters and Waitresses</t>
        </is>
      </c>
      <c r="D181" t="inlineStr">
        <is>
          <t>Waiters and Waitresses</t>
        </is>
      </c>
      <c r="E181" s="29" t="n">
        <v>3</v>
      </c>
      <c r="F181" s="29" t="n">
        <v>0</v>
      </c>
      <c r="G181" s="30">
        <f>E181+F181</f>
        <v/>
      </c>
      <c r="H181" s="30">
        <f>(E181+G181)/2</f>
        <v/>
      </c>
      <c r="I181" s="31" t="n">
        <v>45259</v>
      </c>
      <c r="J181" s="32" t="n">
        <v>0.18</v>
      </c>
      <c r="K181" s="33">
        <f>H181*I181/4</f>
        <v/>
      </c>
      <c r="L181" s="33">
        <f>K181*J181</f>
        <v/>
      </c>
      <c r="M181" s="33">
        <f>K181+L181</f>
        <v/>
      </c>
      <c r="N181" t="inlineStr">
        <is>
          <t>oews_title_catalog:oews_median</t>
        </is>
      </c>
    </row>
    <row r="182">
      <c r="A182" t="n">
        <v>20</v>
      </c>
      <c r="B182" t="inlineStr">
        <is>
          <t>supporting_staff</t>
        </is>
      </c>
      <c r="C182" t="inlineStr">
        <is>
          <t>Bartenders</t>
        </is>
      </c>
      <c r="D182" t="inlineStr">
        <is>
          <t>Bartenders</t>
        </is>
      </c>
      <c r="E182" s="29" t="n">
        <v>0.75</v>
      </c>
      <c r="F182" s="29" t="n">
        <v>0</v>
      </c>
      <c r="G182" s="30">
        <f>E182+F182</f>
        <v/>
      </c>
      <c r="H182" s="30">
        <f>(E182+G182)/2</f>
        <v/>
      </c>
      <c r="I182" s="31" t="n">
        <v>47069</v>
      </c>
      <c r="J182" s="32" t="n">
        <v>0.18</v>
      </c>
      <c r="K182" s="33">
        <f>H182*I182/4</f>
        <v/>
      </c>
      <c r="L182" s="33">
        <f>K182*J182</f>
        <v/>
      </c>
      <c r="M182" s="33">
        <f>K182+L182</f>
        <v/>
      </c>
      <c r="N182" t="inlineStr">
        <is>
          <t>oews_title_catalog:oews_median</t>
        </is>
      </c>
    </row>
    <row r="183">
      <c r="A183" t="n">
        <v>20</v>
      </c>
      <c r="B183" t="inlineStr">
        <is>
          <t>supporting_staff</t>
        </is>
      </c>
      <c r="C183" t="inlineStr">
        <is>
          <t>Cooks, Restaurant</t>
        </is>
      </c>
      <c r="D183" t="inlineStr">
        <is>
          <t>Cooks, Restaurant</t>
        </is>
      </c>
      <c r="E183" s="29" t="n">
        <v>2</v>
      </c>
      <c r="F183" s="29" t="n">
        <v>0</v>
      </c>
      <c r="G183" s="30">
        <f>E183+F183</f>
        <v/>
      </c>
      <c r="H183" s="30">
        <f>(E183+G183)/2</f>
        <v/>
      </c>
      <c r="I183" s="31" t="n">
        <v>49459</v>
      </c>
      <c r="J183" s="32" t="n">
        <v>0.18</v>
      </c>
      <c r="K183" s="33">
        <f>H183*I183/4</f>
        <v/>
      </c>
      <c r="L183" s="33">
        <f>K183*J183</f>
        <v/>
      </c>
      <c r="M183" s="33">
        <f>K183+L183</f>
        <v/>
      </c>
      <c r="N183" t="inlineStr">
        <is>
          <t>oews_title_catalog:oews_median</t>
        </is>
      </c>
    </row>
    <row r="184">
      <c r="A184" t="n">
        <v>20</v>
      </c>
      <c r="B184" t="inlineStr">
        <is>
          <t>supporting_staff</t>
        </is>
      </c>
      <c r="C184" t="inlineStr">
        <is>
          <t>Dishwashers</t>
        </is>
      </c>
      <c r="D184" t="inlineStr">
        <is>
          <t>Dishwashers</t>
        </is>
      </c>
      <c r="E184" s="29" t="n">
        <v>1</v>
      </c>
      <c r="F184" s="29" t="n">
        <v>0</v>
      </c>
      <c r="G184" s="30">
        <f>E184+F184</f>
        <v/>
      </c>
      <c r="H184" s="30">
        <f>(E184+G184)/2</f>
        <v/>
      </c>
      <c r="I184" s="31" t="n">
        <v>44881</v>
      </c>
      <c r="J184" s="32" t="n">
        <v>0.18</v>
      </c>
      <c r="K184" s="33">
        <f>H184*I184/4</f>
        <v/>
      </c>
      <c r="L184" s="33">
        <f>K184*J184</f>
        <v/>
      </c>
      <c r="M184" s="33">
        <f>K184+L184</f>
        <v/>
      </c>
      <c r="N184" t="inlineStr">
        <is>
          <t>oews_title_catalog:oews_median</t>
        </is>
      </c>
    </row>
    <row r="185">
      <c r="A185" t="n">
        <v>20</v>
      </c>
      <c r="B185" t="inlineStr">
        <is>
          <t>supporting_staff</t>
        </is>
      </c>
      <c r="C185" t="inlineStr">
        <is>
          <t>Hosts and Hostesses, Restaurant, Lounge, and Coffee Shop</t>
        </is>
      </c>
      <c r="D185" t="inlineStr">
        <is>
          <t>Hosts and Hostesses, Restaurant, Lounge, and Coffee Shop</t>
        </is>
      </c>
      <c r="E185" s="29" t="n">
        <v>0.5</v>
      </c>
      <c r="F185" s="29" t="n">
        <v>0</v>
      </c>
      <c r="G185" s="30">
        <f>E185+F185</f>
        <v/>
      </c>
      <c r="H185" s="30">
        <f>(E185+G185)/2</f>
        <v/>
      </c>
      <c r="I185" s="31" t="n">
        <v>40505</v>
      </c>
      <c r="J185" s="32" t="n">
        <v>0.18</v>
      </c>
      <c r="K185" s="33">
        <f>H185*I185/4</f>
        <v/>
      </c>
      <c r="L185" s="33">
        <f>K185*J185</f>
        <v/>
      </c>
      <c r="M185" s="33">
        <f>K185+L185</f>
        <v/>
      </c>
      <c r="N185" t="inlineStr">
        <is>
          <t>oews_title_catalog:oews_median</t>
        </is>
      </c>
    </row>
    <row r="186">
      <c r="A186" t="n">
        <v>20</v>
      </c>
      <c r="B186" t="inlineStr">
        <is>
          <t>supporting_staff</t>
        </is>
      </c>
      <c r="C186" t="inlineStr">
        <is>
          <t>Waiters and Waitresses</t>
        </is>
      </c>
      <c r="D186" t="inlineStr">
        <is>
          <t>Waiters and Waitresses</t>
        </is>
      </c>
      <c r="E186" s="29" t="n">
        <v>3</v>
      </c>
      <c r="F186" s="29" t="n">
        <v>0</v>
      </c>
      <c r="G186" s="30">
        <f>E186+F186</f>
        <v/>
      </c>
      <c r="H186" s="30">
        <f>(E186+G186)/2</f>
        <v/>
      </c>
      <c r="I186" s="31" t="n">
        <v>45259</v>
      </c>
      <c r="J186" s="32" t="n">
        <v>0.18</v>
      </c>
      <c r="K186" s="33">
        <f>H186*I186/4</f>
        <v/>
      </c>
      <c r="L186" s="33">
        <f>K186*J186</f>
        <v/>
      </c>
      <c r="M186" s="33">
        <f>K186+L186</f>
        <v/>
      </c>
      <c r="N186" t="inlineStr">
        <is>
          <t>oews_title_catalog:oews_median</t>
        </is>
      </c>
    </row>
  </sheetData>
  <autoFilter ref="A26:N1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50000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2500</v>
      </c>
      <c r="E9" s="11" t="n">
        <v>2500</v>
      </c>
      <c r="F9" s="11" t="n">
        <v>2500</v>
      </c>
      <c r="G9" s="11" t="n">
        <v>2500</v>
      </c>
      <c r="H9" s="11" t="n">
        <v>2500</v>
      </c>
      <c r="I9" s="11" t="n">
        <v>2500</v>
      </c>
      <c r="J9" s="11" t="n">
        <v>2500</v>
      </c>
      <c r="K9" s="11" t="n">
        <v>2500</v>
      </c>
      <c r="L9" s="11" t="n">
        <v>2500</v>
      </c>
      <c r="M9" s="11" t="n">
        <v>2500</v>
      </c>
      <c r="N9" s="11" t="n">
        <v>2500</v>
      </c>
      <c r="O9" s="11" t="n">
        <v>2500</v>
      </c>
      <c r="P9" s="11" t="n">
        <v>2500</v>
      </c>
      <c r="Q9" s="11" t="n">
        <v>2500</v>
      </c>
      <c r="R9" s="11" t="n">
        <v>2500</v>
      </c>
      <c r="S9" s="11" t="n">
        <v>5276</v>
      </c>
      <c r="T9" s="11" t="n">
        <v>7224</v>
      </c>
      <c r="U9" s="11" t="n">
        <v>2500</v>
      </c>
      <c r="V9" s="11" t="n">
        <v>2500</v>
      </c>
      <c r="W9" s="11" t="n">
        <v>2500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0.015</v>
      </c>
      <c r="D12" s="13" t="n">
        <v>0.02375</v>
      </c>
      <c r="E12" s="13" t="n">
        <v>0.02375</v>
      </c>
      <c r="F12" s="13" t="n">
        <v>0.02375</v>
      </c>
      <c r="G12" s="13" t="n">
        <v>0.02375</v>
      </c>
      <c r="H12" s="13" t="n">
        <v>0.02375</v>
      </c>
      <c r="I12" s="13" t="n">
        <v>0.02375</v>
      </c>
      <c r="J12" s="13" t="n">
        <v>0.02375</v>
      </c>
      <c r="K12" s="13" t="n">
        <v>0.02375</v>
      </c>
      <c r="L12" s="13" t="n">
        <v>0.02375</v>
      </c>
      <c r="M12" s="13" t="n">
        <v>0.02375</v>
      </c>
      <c r="N12" s="13" t="n">
        <v>0.02375</v>
      </c>
      <c r="O12" s="13" t="n">
        <v>0.02375</v>
      </c>
      <c r="P12" s="13" t="n">
        <v>0.02375</v>
      </c>
      <c r="Q12" s="13" t="n">
        <v>0.02375</v>
      </c>
      <c r="R12" s="13" t="n">
        <v>0.02375</v>
      </c>
      <c r="S12" s="13" t="n">
        <v>0.02375</v>
      </c>
      <c r="T12" s="13" t="n">
        <v>0.02375</v>
      </c>
      <c r="U12" s="13" t="n">
        <v>0.02375</v>
      </c>
      <c r="V12" s="13" t="n">
        <v>0.02375</v>
      </c>
      <c r="W12" s="13" t="n">
        <v>0.02375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3000</v>
      </c>
      <c r="E19" s="26" t="n">
        <v>3000</v>
      </c>
      <c r="F19" s="26" t="n">
        <v>3000</v>
      </c>
      <c r="G19" s="26" t="n">
        <v>3000</v>
      </c>
      <c r="H19" s="26" t="n">
        <v>3000</v>
      </c>
      <c r="I19" s="26" t="n">
        <v>3000</v>
      </c>
      <c r="J19" s="26" t="n">
        <v>3000</v>
      </c>
      <c r="K19" s="26" t="n">
        <v>3000</v>
      </c>
      <c r="L19" s="26" t="n">
        <v>3000</v>
      </c>
      <c r="M19" s="26" t="n">
        <v>3000</v>
      </c>
      <c r="N19" s="26" t="n">
        <v>3000</v>
      </c>
      <c r="O19" s="26" t="n">
        <v>3000</v>
      </c>
      <c r="P19" s="26" t="n">
        <v>3000</v>
      </c>
      <c r="Q19" s="26" t="n">
        <v>3000</v>
      </c>
      <c r="R19" s="26" t="n">
        <v>3000</v>
      </c>
      <c r="S19" s="26" t="n">
        <v>3000</v>
      </c>
      <c r="T19" s="26" t="n">
        <v>3000</v>
      </c>
      <c r="U19" s="26" t="n">
        <v>3000</v>
      </c>
      <c r="V19" s="26" t="n">
        <v>3000</v>
      </c>
      <c r="W19" s="26" t="n">
        <v>3000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120000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947.04</v>
      </c>
      <c r="E8" s="35" t="n">
        <v>954.139959</v>
      </c>
      <c r="F8" s="35" t="n">
        <v>960.920077</v>
      </c>
      <c r="G8" s="35" t="n">
        <v>967.374578</v>
      </c>
      <c r="H8" s="35" t="n">
        <v>973.498059</v>
      </c>
      <c r="I8" s="35" t="n">
        <v>979.2855049999999</v>
      </c>
      <c r="J8" s="35" t="n">
        <v>984.732291</v>
      </c>
      <c r="K8" s="35" t="n">
        <v>989.833204</v>
      </c>
      <c r="L8" s="35" t="n">
        <v>994.584403</v>
      </c>
      <c r="M8" s="35" t="n">
        <v>998.980466</v>
      </c>
      <c r="N8" s="35" t="n">
        <v>1003.017346</v>
      </c>
      <c r="O8" s="35" t="n">
        <v>1006.689393</v>
      </c>
      <c r="P8" s="35" t="n">
        <v>1009.993347</v>
      </c>
      <c r="Q8" s="35" t="n">
        <v>1012.925358</v>
      </c>
      <c r="R8" s="35" t="n">
        <v>1015.480969</v>
      </c>
      <c r="S8" s="35" t="n">
        <v>1017.656129</v>
      </c>
      <c r="T8" s="35" t="n">
        <v>1019.446186</v>
      </c>
      <c r="U8" s="35" t="n">
        <v>1020.847925</v>
      </c>
      <c r="V8" s="35" t="n">
        <v>1021.858564</v>
      </c>
      <c r="W8" s="35" t="n">
        <v>1022.473723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0.000395</v>
      </c>
      <c r="E10" s="13" t="n">
        <v>0.000786</v>
      </c>
      <c r="F10" s="13" t="n">
        <v>0.001175</v>
      </c>
      <c r="G10" s="13" t="n">
        <v>0.001562</v>
      </c>
      <c r="H10" s="13" t="n">
        <v>0.001947</v>
      </c>
      <c r="I10" s="13" t="n">
        <v>0.00233</v>
      </c>
      <c r="J10" s="13" t="n">
        <v>0.002712</v>
      </c>
      <c r="K10" s="13" t="n">
        <v>0.003092</v>
      </c>
      <c r="L10" s="13" t="n">
        <v>0.003472</v>
      </c>
      <c r="M10" s="13" t="n">
        <v>0.003851</v>
      </c>
      <c r="N10" s="13" t="n">
        <v>0.004231</v>
      </c>
      <c r="O10" s="13" t="n">
        <v>0.00461</v>
      </c>
      <c r="P10" s="13" t="n">
        <v>0.004989</v>
      </c>
      <c r="Q10" s="13" t="n">
        <v>0.005369</v>
      </c>
      <c r="R10" s="13" t="n">
        <v>0.00575</v>
      </c>
      <c r="S10" s="13" t="n">
        <v>0.006133</v>
      </c>
      <c r="T10" s="13" t="n">
        <v>0.006517</v>
      </c>
      <c r="U10" s="13" t="n">
        <v>0.006902</v>
      </c>
      <c r="V10" s="13" t="n">
        <v>0.00729</v>
      </c>
      <c r="W10" s="13" t="n">
        <v>0.00768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5</v>
      </c>
      <c r="E7" s="9" t="n">
        <v>5</v>
      </c>
      <c r="F7" s="9" t="n">
        <v>5</v>
      </c>
      <c r="G7" s="9" t="n">
        <v>5</v>
      </c>
      <c r="H7" s="9" t="n">
        <v>5</v>
      </c>
      <c r="I7" s="9" t="n">
        <v>5</v>
      </c>
      <c r="J7" s="9" t="n">
        <v>5</v>
      </c>
      <c r="K7" s="9" t="n">
        <v>5</v>
      </c>
      <c r="L7" s="9" t="n">
        <v>5</v>
      </c>
      <c r="M7" s="9" t="n">
        <v>5</v>
      </c>
      <c r="N7" s="9" t="n">
        <v>5</v>
      </c>
      <c r="O7" s="9" t="n">
        <v>5</v>
      </c>
      <c r="P7" s="9" t="n">
        <v>5</v>
      </c>
      <c r="Q7" s="9" t="n">
        <v>5</v>
      </c>
      <c r="R7" s="9" t="n">
        <v>5</v>
      </c>
      <c r="S7" s="9" t="n">
        <v>5</v>
      </c>
      <c r="T7" s="9" t="n">
        <v>5</v>
      </c>
      <c r="U7" s="9" t="n">
        <v>5</v>
      </c>
      <c r="V7" s="9" t="n">
        <v>5</v>
      </c>
      <c r="W7" s="9" t="n">
        <v>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10</v>
      </c>
      <c r="E8" s="9" t="n">
        <v>10</v>
      </c>
      <c r="F8" s="9" t="n">
        <v>10</v>
      </c>
      <c r="G8" s="9" t="n">
        <v>10</v>
      </c>
      <c r="H8" s="9" t="n">
        <v>10</v>
      </c>
      <c r="I8" s="9" t="n">
        <v>10</v>
      </c>
      <c r="J8" s="9" t="n">
        <v>10</v>
      </c>
      <c r="K8" s="9" t="n">
        <v>10</v>
      </c>
      <c r="L8" s="9" t="n">
        <v>10</v>
      </c>
      <c r="M8" s="9" t="n">
        <v>10</v>
      </c>
      <c r="N8" s="9" t="n">
        <v>10</v>
      </c>
      <c r="O8" s="9" t="n">
        <v>10</v>
      </c>
      <c r="P8" s="9" t="n">
        <v>10</v>
      </c>
      <c r="Q8" s="9" t="n">
        <v>10</v>
      </c>
      <c r="R8" s="9" t="n">
        <v>10</v>
      </c>
      <c r="S8" s="9" t="n">
        <v>10</v>
      </c>
      <c r="T8" s="9" t="n">
        <v>10</v>
      </c>
      <c r="U8" s="9" t="n">
        <v>10</v>
      </c>
      <c r="V8" s="9" t="n">
        <v>10</v>
      </c>
      <c r="W8" s="9" t="n">
        <v>10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30000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8000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250000</v>
      </c>
      <c r="D7" s="11" t="n">
        <v>342373</v>
      </c>
      <c r="E7" s="11" t="n">
        <v>386722</v>
      </c>
      <c r="F7" s="11" t="n">
        <v>424359</v>
      </c>
      <c r="G7" s="11" t="n">
        <v>457673</v>
      </c>
      <c r="H7" s="11" t="n">
        <v>489996</v>
      </c>
      <c r="I7" s="11" t="n">
        <v>514875</v>
      </c>
      <c r="J7" s="11" t="n">
        <v>532885</v>
      </c>
      <c r="K7" s="11" t="n">
        <v>544847</v>
      </c>
      <c r="L7" s="11" t="n">
        <v>555777</v>
      </c>
      <c r="M7" s="11" t="n">
        <v>558736</v>
      </c>
      <c r="N7" s="11" t="n">
        <v>558736</v>
      </c>
      <c r="O7" s="11" t="n">
        <v>558736</v>
      </c>
      <c r="P7" s="11" t="n">
        <v>558736</v>
      </c>
      <c r="Q7" s="11" t="n">
        <v>558736</v>
      </c>
      <c r="R7" s="11" t="n">
        <v>558736</v>
      </c>
      <c r="S7" s="11" t="n">
        <v>558736</v>
      </c>
      <c r="T7" s="11" t="n">
        <v>558736</v>
      </c>
      <c r="U7" s="11" t="n">
        <v>558736</v>
      </c>
      <c r="V7" s="11" t="n">
        <v>558736</v>
      </c>
      <c r="W7" s="11" t="n">
        <v>558736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2776</v>
      </c>
      <c r="T9" s="11" t="n">
        <v>8061</v>
      </c>
      <c r="U9" s="11" t="n">
        <v>20747</v>
      </c>
      <c r="V9" s="11" t="n">
        <v>25093</v>
      </c>
      <c r="W9" s="11" t="n">
        <v>27005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21000</v>
      </c>
      <c r="D12" s="11" t="n">
        <v>21000</v>
      </c>
      <c r="E12" s="11" t="n">
        <v>21000</v>
      </c>
      <c r="F12" s="11" t="n">
        <v>21000</v>
      </c>
      <c r="G12" s="11" t="n">
        <v>21000</v>
      </c>
      <c r="H12" s="11" t="n">
        <v>21000</v>
      </c>
      <c r="I12" s="11" t="n">
        <v>21000</v>
      </c>
      <c r="J12" s="11" t="n">
        <v>21000</v>
      </c>
      <c r="K12" s="11" t="n">
        <v>21000</v>
      </c>
      <c r="L12" s="11" t="n">
        <v>21000</v>
      </c>
      <c r="M12" s="11" t="n">
        <v>21000</v>
      </c>
      <c r="N12" s="11" t="n">
        <v>21000</v>
      </c>
      <c r="O12" s="11" t="n">
        <v>21000</v>
      </c>
      <c r="P12" s="11" t="n">
        <v>21000</v>
      </c>
      <c r="Q12" s="11" t="n">
        <v>21000</v>
      </c>
      <c r="R12" s="11" t="n">
        <v>21000</v>
      </c>
      <c r="S12" s="11" t="n">
        <v>21000</v>
      </c>
      <c r="T12" s="11" t="n">
        <v>21000</v>
      </c>
      <c r="U12" s="11" t="n">
        <v>21000</v>
      </c>
      <c r="V12" s="11" t="n">
        <v>21000</v>
      </c>
      <c r="W12" s="11" t="n">
        <v>21000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6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Dine-in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Dine-in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Dine-in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Dine-in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8" t="inlineStr">
        <is>
          <t>Primary line of business / Takeout &amp; delivery - Capacity</t>
        </is>
      </c>
      <c r="B11" s="8" t="inlineStr">
        <is>
          <t>Revenue Drivers schedule</t>
        </is>
      </c>
      <c r="C11" s="10">
        <f>'Revenue Drivers'!C14</f>
        <v/>
      </c>
      <c r="D11" s="10">
        <f>'Revenue Drivers'!D14</f>
        <v/>
      </c>
      <c r="E11" s="10">
        <f>'Revenue Drivers'!E14</f>
        <v/>
      </c>
      <c r="F11" s="10">
        <f>'Revenue Drivers'!F14</f>
        <v/>
      </c>
      <c r="G11" s="10">
        <f>'Revenue Drivers'!G14</f>
        <v/>
      </c>
      <c r="H11" s="10">
        <f>'Revenue Drivers'!H14</f>
        <v/>
      </c>
      <c r="I11" s="10">
        <f>'Revenue Drivers'!I14</f>
        <v/>
      </c>
      <c r="J11" s="10">
        <f>'Revenue Drivers'!J14</f>
        <v/>
      </c>
      <c r="K11" s="10">
        <f>'Revenue Drivers'!K14</f>
        <v/>
      </c>
      <c r="L11" s="10">
        <f>'Revenue Drivers'!L14</f>
        <v/>
      </c>
      <c r="M11" s="10">
        <f>'Revenue Drivers'!M14</f>
        <v/>
      </c>
      <c r="N11" s="10">
        <f>'Revenue Drivers'!N14</f>
        <v/>
      </c>
      <c r="O11" s="10">
        <f>'Revenue Drivers'!O14</f>
        <v/>
      </c>
      <c r="P11" s="10">
        <f>'Revenue Drivers'!P14</f>
        <v/>
      </c>
      <c r="Q11" s="10">
        <f>'Revenue Drivers'!Q14</f>
        <v/>
      </c>
      <c r="R11" s="10">
        <f>'Revenue Drivers'!R14</f>
        <v/>
      </c>
      <c r="S11" s="10">
        <f>'Revenue Drivers'!S14</f>
        <v/>
      </c>
      <c r="T11" s="10">
        <f>'Revenue Drivers'!T14</f>
        <v/>
      </c>
      <c r="U11" s="10">
        <f>'Revenue Drivers'!U14</f>
        <v/>
      </c>
      <c r="V11" s="10">
        <f>'Revenue Drivers'!V14</f>
        <v/>
      </c>
      <c r="W11" s="10">
        <f>'Revenue Drivers'!W14</f>
        <v/>
      </c>
      <c r="X11" s="10">
        <f>SUM(D11:G11)</f>
        <v/>
      </c>
      <c r="Y11" s="10">
        <f>SUM(H11:K11)</f>
        <v/>
      </c>
      <c r="Z11" s="10">
        <f>SUM(L11:O11)</f>
        <v/>
      </c>
      <c r="AA11" s="10">
        <f>SUM(P11:S11)</f>
        <v/>
      </c>
      <c r="AB11" s="10">
        <f>SUM(T11:W11)</f>
        <v/>
      </c>
    </row>
    <row r="12">
      <c r="A12" s="8" t="inlineStr">
        <is>
          <t>Primary line of business / Takeout &amp; delivery - Unit Price</t>
        </is>
      </c>
      <c r="B12" s="8" t="inlineStr">
        <is>
          <t>Revenue Drivers schedule</t>
        </is>
      </c>
      <c r="C12" s="12">
        <f>'Revenue Drivers'!C15</f>
        <v/>
      </c>
      <c r="D12" s="12">
        <f>'Revenue Drivers'!D15</f>
        <v/>
      </c>
      <c r="E12" s="12">
        <f>'Revenue Drivers'!E15</f>
        <v/>
      </c>
      <c r="F12" s="12">
        <f>'Revenue Drivers'!F15</f>
        <v/>
      </c>
      <c r="G12" s="12">
        <f>'Revenue Drivers'!G15</f>
        <v/>
      </c>
      <c r="H12" s="12">
        <f>'Revenue Drivers'!H15</f>
        <v/>
      </c>
      <c r="I12" s="12">
        <f>'Revenue Drivers'!I15</f>
        <v/>
      </c>
      <c r="J12" s="12">
        <f>'Revenue Drivers'!J15</f>
        <v/>
      </c>
      <c r="K12" s="12">
        <f>'Revenue Drivers'!K15</f>
        <v/>
      </c>
      <c r="L12" s="12">
        <f>'Revenue Drivers'!L15</f>
        <v/>
      </c>
      <c r="M12" s="12">
        <f>'Revenue Drivers'!M15</f>
        <v/>
      </c>
      <c r="N12" s="12">
        <f>'Revenue Drivers'!N15</f>
        <v/>
      </c>
      <c r="O12" s="12">
        <f>'Revenue Drivers'!O15</f>
        <v/>
      </c>
      <c r="P12" s="12">
        <f>'Revenue Drivers'!P15</f>
        <v/>
      </c>
      <c r="Q12" s="12">
        <f>'Revenue Drivers'!Q15</f>
        <v/>
      </c>
      <c r="R12" s="12">
        <f>'Revenue Drivers'!R15</f>
        <v/>
      </c>
      <c r="S12" s="12">
        <f>'Revenue Drivers'!S15</f>
        <v/>
      </c>
      <c r="T12" s="12">
        <f>'Revenue Drivers'!T15</f>
        <v/>
      </c>
      <c r="U12" s="12">
        <f>'Revenue Drivers'!U15</f>
        <v/>
      </c>
      <c r="V12" s="12">
        <f>'Revenue Drivers'!V15</f>
        <v/>
      </c>
      <c r="W12" s="12">
        <f>'Revenue Drivers'!W15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Primary line of business / Takeout &amp; delivery - Utilization</t>
        </is>
      </c>
      <c r="B13" s="8" t="inlineStr">
        <is>
          <t>Revenue Drivers schedule</t>
        </is>
      </c>
      <c r="C13" s="14">
        <f>'Revenue Drivers'!C16</f>
        <v/>
      </c>
      <c r="D13" s="14">
        <f>'Revenue Drivers'!D16</f>
        <v/>
      </c>
      <c r="E13" s="14">
        <f>'Revenue Drivers'!E16</f>
        <v/>
      </c>
      <c r="F13" s="14">
        <f>'Revenue Drivers'!F16</f>
        <v/>
      </c>
      <c r="G13" s="14">
        <f>'Revenue Drivers'!G16</f>
        <v/>
      </c>
      <c r="H13" s="14">
        <f>'Revenue Drivers'!H16</f>
        <v/>
      </c>
      <c r="I13" s="14">
        <f>'Revenue Drivers'!I16</f>
        <v/>
      </c>
      <c r="J13" s="14">
        <f>'Revenue Drivers'!J16</f>
        <v/>
      </c>
      <c r="K13" s="14">
        <f>'Revenue Drivers'!K16</f>
        <v/>
      </c>
      <c r="L13" s="14">
        <f>'Revenue Drivers'!L16</f>
        <v/>
      </c>
      <c r="M13" s="14">
        <f>'Revenue Drivers'!M16</f>
        <v/>
      </c>
      <c r="N13" s="14">
        <f>'Revenue Drivers'!N16</f>
        <v/>
      </c>
      <c r="O13" s="14">
        <f>'Revenue Drivers'!O16</f>
        <v/>
      </c>
      <c r="P13" s="14">
        <f>'Revenue Drivers'!P16</f>
        <v/>
      </c>
      <c r="Q13" s="14">
        <f>'Revenue Drivers'!Q16</f>
        <v/>
      </c>
      <c r="R13" s="14">
        <f>'Revenue Drivers'!R16</f>
        <v/>
      </c>
      <c r="S13" s="14">
        <f>'Revenue Drivers'!S16</f>
        <v/>
      </c>
      <c r="T13" s="14">
        <f>'Revenue Drivers'!T16</f>
        <v/>
      </c>
      <c r="U13" s="14">
        <f>'Revenue Drivers'!U16</f>
        <v/>
      </c>
      <c r="V13" s="14">
        <f>'Revenue Drivers'!V16</f>
        <v/>
      </c>
      <c r="W13" s="14">
        <f>'Revenue Drivers'!W16</f>
        <v/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Primary line of business / Takeout &amp; delivery - Revenue</t>
        </is>
      </c>
      <c r="B14" s="8" t="inlineStr">
        <is>
          <t>Revenue Drivers schedule</t>
        </is>
      </c>
      <c r="C14" s="12">
        <f>'Revenue Drivers'!C17</f>
        <v/>
      </c>
      <c r="D14" s="12">
        <f>'Revenue Drivers'!D17</f>
        <v/>
      </c>
      <c r="E14" s="12">
        <f>'Revenue Drivers'!E17</f>
        <v/>
      </c>
      <c r="F14" s="12">
        <f>'Revenue Drivers'!F17</f>
        <v/>
      </c>
      <c r="G14" s="12">
        <f>'Revenue Drivers'!G17</f>
        <v/>
      </c>
      <c r="H14" s="12">
        <f>'Revenue Drivers'!H17</f>
        <v/>
      </c>
      <c r="I14" s="12">
        <f>'Revenue Drivers'!I17</f>
        <v/>
      </c>
      <c r="J14" s="12">
        <f>'Revenue Drivers'!J17</f>
        <v/>
      </c>
      <c r="K14" s="12">
        <f>'Revenue Drivers'!K17</f>
        <v/>
      </c>
      <c r="L14" s="12">
        <f>'Revenue Drivers'!L17</f>
        <v/>
      </c>
      <c r="M14" s="12">
        <f>'Revenue Drivers'!M17</f>
        <v/>
      </c>
      <c r="N14" s="12">
        <f>'Revenue Drivers'!N17</f>
        <v/>
      </c>
      <c r="O14" s="12">
        <f>'Revenue Drivers'!O17</f>
        <v/>
      </c>
      <c r="P14" s="12">
        <f>'Revenue Drivers'!P17</f>
        <v/>
      </c>
      <c r="Q14" s="12">
        <f>'Revenue Drivers'!Q17</f>
        <v/>
      </c>
      <c r="R14" s="12">
        <f>'Revenue Drivers'!R17</f>
        <v/>
      </c>
      <c r="S14" s="12">
        <f>'Revenue Drivers'!S17</f>
        <v/>
      </c>
      <c r="T14" s="12">
        <f>'Revenue Drivers'!T17</f>
        <v/>
      </c>
      <c r="U14" s="12">
        <f>'Revenue Drivers'!U17</f>
        <v/>
      </c>
      <c r="V14" s="12">
        <f>'Revenue Drivers'!V17</f>
        <v/>
      </c>
      <c r="W14" s="12">
        <f>'Revenue Drivers'!W17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Primary line of business / Catering - Capacity</t>
        </is>
      </c>
      <c r="B15" s="8" t="inlineStr">
        <is>
          <t>Revenue Drivers schedule</t>
        </is>
      </c>
      <c r="C15" s="10">
        <f>'Revenue Drivers'!C20</f>
        <v/>
      </c>
      <c r="D15" s="10">
        <f>'Revenue Drivers'!D20</f>
        <v/>
      </c>
      <c r="E15" s="10">
        <f>'Revenue Drivers'!E20</f>
        <v/>
      </c>
      <c r="F15" s="10">
        <f>'Revenue Drivers'!F20</f>
        <v/>
      </c>
      <c r="G15" s="10">
        <f>'Revenue Drivers'!G20</f>
        <v/>
      </c>
      <c r="H15" s="10">
        <f>'Revenue Drivers'!H20</f>
        <v/>
      </c>
      <c r="I15" s="10">
        <f>'Revenue Drivers'!I20</f>
        <v/>
      </c>
      <c r="J15" s="10">
        <f>'Revenue Drivers'!J20</f>
        <v/>
      </c>
      <c r="K15" s="10">
        <f>'Revenue Drivers'!K20</f>
        <v/>
      </c>
      <c r="L15" s="10">
        <f>'Revenue Drivers'!L20</f>
        <v/>
      </c>
      <c r="M15" s="10">
        <f>'Revenue Drivers'!M20</f>
        <v/>
      </c>
      <c r="N15" s="10">
        <f>'Revenue Drivers'!N20</f>
        <v/>
      </c>
      <c r="O15" s="10">
        <f>'Revenue Drivers'!O20</f>
        <v/>
      </c>
      <c r="P15" s="10">
        <f>'Revenue Drivers'!P20</f>
        <v/>
      </c>
      <c r="Q15" s="10">
        <f>'Revenue Drivers'!Q20</f>
        <v/>
      </c>
      <c r="R15" s="10">
        <f>'Revenue Drivers'!R20</f>
        <v/>
      </c>
      <c r="S15" s="10">
        <f>'Revenue Drivers'!S20</f>
        <v/>
      </c>
      <c r="T15" s="10">
        <f>'Revenue Drivers'!T20</f>
        <v/>
      </c>
      <c r="U15" s="10">
        <f>'Revenue Drivers'!U20</f>
        <v/>
      </c>
      <c r="V15" s="10">
        <f>'Revenue Drivers'!V20</f>
        <v/>
      </c>
      <c r="W15" s="10">
        <f>'Revenue Drivers'!W20</f>
        <v/>
      </c>
      <c r="X15" s="10">
        <f>SUM(D15:G15)</f>
        <v/>
      </c>
      <c r="Y15" s="10">
        <f>SUM(H15:K15)</f>
        <v/>
      </c>
      <c r="Z15" s="10">
        <f>SUM(L15:O15)</f>
        <v/>
      </c>
      <c r="AA15" s="10">
        <f>SUM(P15:S15)</f>
        <v/>
      </c>
      <c r="AB15" s="10">
        <f>SUM(T15:W15)</f>
        <v/>
      </c>
    </row>
    <row r="16">
      <c r="A16" s="8" t="inlineStr">
        <is>
          <t>Primary line of business / Catering - Unit Price</t>
        </is>
      </c>
      <c r="B16" s="8" t="inlineStr">
        <is>
          <t>Revenue Drivers schedule</t>
        </is>
      </c>
      <c r="C16" s="12">
        <f>'Revenue Drivers'!C21</f>
        <v/>
      </c>
      <c r="D16" s="12">
        <f>'Revenue Drivers'!D21</f>
        <v/>
      </c>
      <c r="E16" s="12">
        <f>'Revenue Drivers'!E21</f>
        <v/>
      </c>
      <c r="F16" s="12">
        <f>'Revenue Drivers'!F21</f>
        <v/>
      </c>
      <c r="G16" s="12">
        <f>'Revenue Drivers'!G21</f>
        <v/>
      </c>
      <c r="H16" s="12">
        <f>'Revenue Drivers'!H21</f>
        <v/>
      </c>
      <c r="I16" s="12">
        <f>'Revenue Drivers'!I21</f>
        <v/>
      </c>
      <c r="J16" s="12">
        <f>'Revenue Drivers'!J21</f>
        <v/>
      </c>
      <c r="K16" s="12">
        <f>'Revenue Drivers'!K21</f>
        <v/>
      </c>
      <c r="L16" s="12">
        <f>'Revenue Drivers'!L21</f>
        <v/>
      </c>
      <c r="M16" s="12">
        <f>'Revenue Drivers'!M21</f>
        <v/>
      </c>
      <c r="N16" s="12">
        <f>'Revenue Drivers'!N21</f>
        <v/>
      </c>
      <c r="O16" s="12">
        <f>'Revenue Drivers'!O21</f>
        <v/>
      </c>
      <c r="P16" s="12">
        <f>'Revenue Drivers'!P21</f>
        <v/>
      </c>
      <c r="Q16" s="12">
        <f>'Revenue Drivers'!Q21</f>
        <v/>
      </c>
      <c r="R16" s="12">
        <f>'Revenue Drivers'!R21</f>
        <v/>
      </c>
      <c r="S16" s="12">
        <f>'Revenue Drivers'!S21</f>
        <v/>
      </c>
      <c r="T16" s="12">
        <f>'Revenue Drivers'!T21</f>
        <v/>
      </c>
      <c r="U16" s="12">
        <f>'Revenue Drivers'!U21</f>
        <v/>
      </c>
      <c r="V16" s="12">
        <f>'Revenue Drivers'!V21</f>
        <v/>
      </c>
      <c r="W16" s="12">
        <f>'Revenue Drivers'!W21</f>
        <v/>
      </c>
      <c r="X16" s="12">
        <f>SUM(D16:G16)</f>
        <v/>
      </c>
      <c r="Y16" s="12">
        <f>SUM(H16:K16)</f>
        <v/>
      </c>
      <c r="Z16" s="12">
        <f>SUM(L16:O16)</f>
        <v/>
      </c>
      <c r="AA16" s="12">
        <f>SUM(P16:S16)</f>
        <v/>
      </c>
      <c r="AB16" s="12">
        <f>SUM(T16:W16)</f>
        <v/>
      </c>
    </row>
    <row r="17">
      <c r="A17" s="8" t="inlineStr">
        <is>
          <t>Primary line of business / Catering - Utilization</t>
        </is>
      </c>
      <c r="B17" s="8" t="inlineStr">
        <is>
          <t>Revenue Drivers schedule</t>
        </is>
      </c>
      <c r="C17" s="14">
        <f>'Revenue Drivers'!C22</f>
        <v/>
      </c>
      <c r="D17" s="14">
        <f>'Revenue Drivers'!D22</f>
        <v/>
      </c>
      <c r="E17" s="14">
        <f>'Revenue Drivers'!E22</f>
        <v/>
      </c>
      <c r="F17" s="14">
        <f>'Revenue Drivers'!F22</f>
        <v/>
      </c>
      <c r="G17" s="14">
        <f>'Revenue Drivers'!G22</f>
        <v/>
      </c>
      <c r="H17" s="14">
        <f>'Revenue Drivers'!H22</f>
        <v/>
      </c>
      <c r="I17" s="14">
        <f>'Revenue Drivers'!I22</f>
        <v/>
      </c>
      <c r="J17" s="14">
        <f>'Revenue Drivers'!J22</f>
        <v/>
      </c>
      <c r="K17" s="14">
        <f>'Revenue Drivers'!K22</f>
        <v/>
      </c>
      <c r="L17" s="14">
        <f>'Revenue Drivers'!L22</f>
        <v/>
      </c>
      <c r="M17" s="14">
        <f>'Revenue Drivers'!M22</f>
        <v/>
      </c>
      <c r="N17" s="14">
        <f>'Revenue Drivers'!N22</f>
        <v/>
      </c>
      <c r="O17" s="14">
        <f>'Revenue Drivers'!O22</f>
        <v/>
      </c>
      <c r="P17" s="14">
        <f>'Revenue Drivers'!P22</f>
        <v/>
      </c>
      <c r="Q17" s="14">
        <f>'Revenue Drivers'!Q22</f>
        <v/>
      </c>
      <c r="R17" s="14">
        <f>'Revenue Drivers'!R22</f>
        <v/>
      </c>
      <c r="S17" s="14">
        <f>'Revenue Drivers'!S22</f>
        <v/>
      </c>
      <c r="T17" s="14">
        <f>'Revenue Drivers'!T22</f>
        <v/>
      </c>
      <c r="U17" s="14">
        <f>'Revenue Drivers'!U22</f>
        <v/>
      </c>
      <c r="V17" s="14">
        <f>'Revenue Drivers'!V22</f>
        <v/>
      </c>
      <c r="W17" s="14">
        <f>'Revenue Drivers'!W22</f>
        <v/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8" t="inlineStr">
        <is>
          <t>Primary line of business / Catering - Revenue</t>
        </is>
      </c>
      <c r="B18" s="8" t="inlineStr">
        <is>
          <t>Revenue Drivers schedule</t>
        </is>
      </c>
      <c r="C18" s="12">
        <f>'Revenue Drivers'!C23</f>
        <v/>
      </c>
      <c r="D18" s="12">
        <f>'Revenue Drivers'!D23</f>
        <v/>
      </c>
      <c r="E18" s="12">
        <f>'Revenue Drivers'!E23</f>
        <v/>
      </c>
      <c r="F18" s="12">
        <f>'Revenue Drivers'!F23</f>
        <v/>
      </c>
      <c r="G18" s="12">
        <f>'Revenue Drivers'!G23</f>
        <v/>
      </c>
      <c r="H18" s="12">
        <f>'Revenue Drivers'!H23</f>
        <v/>
      </c>
      <c r="I18" s="12">
        <f>'Revenue Drivers'!I23</f>
        <v/>
      </c>
      <c r="J18" s="12">
        <f>'Revenue Drivers'!J23</f>
        <v/>
      </c>
      <c r="K18" s="12">
        <f>'Revenue Drivers'!K23</f>
        <v/>
      </c>
      <c r="L18" s="12">
        <f>'Revenue Drivers'!L23</f>
        <v/>
      </c>
      <c r="M18" s="12">
        <f>'Revenue Drivers'!M23</f>
        <v/>
      </c>
      <c r="N18" s="12">
        <f>'Revenue Drivers'!N23</f>
        <v/>
      </c>
      <c r="O18" s="12">
        <f>'Revenue Drivers'!O23</f>
        <v/>
      </c>
      <c r="P18" s="12">
        <f>'Revenue Drivers'!P23</f>
        <v/>
      </c>
      <c r="Q18" s="12">
        <f>'Revenue Drivers'!Q23</f>
        <v/>
      </c>
      <c r="R18" s="12">
        <f>'Revenue Drivers'!R23</f>
        <v/>
      </c>
      <c r="S18" s="12">
        <f>'Revenue Drivers'!S23</f>
        <v/>
      </c>
      <c r="T18" s="12">
        <f>'Revenue Drivers'!T23</f>
        <v/>
      </c>
      <c r="U18" s="12">
        <f>'Revenue Drivers'!U23</f>
        <v/>
      </c>
      <c r="V18" s="12">
        <f>'Revenue Drivers'!V23</f>
        <v/>
      </c>
      <c r="W18" s="12">
        <f>'Revenue Drivers'!W23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19" t="inlineStr">
        <is>
          <t>Revenue</t>
        </is>
      </c>
      <c r="B19" s="19" t="inlineStr">
        <is>
          <t>Revenue Drivers schedule</t>
        </is>
      </c>
      <c r="C19" s="20">
        <f>'Revenue Drivers'!C26</f>
        <v/>
      </c>
      <c r="D19" s="20">
        <f>'Revenue Drivers'!D26</f>
        <v/>
      </c>
      <c r="E19" s="20">
        <f>'Revenue Drivers'!E26</f>
        <v/>
      </c>
      <c r="F19" s="20">
        <f>'Revenue Drivers'!F26</f>
        <v/>
      </c>
      <c r="G19" s="20">
        <f>'Revenue Drivers'!G26</f>
        <v/>
      </c>
      <c r="H19" s="20">
        <f>'Revenue Drivers'!H26</f>
        <v/>
      </c>
      <c r="I19" s="20">
        <f>'Revenue Drivers'!I26</f>
        <v/>
      </c>
      <c r="J19" s="20">
        <f>'Revenue Drivers'!J26</f>
        <v/>
      </c>
      <c r="K19" s="20">
        <f>'Revenue Drivers'!K26</f>
        <v/>
      </c>
      <c r="L19" s="20">
        <f>'Revenue Drivers'!L26</f>
        <v/>
      </c>
      <c r="M19" s="20">
        <f>'Revenue Drivers'!M26</f>
        <v/>
      </c>
      <c r="N19" s="20">
        <f>'Revenue Drivers'!N26</f>
        <v/>
      </c>
      <c r="O19" s="20">
        <f>'Revenue Drivers'!O26</f>
        <v/>
      </c>
      <c r="P19" s="20">
        <f>'Revenue Drivers'!P26</f>
        <v/>
      </c>
      <c r="Q19" s="20">
        <f>'Revenue Drivers'!Q26</f>
        <v/>
      </c>
      <c r="R19" s="20">
        <f>'Revenue Drivers'!R26</f>
        <v/>
      </c>
      <c r="S19" s="20">
        <f>'Revenue Drivers'!S26</f>
        <v/>
      </c>
      <c r="T19" s="20">
        <f>'Revenue Drivers'!T26</f>
        <v/>
      </c>
      <c r="U19" s="20">
        <f>'Revenue Drivers'!U26</f>
        <v/>
      </c>
      <c r="V19" s="20">
        <f>'Revenue Drivers'!V26</f>
        <v/>
      </c>
      <c r="W19" s="20">
        <f>'Revenue Drivers'!W26</f>
        <v/>
      </c>
      <c r="X19" s="20">
        <f>SUM(D19:G19)</f>
        <v/>
      </c>
      <c r="Y19" s="20">
        <f>SUM(H19:K19)</f>
        <v/>
      </c>
      <c r="Z19" s="20">
        <f>SUM(L19:O19)</f>
        <v/>
      </c>
      <c r="AA19" s="20">
        <f>SUM(P19:S19)</f>
        <v/>
      </c>
      <c r="AB19" s="20">
        <f>SUM(T19:W19)</f>
        <v/>
      </c>
    </row>
    <row r="20">
      <c r="A20" s="8" t="inlineStr">
        <is>
          <t>Cost of Goods Sold</t>
        </is>
      </c>
      <c r="B20" s="8" t="inlineStr">
        <is>
          <t>Direct model driver</t>
        </is>
      </c>
      <c r="C20" s="14" t="n">
        <v>0.682804</v>
      </c>
      <c r="D20" s="14" t="n">
        <v>0.26</v>
      </c>
      <c r="E20" s="14" t="n">
        <v>0.256</v>
      </c>
      <c r="F20" s="14" t="n">
        <v>0.252</v>
      </c>
      <c r="G20" s="14" t="n">
        <v>0.248</v>
      </c>
      <c r="H20" s="14" t="n">
        <v>0.244</v>
      </c>
      <c r="I20" s="14" t="n">
        <v>0.24</v>
      </c>
      <c r="J20" s="14" t="n">
        <v>0.236</v>
      </c>
      <c r="K20" s="14" t="n">
        <v>0.232</v>
      </c>
      <c r="L20" s="14" t="n">
        <v>0.228</v>
      </c>
      <c r="M20" s="14" t="n">
        <v>0.224</v>
      </c>
      <c r="N20" s="14" t="n">
        <v>0.22</v>
      </c>
      <c r="O20" s="14" t="n">
        <v>0.2177777777777778</v>
      </c>
      <c r="P20" s="14" t="n">
        <v>0.2155555555555556</v>
      </c>
      <c r="Q20" s="14" t="n">
        <v>0.2133333333333334</v>
      </c>
      <c r="R20" s="14" t="n">
        <v>0.2111111111111111</v>
      </c>
      <c r="S20" s="14" t="n">
        <v>0.2088888888888889</v>
      </c>
      <c r="T20" s="14" t="n">
        <v>0.2066666666666667</v>
      </c>
      <c r="U20" s="14" t="n">
        <v>0.2044444444444444</v>
      </c>
      <c r="V20" s="14" t="n">
        <v>0.2022222222222222</v>
      </c>
      <c r="W20" s="14" t="n">
        <v>0.2</v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Marketing</t>
        </is>
      </c>
      <c r="B21" s="8" t="inlineStr">
        <is>
          <t>Direct model driver</t>
        </is>
      </c>
      <c r="C21" s="14" t="n">
        <v>0.07000000000000001</v>
      </c>
      <c r="D21" s="14" t="n">
        <v>0.07000000000000001</v>
      </c>
      <c r="E21" s="14" t="n">
        <v>0.06700000000000002</v>
      </c>
      <c r="F21" s="14" t="n">
        <v>0.064</v>
      </c>
      <c r="G21" s="14" t="n">
        <v>0.061</v>
      </c>
      <c r="H21" s="14" t="n">
        <v>0.058</v>
      </c>
      <c r="I21" s="14" t="n">
        <v>0.05500000000000001</v>
      </c>
      <c r="J21" s="14" t="n">
        <v>0.052</v>
      </c>
      <c r="K21" s="14" t="n">
        <v>0.049</v>
      </c>
      <c r="L21" s="14" t="n">
        <v>0.046</v>
      </c>
      <c r="M21" s="14" t="n">
        <v>0.043</v>
      </c>
      <c r="N21" s="14" t="n">
        <v>0.04</v>
      </c>
      <c r="O21" s="14" t="n">
        <v>0.03888888888888889</v>
      </c>
      <c r="P21" s="14" t="n">
        <v>0.03777777777777778</v>
      </c>
      <c r="Q21" s="14" t="n">
        <v>0.03666666666666667</v>
      </c>
      <c r="R21" s="14" t="n">
        <v>0.03555555555555556</v>
      </c>
      <c r="S21" s="14" t="n">
        <v>0.03444444444444444</v>
      </c>
      <c r="T21" s="14" t="n">
        <v>0.03333333333333333</v>
      </c>
      <c r="U21" s="14" t="n">
        <v>0.03222222222222222</v>
      </c>
      <c r="V21" s="14" t="n">
        <v>0.03111111111111111</v>
      </c>
      <c r="W21" s="14" t="n">
        <v>0.03</v>
      </c>
      <c r="X21" s="14">
        <f>SUM(D21:G21)</f>
        <v/>
      </c>
      <c r="Y21" s="14">
        <f>SUM(H21:K21)</f>
        <v/>
      </c>
      <c r="Z21" s="14">
        <f>SUM(L21:O21)</f>
        <v/>
      </c>
      <c r="AA21" s="14">
        <f>SUM(P21:S21)</f>
        <v/>
      </c>
      <c r="AB21" s="14">
        <f>SUM(T21:W21)</f>
        <v/>
      </c>
    </row>
    <row r="22">
      <c r="A22" s="8" t="inlineStr">
        <is>
          <t>Research &amp; Development</t>
        </is>
      </c>
      <c r="B22" s="8" t="inlineStr">
        <is>
          <t>Direct model driver</t>
        </is>
      </c>
      <c r="C22" s="14" t="n">
        <v>0</v>
      </c>
      <c r="D22" s="14" t="n">
        <v>0.01</v>
      </c>
      <c r="E22" s="14" t="n">
        <v>0.009500000000000001</v>
      </c>
      <c r="F22" s="14" t="n">
        <v>0.009000000000000001</v>
      </c>
      <c r="G22" s="14" t="n">
        <v>0.008499999999999999</v>
      </c>
      <c r="H22" s="14" t="n">
        <v>0.008</v>
      </c>
      <c r="I22" s="14" t="n">
        <v>0.0075</v>
      </c>
      <c r="J22" s="14" t="n">
        <v>0.007</v>
      </c>
      <c r="K22" s="14" t="n">
        <v>0.006500000000000001</v>
      </c>
      <c r="L22" s="14" t="n">
        <v>0.006</v>
      </c>
      <c r="M22" s="14" t="n">
        <v>0.005500000000000001</v>
      </c>
      <c r="N22" s="14" t="n">
        <v>0.005</v>
      </c>
      <c r="O22" s="14" t="n">
        <v>0.005</v>
      </c>
      <c r="P22" s="14" t="n">
        <v>0.005</v>
      </c>
      <c r="Q22" s="14" t="n">
        <v>0.005000000000000001</v>
      </c>
      <c r="R22" s="14" t="n">
        <v>0.005</v>
      </c>
      <c r="S22" s="14" t="n">
        <v>0.005</v>
      </c>
      <c r="T22" s="14" t="n">
        <v>0.005</v>
      </c>
      <c r="U22" s="14" t="n">
        <v>0.005</v>
      </c>
      <c r="V22" s="14" t="n">
        <v>0.005</v>
      </c>
      <c r="W22" s="14" t="n">
        <v>0.005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3">
      <c r="A23" s="34" t="inlineStr">
        <is>
          <t>Lease</t>
        </is>
      </c>
      <c r="B23" s="34" t="inlineStr">
        <is>
          <t>Cash Equity Schedule output</t>
        </is>
      </c>
      <c r="C23" s="35">
        <f>'Cash Equity Schedule'!C12</f>
        <v/>
      </c>
      <c r="D23" s="35">
        <f>'Cash Equity Schedule'!D12</f>
        <v/>
      </c>
      <c r="E23" s="35">
        <f>'Cash Equity Schedule'!E12</f>
        <v/>
      </c>
      <c r="F23" s="35">
        <f>'Cash Equity Schedule'!F12</f>
        <v/>
      </c>
      <c r="G23" s="35">
        <f>'Cash Equity Schedule'!G12</f>
        <v/>
      </c>
      <c r="H23" s="35">
        <f>'Cash Equity Schedule'!H12</f>
        <v/>
      </c>
      <c r="I23" s="35">
        <f>'Cash Equity Schedule'!I12</f>
        <v/>
      </c>
      <c r="J23" s="35">
        <f>'Cash Equity Schedule'!J12</f>
        <v/>
      </c>
      <c r="K23" s="35">
        <f>'Cash Equity Schedule'!K12</f>
        <v/>
      </c>
      <c r="L23" s="35">
        <f>'Cash Equity Schedule'!L12</f>
        <v/>
      </c>
      <c r="M23" s="35">
        <f>'Cash Equity Schedule'!M12</f>
        <v/>
      </c>
      <c r="N23" s="35">
        <f>'Cash Equity Schedule'!N12</f>
        <v/>
      </c>
      <c r="O23" s="35">
        <f>'Cash Equity Schedule'!O12</f>
        <v/>
      </c>
      <c r="P23" s="35">
        <f>'Cash Equity Schedule'!P12</f>
        <v/>
      </c>
      <c r="Q23" s="35">
        <f>'Cash Equity Schedule'!Q12</f>
        <v/>
      </c>
      <c r="R23" s="35">
        <f>'Cash Equity Schedule'!R12</f>
        <v/>
      </c>
      <c r="S23" s="35">
        <f>'Cash Equity Schedule'!S12</f>
        <v/>
      </c>
      <c r="T23" s="35">
        <f>'Cash Equity Schedule'!T12</f>
        <v/>
      </c>
      <c r="U23" s="35">
        <f>'Cash Equity Schedule'!U12</f>
        <v/>
      </c>
      <c r="V23" s="35">
        <f>'Cash Equity Schedule'!V12</f>
        <v/>
      </c>
      <c r="W23" s="35">
        <f>'Cash Equity Schedule'!W12</f>
        <v/>
      </c>
      <c r="X23" s="35">
        <f>SUM(D23:G23)</f>
        <v/>
      </c>
      <c r="Y23" s="35">
        <f>SUM(H23:K23)</f>
        <v/>
      </c>
      <c r="Z23" s="35">
        <f>SUM(L23:O23)</f>
        <v/>
      </c>
      <c r="AA23" s="35">
        <f>SUM(P23:S23)</f>
        <v/>
      </c>
      <c r="AB23" s="35">
        <f>SUM(T23:W23)</f>
        <v/>
      </c>
    </row>
    <row r="24">
      <c r="A24" s="34" t="inlineStr">
        <is>
          <t>Payroll</t>
        </is>
      </c>
      <c r="B24" s="34" t="inlineStr">
        <is>
          <t>Payroll Schedule output</t>
        </is>
      </c>
      <c r="C24" s="35" t="n">
        <v>61308.125</v>
      </c>
      <c r="D24" s="35">
        <f>'Payroll Schedule'!D17</f>
        <v/>
      </c>
      <c r="E24" s="35">
        <f>'Payroll Schedule'!E17</f>
        <v/>
      </c>
      <c r="F24" s="35">
        <f>'Payroll Schedule'!F17</f>
        <v/>
      </c>
      <c r="G24" s="35">
        <f>'Payroll Schedule'!G17</f>
        <v/>
      </c>
      <c r="H24" s="35">
        <f>'Payroll Schedule'!H17</f>
        <v/>
      </c>
      <c r="I24" s="35">
        <f>'Payroll Schedule'!I17</f>
        <v/>
      </c>
      <c r="J24" s="35">
        <f>'Payroll Schedule'!J17</f>
        <v/>
      </c>
      <c r="K24" s="35">
        <f>'Payroll Schedule'!K17</f>
        <v/>
      </c>
      <c r="L24" s="35">
        <f>'Payroll Schedule'!L17</f>
        <v/>
      </c>
      <c r="M24" s="35">
        <f>'Payroll Schedule'!M17</f>
        <v/>
      </c>
      <c r="N24" s="35">
        <f>'Payroll Schedule'!N17</f>
        <v/>
      </c>
      <c r="O24" s="35">
        <f>'Payroll Schedule'!O17</f>
        <v/>
      </c>
      <c r="P24" s="35">
        <f>'Payroll Schedule'!P17</f>
        <v/>
      </c>
      <c r="Q24" s="35">
        <f>'Payroll Schedule'!Q17</f>
        <v/>
      </c>
      <c r="R24" s="35">
        <f>'Payroll Schedule'!R17</f>
        <v/>
      </c>
      <c r="S24" s="35">
        <f>'Payroll Schedule'!S17</f>
        <v/>
      </c>
      <c r="T24" s="35">
        <f>'Payroll Schedule'!T17</f>
        <v/>
      </c>
      <c r="U24" s="35">
        <f>'Payroll Schedule'!U17</f>
        <v/>
      </c>
      <c r="V24" s="35">
        <f>'Payroll Schedule'!V17</f>
        <v/>
      </c>
      <c r="W24" s="35">
        <f>'Payroll Schedule'!W17</f>
        <v/>
      </c>
      <c r="X24" s="35">
        <f>SUM(D24:G24)</f>
        <v/>
      </c>
      <c r="Y24" s="35">
        <f>SUM(H24:K24)</f>
        <v/>
      </c>
      <c r="Z24" s="35">
        <f>SUM(L24:O24)</f>
        <v/>
      </c>
      <c r="AA24" s="35">
        <f>SUM(P24:S24)</f>
        <v/>
      </c>
      <c r="AB24" s="35">
        <f>SUM(T24:W24)</f>
        <v/>
      </c>
    </row>
    <row r="25">
      <c r="A25" s="8" t="inlineStr">
        <is>
          <t>General &amp; Administrative</t>
        </is>
      </c>
      <c r="B25" s="8" t="inlineStr">
        <is>
          <t>Direct model driver</t>
        </is>
      </c>
      <c r="C25" s="14" t="n">
        <v>0.00065</v>
      </c>
      <c r="D25" s="14" t="n">
        <v>0.07000000000000001</v>
      </c>
      <c r="E25" s="14" t="n">
        <v>0.06800000000000002</v>
      </c>
      <c r="F25" s="14" t="n">
        <v>0.066</v>
      </c>
      <c r="G25" s="14" t="n">
        <v>0.064</v>
      </c>
      <c r="H25" s="14" t="n">
        <v>0.06200000000000001</v>
      </c>
      <c r="I25" s="14" t="n">
        <v>0.06</v>
      </c>
      <c r="J25" s="14" t="n">
        <v>0.058</v>
      </c>
      <c r="K25" s="14" t="n">
        <v>0.056</v>
      </c>
      <c r="L25" s="14" t="n">
        <v>0.05400000000000001</v>
      </c>
      <c r="M25" s="14" t="n">
        <v>0.052</v>
      </c>
      <c r="N25" s="14" t="n">
        <v>0.05</v>
      </c>
      <c r="O25" s="14" t="n">
        <v>0.04888888888888889</v>
      </c>
      <c r="P25" s="14" t="n">
        <v>0.04777777777777778</v>
      </c>
      <c r="Q25" s="14" t="n">
        <v>0.04666666666666668</v>
      </c>
      <c r="R25" s="14" t="n">
        <v>0.04555555555555556</v>
      </c>
      <c r="S25" s="14" t="n">
        <v>0.04444444444444445</v>
      </c>
      <c r="T25" s="14" t="n">
        <v>0.04333333333333333</v>
      </c>
      <c r="U25" s="14" t="n">
        <v>0.04222222222222222</v>
      </c>
      <c r="V25" s="14" t="n">
        <v>0.04111111111111111</v>
      </c>
      <c r="W25" s="14" t="n">
        <v>0.04</v>
      </c>
      <c r="X25" s="14">
        <f>SUM(D25:G25)</f>
        <v/>
      </c>
      <c r="Y25" s="14">
        <f>SUM(H25:K25)</f>
        <v/>
      </c>
      <c r="Z25" s="14">
        <f>SUM(L25:O25)</f>
        <v/>
      </c>
      <c r="AA25" s="14">
        <f>SUM(P25:S25)</f>
        <v/>
      </c>
      <c r="AB25" s="14">
        <f>SUM(T25:W25)</f>
        <v/>
      </c>
    </row>
    <row r="26">
      <c r="A26" s="34" t="inlineStr">
        <is>
          <t>Interest Rate</t>
        </is>
      </c>
      <c r="B26" s="34" t="inlineStr">
        <is>
          <t>Debt Schedule output</t>
        </is>
      </c>
      <c r="C26" s="36">
        <f>'Debt Schedule'!C12</f>
        <v/>
      </c>
      <c r="D26" s="36">
        <f>'Debt Schedule'!D12</f>
        <v/>
      </c>
      <c r="E26" s="36">
        <f>'Debt Schedule'!E12</f>
        <v/>
      </c>
      <c r="F26" s="36">
        <f>'Debt Schedule'!F12</f>
        <v/>
      </c>
      <c r="G26" s="36">
        <f>'Debt Schedule'!G12</f>
        <v/>
      </c>
      <c r="H26" s="36">
        <f>'Debt Schedule'!H12</f>
        <v/>
      </c>
      <c r="I26" s="36">
        <f>'Debt Schedule'!I12</f>
        <v/>
      </c>
      <c r="J26" s="36">
        <f>'Debt Schedule'!J12</f>
        <v/>
      </c>
      <c r="K26" s="36">
        <f>'Debt Schedule'!K12</f>
        <v/>
      </c>
      <c r="L26" s="36">
        <f>'Debt Schedule'!L12</f>
        <v/>
      </c>
      <c r="M26" s="36">
        <f>'Debt Schedule'!M12</f>
        <v/>
      </c>
      <c r="N26" s="36">
        <f>'Debt Schedule'!N12</f>
        <v/>
      </c>
      <c r="O26" s="36">
        <f>'Debt Schedule'!O12</f>
        <v/>
      </c>
      <c r="P26" s="36">
        <f>'Debt Schedule'!P12</f>
        <v/>
      </c>
      <c r="Q26" s="36">
        <f>'Debt Schedule'!Q12</f>
        <v/>
      </c>
      <c r="R26" s="36">
        <f>'Debt Schedule'!R12</f>
        <v/>
      </c>
      <c r="S26" s="36">
        <f>'Debt Schedule'!S12</f>
        <v/>
      </c>
      <c r="T26" s="36">
        <f>'Debt Schedule'!T12</f>
        <v/>
      </c>
      <c r="U26" s="36">
        <f>'Debt Schedule'!U12</f>
        <v/>
      </c>
      <c r="V26" s="36">
        <f>'Debt Schedule'!V12</f>
        <v/>
      </c>
      <c r="W26" s="36">
        <f>'Debt Schedule'!W12</f>
        <v/>
      </c>
      <c r="X26" s="36">
        <f>SUM(D26:G26)</f>
        <v/>
      </c>
      <c r="Y26" s="36">
        <f>SUM(H26:K26)</f>
        <v/>
      </c>
      <c r="Z26" s="36">
        <f>SUM(L26:O26)</f>
        <v/>
      </c>
      <c r="AA26" s="36">
        <f>SUM(P26:S26)</f>
        <v/>
      </c>
      <c r="AB26" s="36">
        <f>SUM(T26:W26)</f>
        <v/>
      </c>
    </row>
    <row r="27">
      <c r="A27" s="34" t="inlineStr">
        <is>
          <t>Interest Expense</t>
        </is>
      </c>
      <c r="B27" s="34" t="inlineStr">
        <is>
          <t>Debt Schedule output</t>
        </is>
      </c>
      <c r="C27" s="35" t="n">
        <v>0</v>
      </c>
      <c r="D27" s="35">
        <f>'Debt Schedule'!D13</f>
        <v/>
      </c>
      <c r="E27" s="35">
        <f>'Debt Schedule'!E13</f>
        <v/>
      </c>
      <c r="F27" s="35">
        <f>'Debt Schedule'!F13</f>
        <v/>
      </c>
      <c r="G27" s="35">
        <f>'Debt Schedule'!G13</f>
        <v/>
      </c>
      <c r="H27" s="35">
        <f>'Debt Schedule'!H13</f>
        <v/>
      </c>
      <c r="I27" s="35">
        <f>'Debt Schedule'!I13</f>
        <v/>
      </c>
      <c r="J27" s="35">
        <f>'Debt Schedule'!J13</f>
        <v/>
      </c>
      <c r="K27" s="35">
        <f>'Debt Schedule'!K13</f>
        <v/>
      </c>
      <c r="L27" s="35">
        <f>'Debt Schedule'!L13</f>
        <v/>
      </c>
      <c r="M27" s="35">
        <f>'Debt Schedule'!M13</f>
        <v/>
      </c>
      <c r="N27" s="35">
        <f>'Debt Schedule'!N13</f>
        <v/>
      </c>
      <c r="O27" s="35">
        <f>'Debt Schedule'!O13</f>
        <v/>
      </c>
      <c r="P27" s="35">
        <f>'Debt Schedule'!P13</f>
        <v/>
      </c>
      <c r="Q27" s="35">
        <f>'Debt Schedule'!Q13</f>
        <v/>
      </c>
      <c r="R27" s="35">
        <f>'Debt Schedule'!R13</f>
        <v/>
      </c>
      <c r="S27" s="35">
        <f>'Debt Schedule'!S13</f>
        <v/>
      </c>
      <c r="T27" s="35">
        <f>'Debt Schedule'!T13</f>
        <v/>
      </c>
      <c r="U27" s="35">
        <f>'Debt Schedule'!U13</f>
        <v/>
      </c>
      <c r="V27" s="35">
        <f>'Debt Schedule'!V13</f>
        <v/>
      </c>
      <c r="W27" s="35">
        <f>'Debt Schedule'!W13</f>
        <v/>
      </c>
      <c r="X27" s="35">
        <f>SUM(D27:G27)</f>
        <v/>
      </c>
      <c r="Y27" s="35">
        <f>SUM(H27:K27)</f>
        <v/>
      </c>
      <c r="Z27" s="35">
        <f>SUM(L27:O27)</f>
        <v/>
      </c>
      <c r="AA27" s="35">
        <f>SUM(P27:S27)</f>
        <v/>
      </c>
      <c r="AB27" s="35">
        <f>SUM(T27:W27)</f>
        <v/>
      </c>
    </row>
    <row r="28">
      <c r="A28" s="8" t="inlineStr">
        <is>
          <t>Depreciation</t>
        </is>
      </c>
      <c r="B28" s="8" t="inlineStr">
        <is>
          <t>CapEx Depreciation output</t>
        </is>
      </c>
      <c r="C28" s="14">
        <f>'CapEx Depreciation'!C10</f>
        <v/>
      </c>
      <c r="D28" s="14">
        <f>'CapEx Depreciation'!D10</f>
        <v/>
      </c>
      <c r="E28" s="14">
        <f>'CapEx Depreciation'!E10</f>
        <v/>
      </c>
      <c r="F28" s="14">
        <f>'CapEx Depreciation'!F10</f>
        <v/>
      </c>
      <c r="G28" s="14">
        <f>'CapEx Depreciation'!G10</f>
        <v/>
      </c>
      <c r="H28" s="14">
        <f>'CapEx Depreciation'!H10</f>
        <v/>
      </c>
      <c r="I28" s="14">
        <f>'CapEx Depreciation'!I10</f>
        <v/>
      </c>
      <c r="J28" s="14">
        <f>'CapEx Depreciation'!J10</f>
        <v/>
      </c>
      <c r="K28" s="14">
        <f>'CapEx Depreciation'!K10</f>
        <v/>
      </c>
      <c r="L28" s="14">
        <f>'CapEx Depreciation'!L10</f>
        <v/>
      </c>
      <c r="M28" s="14">
        <f>'CapEx Depreciation'!M10</f>
        <v/>
      </c>
      <c r="N28" s="14">
        <f>'CapEx Depreciation'!N10</f>
        <v/>
      </c>
      <c r="O28" s="14">
        <f>'CapEx Depreciation'!O10</f>
        <v/>
      </c>
      <c r="P28" s="14">
        <f>'CapEx Depreciation'!P10</f>
        <v/>
      </c>
      <c r="Q28" s="14">
        <f>'CapEx Depreciation'!Q10</f>
        <v/>
      </c>
      <c r="R28" s="14">
        <f>'CapEx Depreciation'!R10</f>
        <v/>
      </c>
      <c r="S28" s="14">
        <f>'CapEx Depreciation'!S10</f>
        <v/>
      </c>
      <c r="T28" s="14">
        <f>'CapEx Depreciation'!T10</f>
        <v/>
      </c>
      <c r="U28" s="14">
        <f>'CapEx Depreciation'!U10</f>
        <v/>
      </c>
      <c r="V28" s="14">
        <f>'CapEx Depreciation'!V10</f>
        <v/>
      </c>
      <c r="W28" s="14">
        <f>'CapEx Depreciation'!W10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Depreciation Expense</t>
        </is>
      </c>
      <c r="B29" s="8" t="inlineStr">
        <is>
          <t>CapEx Depreciation output</t>
        </is>
      </c>
      <c r="C29" s="12">
        <f>'CapEx Depreciation'!C11</f>
        <v/>
      </c>
      <c r="D29" s="12">
        <f>'CapEx Depreciation'!D11</f>
        <v/>
      </c>
      <c r="E29" s="12">
        <f>'CapEx Depreciation'!E11</f>
        <v/>
      </c>
      <c r="F29" s="12">
        <f>'CapEx Depreciation'!F11</f>
        <v/>
      </c>
      <c r="G29" s="12">
        <f>'CapEx Depreciation'!G11</f>
        <v/>
      </c>
      <c r="H29" s="12">
        <f>'CapEx Depreciation'!H11</f>
        <v/>
      </c>
      <c r="I29" s="12">
        <f>'CapEx Depreciation'!I11</f>
        <v/>
      </c>
      <c r="J29" s="12">
        <f>'CapEx Depreciation'!J11</f>
        <v/>
      </c>
      <c r="K29" s="12">
        <f>'CapEx Depreciation'!K11</f>
        <v/>
      </c>
      <c r="L29" s="12">
        <f>'CapEx Depreciation'!L11</f>
        <v/>
      </c>
      <c r="M29" s="12">
        <f>'CapEx Depreciation'!M11</f>
        <v/>
      </c>
      <c r="N29" s="12">
        <f>'CapEx Depreciation'!N11</f>
        <v/>
      </c>
      <c r="O29" s="12">
        <f>'CapEx Depreciation'!O11</f>
        <v/>
      </c>
      <c r="P29" s="12">
        <f>'CapEx Depreciation'!P11</f>
        <v/>
      </c>
      <c r="Q29" s="12">
        <f>'CapEx Depreciation'!Q11</f>
        <v/>
      </c>
      <c r="R29" s="12">
        <f>'CapEx Depreciation'!R11</f>
        <v/>
      </c>
      <c r="S29" s="12">
        <f>'CapEx Depreciation'!S11</f>
        <v/>
      </c>
      <c r="T29" s="12">
        <f>'CapEx Depreciation'!T11</f>
        <v/>
      </c>
      <c r="U29" s="12">
        <f>'CapEx Depreciation'!U11</f>
        <v/>
      </c>
      <c r="V29" s="12">
        <f>'CapEx Depreciation'!V11</f>
        <v/>
      </c>
      <c r="W29" s="12">
        <f>'CapEx Depreciation'!W11</f>
        <v/>
      </c>
      <c r="X29" s="12">
        <f>SUM(D29:G29)</f>
        <v/>
      </c>
      <c r="Y29" s="12">
        <f>SUM(H29:K29)</f>
        <v/>
      </c>
      <c r="Z29" s="12">
        <f>SUM(L29:O29)</f>
        <v/>
      </c>
      <c r="AA29" s="12">
        <f>SUM(P29:S29)</f>
        <v/>
      </c>
      <c r="AB29" s="12">
        <f>SUM(T29:W29)</f>
        <v/>
      </c>
    </row>
    <row r="30">
      <c r="A30" s="8" t="inlineStr">
        <is>
          <t>Taxes</t>
        </is>
      </c>
      <c r="B30" s="8" t="inlineStr">
        <is>
          <t>Direct model driver</t>
        </is>
      </c>
      <c r="C30" s="14" t="n">
        <v>0.220437</v>
      </c>
      <c r="D30" s="14" t="n">
        <v>0.220437</v>
      </c>
      <c r="E30" s="14" t="n">
        <v>0.220437</v>
      </c>
      <c r="F30" s="14" t="n">
        <v>0.220437</v>
      </c>
      <c r="G30" s="14" t="n">
        <v>0.220437</v>
      </c>
      <c r="H30" s="14" t="n">
        <v>0.220437</v>
      </c>
      <c r="I30" s="14" t="n">
        <v>0.220437</v>
      </c>
      <c r="J30" s="14" t="n">
        <v>0.220437</v>
      </c>
      <c r="K30" s="14" t="n">
        <v>0.220437</v>
      </c>
      <c r="L30" s="14" t="n">
        <v>0.220437</v>
      </c>
      <c r="M30" s="14" t="n">
        <v>0.220437</v>
      </c>
      <c r="N30" s="14" t="n">
        <v>0.220437</v>
      </c>
      <c r="O30" s="14" t="n">
        <v>0.220437</v>
      </c>
      <c r="P30" s="14" t="n">
        <v>0.220437</v>
      </c>
      <c r="Q30" s="14" t="n">
        <v>0.220437</v>
      </c>
      <c r="R30" s="14" t="n">
        <v>0.220437</v>
      </c>
      <c r="S30" s="14" t="n">
        <v>0.220437</v>
      </c>
      <c r="T30" s="14" t="n">
        <v>0.220437</v>
      </c>
      <c r="U30" s="14" t="n">
        <v>0.220437</v>
      </c>
      <c r="V30" s="14" t="n">
        <v>0.220437</v>
      </c>
      <c r="W30" s="14" t="n">
        <v>0.220437</v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2">
      <c r="A32" s="7" t="inlineStr">
        <is>
          <t>Balance Sheet Inputs</t>
        </is>
      </c>
    </row>
    <row r="33">
      <c r="A33" s="8" t="inlineStr">
        <is>
          <t>Accounts Receivable Days</t>
        </is>
      </c>
      <c r="B33" s="8" t="inlineStr">
        <is>
          <t>Working Capital schedule</t>
        </is>
      </c>
      <c r="C33" s="10">
        <f>'Working Capital'!C7</f>
        <v/>
      </c>
      <c r="D33" s="10">
        <f>'Working Capital'!D7</f>
        <v/>
      </c>
      <c r="E33" s="10">
        <f>'Working Capital'!E7</f>
        <v/>
      </c>
      <c r="F33" s="10">
        <f>'Working Capital'!F7</f>
        <v/>
      </c>
      <c r="G33" s="10">
        <f>'Working Capital'!G7</f>
        <v/>
      </c>
      <c r="H33" s="10">
        <f>'Working Capital'!H7</f>
        <v/>
      </c>
      <c r="I33" s="10">
        <f>'Working Capital'!I7</f>
        <v/>
      </c>
      <c r="J33" s="10">
        <f>'Working Capital'!J7</f>
        <v/>
      </c>
      <c r="K33" s="10">
        <f>'Working Capital'!K7</f>
        <v/>
      </c>
      <c r="L33" s="10">
        <f>'Working Capital'!L7</f>
        <v/>
      </c>
      <c r="M33" s="10">
        <f>'Working Capital'!M7</f>
        <v/>
      </c>
      <c r="N33" s="10">
        <f>'Working Capital'!N7</f>
        <v/>
      </c>
      <c r="O33" s="10">
        <f>'Working Capital'!O7</f>
        <v/>
      </c>
      <c r="P33" s="10">
        <f>'Working Capital'!P7</f>
        <v/>
      </c>
      <c r="Q33" s="10">
        <f>'Working Capital'!Q7</f>
        <v/>
      </c>
      <c r="R33" s="10">
        <f>'Working Capital'!R7</f>
        <v/>
      </c>
      <c r="S33" s="10">
        <f>'Working Capital'!S7</f>
        <v/>
      </c>
      <c r="T33" s="10">
        <f>'Working Capital'!T7</f>
        <v/>
      </c>
      <c r="U33" s="10">
        <f>'Working Capital'!U7</f>
        <v/>
      </c>
      <c r="V33" s="10">
        <f>'Working Capital'!V7</f>
        <v/>
      </c>
      <c r="W33" s="10">
        <f>'Working Capital'!W7</f>
        <v/>
      </c>
      <c r="X33" s="10">
        <f>SUM(D33:G33)</f>
        <v/>
      </c>
      <c r="Y33" s="10">
        <f>SUM(H33:K33)</f>
        <v/>
      </c>
      <c r="Z33" s="10">
        <f>SUM(L33:O33)</f>
        <v/>
      </c>
      <c r="AA33" s="10">
        <f>SUM(P33:S33)</f>
        <v/>
      </c>
      <c r="AB33" s="10">
        <f>SUM(T33:W33)</f>
        <v/>
      </c>
    </row>
    <row r="34">
      <c r="A34" s="8" t="inlineStr">
        <is>
          <t>Inventory Days</t>
        </is>
      </c>
      <c r="B34" s="8" t="inlineStr">
        <is>
          <t>Working Capital schedule</t>
        </is>
      </c>
      <c r="C34" s="10">
        <f>'Working Capital'!C8</f>
        <v/>
      </c>
      <c r="D34" s="10">
        <f>'Working Capital'!D8</f>
        <v/>
      </c>
      <c r="E34" s="10">
        <f>'Working Capital'!E8</f>
        <v/>
      </c>
      <c r="F34" s="10">
        <f>'Working Capital'!F8</f>
        <v/>
      </c>
      <c r="G34" s="10">
        <f>'Working Capital'!G8</f>
        <v/>
      </c>
      <c r="H34" s="10">
        <f>'Working Capital'!H8</f>
        <v/>
      </c>
      <c r="I34" s="10">
        <f>'Working Capital'!I8</f>
        <v/>
      </c>
      <c r="J34" s="10">
        <f>'Working Capital'!J8</f>
        <v/>
      </c>
      <c r="K34" s="10">
        <f>'Working Capital'!K8</f>
        <v/>
      </c>
      <c r="L34" s="10">
        <f>'Working Capital'!L8</f>
        <v/>
      </c>
      <c r="M34" s="10">
        <f>'Working Capital'!M8</f>
        <v/>
      </c>
      <c r="N34" s="10">
        <f>'Working Capital'!N8</f>
        <v/>
      </c>
      <c r="O34" s="10">
        <f>'Working Capital'!O8</f>
        <v/>
      </c>
      <c r="P34" s="10">
        <f>'Working Capital'!P8</f>
        <v/>
      </c>
      <c r="Q34" s="10">
        <f>'Working Capital'!Q8</f>
        <v/>
      </c>
      <c r="R34" s="10">
        <f>'Working Capital'!R8</f>
        <v/>
      </c>
      <c r="S34" s="10">
        <f>'Working Capital'!S8</f>
        <v/>
      </c>
      <c r="T34" s="10">
        <f>'Working Capital'!T8</f>
        <v/>
      </c>
      <c r="U34" s="10">
        <f>'Working Capital'!U8</f>
        <v/>
      </c>
      <c r="V34" s="10">
        <f>'Working Capital'!V8</f>
        <v/>
      </c>
      <c r="W34" s="10">
        <f>'Working Capital'!W8</f>
        <v/>
      </c>
      <c r="X34" s="10">
        <f>SUM(D34:G34)</f>
        <v/>
      </c>
      <c r="Y34" s="10">
        <f>SUM(H34:K34)</f>
        <v/>
      </c>
      <c r="Z34" s="10">
        <f>SUM(L34:O34)</f>
        <v/>
      </c>
      <c r="AA34" s="10">
        <f>SUM(P34:S34)</f>
        <v/>
      </c>
      <c r="AB34" s="10">
        <f>SUM(T34:W34)</f>
        <v/>
      </c>
    </row>
    <row r="35">
      <c r="A35" s="8" t="inlineStr">
        <is>
          <t>Accounts Payable Days</t>
        </is>
      </c>
      <c r="B35" s="8" t="inlineStr">
        <is>
          <t>Working Capital schedule</t>
        </is>
      </c>
      <c r="C35" s="10">
        <f>'Working Capital'!C9</f>
        <v/>
      </c>
      <c r="D35" s="10">
        <f>'Working Capital'!D9</f>
        <v/>
      </c>
      <c r="E35" s="10">
        <f>'Working Capital'!E9</f>
        <v/>
      </c>
      <c r="F35" s="10">
        <f>'Working Capital'!F9</f>
        <v/>
      </c>
      <c r="G35" s="10">
        <f>'Working Capital'!G9</f>
        <v/>
      </c>
      <c r="H35" s="10">
        <f>'Working Capital'!H9</f>
        <v/>
      </c>
      <c r="I35" s="10">
        <f>'Working Capital'!I9</f>
        <v/>
      </c>
      <c r="J35" s="10">
        <f>'Working Capital'!J9</f>
        <v/>
      </c>
      <c r="K35" s="10">
        <f>'Working Capital'!K9</f>
        <v/>
      </c>
      <c r="L35" s="10">
        <f>'Working Capital'!L9</f>
        <v/>
      </c>
      <c r="M35" s="10">
        <f>'Working Capital'!M9</f>
        <v/>
      </c>
      <c r="N35" s="10">
        <f>'Working Capital'!N9</f>
        <v/>
      </c>
      <c r="O35" s="10">
        <f>'Working Capital'!O9</f>
        <v/>
      </c>
      <c r="P35" s="10">
        <f>'Working Capital'!P9</f>
        <v/>
      </c>
      <c r="Q35" s="10">
        <f>'Working Capital'!Q9</f>
        <v/>
      </c>
      <c r="R35" s="10">
        <f>'Working Capital'!R9</f>
        <v/>
      </c>
      <c r="S35" s="10">
        <f>'Working Capital'!S9</f>
        <v/>
      </c>
      <c r="T35" s="10">
        <f>'Working Capital'!T9</f>
        <v/>
      </c>
      <c r="U35" s="10">
        <f>'Working Capital'!U9</f>
        <v/>
      </c>
      <c r="V35" s="10">
        <f>'Working Capital'!V9</f>
        <v/>
      </c>
      <c r="W35" s="10">
        <f>'Working Capital'!W9</f>
        <v/>
      </c>
      <c r="X35" s="10">
        <f>SUM(D35:G35)</f>
        <v/>
      </c>
      <c r="Y35" s="10">
        <f>SUM(H35:K35)</f>
        <v/>
      </c>
      <c r="Z35" s="10">
        <f>SUM(L35:O35)</f>
        <v/>
      </c>
      <c r="AA35" s="10">
        <f>SUM(P35:S35)</f>
        <v/>
      </c>
      <c r="AB35" s="10">
        <f>SUM(T35:W35)</f>
        <v/>
      </c>
    </row>
    <row r="36">
      <c r="A36" s="8" t="inlineStr">
        <is>
          <t>Prepaid Expenses (% of Revenue)</t>
        </is>
      </c>
      <c r="B36" s="8" t="inlineStr">
        <is>
          <t>Working Capital schedule</t>
        </is>
      </c>
      <c r="C36" s="14">
        <f>'Working Capital'!C10</f>
        <v/>
      </c>
      <c r="D36" s="14">
        <f>'Working Capital'!D10</f>
        <v/>
      </c>
      <c r="E36" s="14">
        <f>'Working Capital'!E10</f>
        <v/>
      </c>
      <c r="F36" s="14">
        <f>'Working Capital'!F10</f>
        <v/>
      </c>
      <c r="G36" s="14">
        <f>'Working Capital'!G10</f>
        <v/>
      </c>
      <c r="H36" s="14">
        <f>'Working Capital'!H10</f>
        <v/>
      </c>
      <c r="I36" s="14">
        <f>'Working Capital'!I10</f>
        <v/>
      </c>
      <c r="J36" s="14">
        <f>'Working Capital'!J10</f>
        <v/>
      </c>
      <c r="K36" s="14">
        <f>'Working Capital'!K10</f>
        <v/>
      </c>
      <c r="L36" s="14">
        <f>'Working Capital'!L10</f>
        <v/>
      </c>
      <c r="M36" s="14">
        <f>'Working Capital'!M10</f>
        <v/>
      </c>
      <c r="N36" s="14">
        <f>'Working Capital'!N10</f>
        <v/>
      </c>
      <c r="O36" s="14">
        <f>'Working Capital'!O10</f>
        <v/>
      </c>
      <c r="P36" s="14">
        <f>'Working Capital'!P10</f>
        <v/>
      </c>
      <c r="Q36" s="14">
        <f>'Working Capital'!Q10</f>
        <v/>
      </c>
      <c r="R36" s="14">
        <f>'Working Capital'!R10</f>
        <v/>
      </c>
      <c r="S36" s="14">
        <f>'Working Capital'!S10</f>
        <v/>
      </c>
      <c r="T36" s="14">
        <f>'Working Capital'!T10</f>
        <v/>
      </c>
      <c r="U36" s="14">
        <f>'Working Capital'!U10</f>
        <v/>
      </c>
      <c r="V36" s="14">
        <f>'Working Capital'!V10</f>
        <v/>
      </c>
      <c r="W36" s="14">
        <f>'Working Capital'!W10</f>
        <v/>
      </c>
      <c r="X36" s="14">
        <f>SUM(D36:G36)</f>
        <v/>
      </c>
      <c r="Y36" s="14">
        <f>SUM(H36:K36)</f>
        <v/>
      </c>
      <c r="Z36" s="14">
        <f>SUM(L36:O36)</f>
        <v/>
      </c>
      <c r="AA36" s="14">
        <f>SUM(P36:S36)</f>
        <v/>
      </c>
      <c r="AB36" s="14">
        <f>SUM(T36:W36)</f>
        <v/>
      </c>
    </row>
    <row r="37">
      <c r="A37" s="8" t="inlineStr">
        <is>
          <t>Deferred Revenue (% of Revenue)</t>
        </is>
      </c>
      <c r="B37" s="8" t="inlineStr">
        <is>
          <t>Working Capital schedule</t>
        </is>
      </c>
      <c r="C37" s="14">
        <f>'Working Capital'!C11</f>
        <v/>
      </c>
      <c r="D37" s="14">
        <f>'Working Capital'!D11</f>
        <v/>
      </c>
      <c r="E37" s="14">
        <f>'Working Capital'!E11</f>
        <v/>
      </c>
      <c r="F37" s="14">
        <f>'Working Capital'!F11</f>
        <v/>
      </c>
      <c r="G37" s="14">
        <f>'Working Capital'!G11</f>
        <v/>
      </c>
      <c r="H37" s="14">
        <f>'Working Capital'!H11</f>
        <v/>
      </c>
      <c r="I37" s="14">
        <f>'Working Capital'!I11</f>
        <v/>
      </c>
      <c r="J37" s="14">
        <f>'Working Capital'!J11</f>
        <v/>
      </c>
      <c r="K37" s="14">
        <f>'Working Capital'!K11</f>
        <v/>
      </c>
      <c r="L37" s="14">
        <f>'Working Capital'!L11</f>
        <v/>
      </c>
      <c r="M37" s="14">
        <f>'Working Capital'!M11</f>
        <v/>
      </c>
      <c r="N37" s="14">
        <f>'Working Capital'!N11</f>
        <v/>
      </c>
      <c r="O37" s="14">
        <f>'Working Capital'!O11</f>
        <v/>
      </c>
      <c r="P37" s="14">
        <f>'Working Capital'!P11</f>
        <v/>
      </c>
      <c r="Q37" s="14">
        <f>'Working Capital'!Q11</f>
        <v/>
      </c>
      <c r="R37" s="14">
        <f>'Working Capital'!R11</f>
        <v/>
      </c>
      <c r="S37" s="14">
        <f>'Working Capital'!S11</f>
        <v/>
      </c>
      <c r="T37" s="14">
        <f>'Working Capital'!T11</f>
        <v/>
      </c>
      <c r="U37" s="14">
        <f>'Working Capital'!U11</f>
        <v/>
      </c>
      <c r="V37" s="14">
        <f>'Working Capital'!V11</f>
        <v/>
      </c>
      <c r="W37" s="14">
        <f>'Working Capital'!W11</f>
        <v/>
      </c>
      <c r="X37" s="14">
        <f>SUM(D37:G37)</f>
        <v/>
      </c>
      <c r="Y37" s="14">
        <f>SUM(H37:K37)</f>
        <v/>
      </c>
      <c r="Z37" s="14">
        <f>SUM(L37:O37)</f>
        <v/>
      </c>
      <c r="AA37" s="14">
        <f>SUM(P37:S37)</f>
        <v/>
      </c>
      <c r="AB37" s="14">
        <f>SUM(T37:W37)</f>
        <v/>
      </c>
    </row>
    <row r="38">
      <c r="A38" s="8" t="inlineStr">
        <is>
          <t>Short Term Debt (% of LTD)</t>
        </is>
      </c>
      <c r="B38" s="8" t="inlineStr">
        <is>
          <t>Working Capital schedule</t>
        </is>
      </c>
      <c r="C38" s="14">
        <f>'Working Capital'!C12</f>
        <v/>
      </c>
      <c r="D38" s="14">
        <f>'Working Capital'!D12</f>
        <v/>
      </c>
      <c r="E38" s="14">
        <f>'Working Capital'!E12</f>
        <v/>
      </c>
      <c r="F38" s="14">
        <f>'Working Capital'!F12</f>
        <v/>
      </c>
      <c r="G38" s="14">
        <f>'Working Capital'!G12</f>
        <v/>
      </c>
      <c r="H38" s="14">
        <f>'Working Capital'!H12</f>
        <v/>
      </c>
      <c r="I38" s="14">
        <f>'Working Capital'!I12</f>
        <v/>
      </c>
      <c r="J38" s="14">
        <f>'Working Capital'!J12</f>
        <v/>
      </c>
      <c r="K38" s="14">
        <f>'Working Capital'!K12</f>
        <v/>
      </c>
      <c r="L38" s="14">
        <f>'Working Capital'!L12</f>
        <v/>
      </c>
      <c r="M38" s="14">
        <f>'Working Capital'!M12</f>
        <v/>
      </c>
      <c r="N38" s="14">
        <f>'Working Capital'!N12</f>
        <v/>
      </c>
      <c r="O38" s="14">
        <f>'Working Capital'!O12</f>
        <v/>
      </c>
      <c r="P38" s="14">
        <f>'Working Capital'!P12</f>
        <v/>
      </c>
      <c r="Q38" s="14">
        <f>'Working Capital'!Q12</f>
        <v/>
      </c>
      <c r="R38" s="14">
        <f>'Working Capital'!R12</f>
        <v/>
      </c>
      <c r="S38" s="14">
        <f>'Working Capital'!S12</f>
        <v/>
      </c>
      <c r="T38" s="14">
        <f>'Working Capital'!T12</f>
        <v/>
      </c>
      <c r="U38" s="14">
        <f>'Working Capital'!U12</f>
        <v/>
      </c>
      <c r="V38" s="14">
        <f>'Working Capital'!V12</f>
        <v/>
      </c>
      <c r="W38" s="14">
        <f>'Working Capital'!W12</f>
        <v/>
      </c>
      <c r="X38" s="14">
        <f>SUM(D38:G38)</f>
        <v/>
      </c>
      <c r="Y38" s="14">
        <f>SUM(H38:K38)</f>
        <v/>
      </c>
      <c r="Z38" s="14">
        <f>SUM(L38:O38)</f>
        <v/>
      </c>
      <c r="AA38" s="14">
        <f>SUM(P38:S38)</f>
        <v/>
      </c>
      <c r="AB38" s="14">
        <f>SUM(T38:W38)</f>
        <v/>
      </c>
    </row>
    <row r="39">
      <c r="A39" s="34" t="inlineStr">
        <is>
          <t>Owner's Capital</t>
        </is>
      </c>
      <c r="B39" s="34" t="inlineStr">
        <is>
          <t>Cash Equity Schedule schedule</t>
        </is>
      </c>
      <c r="C39" s="35">
        <f>'Cash Equity Schedule'!C7</f>
        <v/>
      </c>
      <c r="D39" s="35">
        <f>'Cash Equity Schedule'!D7</f>
        <v/>
      </c>
      <c r="E39" s="35">
        <f>'Cash Equity Schedule'!E7</f>
        <v/>
      </c>
      <c r="F39" s="35">
        <f>'Cash Equity Schedule'!F7</f>
        <v/>
      </c>
      <c r="G39" s="35">
        <f>'Cash Equity Schedule'!G7</f>
        <v/>
      </c>
      <c r="H39" s="35">
        <f>'Cash Equity Schedule'!H7</f>
        <v/>
      </c>
      <c r="I39" s="35">
        <f>'Cash Equity Schedule'!I7</f>
        <v/>
      </c>
      <c r="J39" s="35">
        <f>'Cash Equity Schedule'!J7</f>
        <v/>
      </c>
      <c r="K39" s="35">
        <f>'Cash Equity Schedule'!K7</f>
        <v/>
      </c>
      <c r="L39" s="35">
        <f>'Cash Equity Schedule'!L7</f>
        <v/>
      </c>
      <c r="M39" s="35">
        <f>'Cash Equity Schedule'!M7</f>
        <v/>
      </c>
      <c r="N39" s="35">
        <f>'Cash Equity Schedule'!N7</f>
        <v/>
      </c>
      <c r="O39" s="35">
        <f>'Cash Equity Schedule'!O7</f>
        <v/>
      </c>
      <c r="P39" s="35">
        <f>'Cash Equity Schedule'!P7</f>
        <v/>
      </c>
      <c r="Q39" s="35">
        <f>'Cash Equity Schedule'!Q7</f>
        <v/>
      </c>
      <c r="R39" s="35">
        <f>'Cash Equity Schedule'!R7</f>
        <v/>
      </c>
      <c r="S39" s="35">
        <f>'Cash Equity Schedule'!S7</f>
        <v/>
      </c>
      <c r="T39" s="35">
        <f>'Cash Equity Schedule'!T7</f>
        <v/>
      </c>
      <c r="U39" s="35">
        <f>'Cash Equity Schedule'!U7</f>
        <v/>
      </c>
      <c r="V39" s="35">
        <f>'Cash Equity Schedule'!V7</f>
        <v/>
      </c>
      <c r="W39" s="35">
        <f>'Cash Equity Schedule'!W7</f>
        <v/>
      </c>
      <c r="X39" s="35">
        <f>G39</f>
        <v/>
      </c>
      <c r="Y39" s="35">
        <f>K39</f>
        <v/>
      </c>
      <c r="Z39" s="35">
        <f>O39</f>
        <v/>
      </c>
      <c r="AA39" s="35">
        <f>S39</f>
        <v/>
      </c>
      <c r="AB39" s="35">
        <f>W39</f>
        <v/>
      </c>
    </row>
    <row r="40">
      <c r="A40" s="34" t="inlineStr">
        <is>
          <t>Other Equity</t>
        </is>
      </c>
      <c r="B40" s="34" t="inlineStr">
        <is>
          <t>Cash Equity Schedule schedule</t>
        </is>
      </c>
      <c r="C40" s="35">
        <f>'Cash Equity Schedule'!C8</f>
        <v/>
      </c>
      <c r="D40" s="35">
        <f>'Cash Equity Schedule'!D8</f>
        <v/>
      </c>
      <c r="E40" s="35">
        <f>'Cash Equity Schedule'!E8</f>
        <v/>
      </c>
      <c r="F40" s="35">
        <f>'Cash Equity Schedule'!F8</f>
        <v/>
      </c>
      <c r="G40" s="35">
        <f>'Cash Equity Schedule'!G8</f>
        <v/>
      </c>
      <c r="H40" s="35">
        <f>'Cash Equity Schedule'!H8</f>
        <v/>
      </c>
      <c r="I40" s="35">
        <f>'Cash Equity Schedule'!I8</f>
        <v/>
      </c>
      <c r="J40" s="35">
        <f>'Cash Equity Schedule'!J8</f>
        <v/>
      </c>
      <c r="K40" s="35">
        <f>'Cash Equity Schedule'!K8</f>
        <v/>
      </c>
      <c r="L40" s="35">
        <f>'Cash Equity Schedule'!L8</f>
        <v/>
      </c>
      <c r="M40" s="35">
        <f>'Cash Equity Schedule'!M8</f>
        <v/>
      </c>
      <c r="N40" s="35">
        <f>'Cash Equity Schedule'!N8</f>
        <v/>
      </c>
      <c r="O40" s="35">
        <f>'Cash Equity Schedule'!O8</f>
        <v/>
      </c>
      <c r="P40" s="35">
        <f>'Cash Equity Schedule'!P8</f>
        <v/>
      </c>
      <c r="Q40" s="35">
        <f>'Cash Equity Schedule'!Q8</f>
        <v/>
      </c>
      <c r="R40" s="35">
        <f>'Cash Equity Schedule'!R8</f>
        <v/>
      </c>
      <c r="S40" s="35">
        <f>'Cash Equity Schedule'!S8</f>
        <v/>
      </c>
      <c r="T40" s="35">
        <f>'Cash Equity Schedule'!T8</f>
        <v/>
      </c>
      <c r="U40" s="35">
        <f>'Cash Equity Schedule'!U8</f>
        <v/>
      </c>
      <c r="V40" s="35">
        <f>'Cash Equity Schedule'!V8</f>
        <v/>
      </c>
      <c r="W40" s="35">
        <f>'Cash Equity Schedule'!W8</f>
        <v/>
      </c>
      <c r="X40" s="35">
        <f>G40</f>
        <v/>
      </c>
      <c r="Y40" s="35">
        <f>K40</f>
        <v/>
      </c>
      <c r="Z40" s="35">
        <f>O40</f>
        <v/>
      </c>
      <c r="AA40" s="35">
        <f>S40</f>
        <v/>
      </c>
      <c r="AB40" s="35">
        <f>W40</f>
        <v/>
      </c>
    </row>
    <row r="41">
      <c r="A41" s="34" t="inlineStr">
        <is>
          <t>Distributions</t>
        </is>
      </c>
      <c r="B41" s="34" t="inlineStr">
        <is>
          <t>Cash Equity Schedule schedule</t>
        </is>
      </c>
      <c r="C41" s="35">
        <f>'Cash Equity Schedule'!C9</f>
        <v/>
      </c>
      <c r="D41" s="35">
        <f>'Cash Equity Schedule'!D9</f>
        <v/>
      </c>
      <c r="E41" s="35">
        <f>'Cash Equity Schedule'!E9</f>
        <v/>
      </c>
      <c r="F41" s="35">
        <f>'Cash Equity Schedule'!F9</f>
        <v/>
      </c>
      <c r="G41" s="35">
        <f>'Cash Equity Schedule'!G9</f>
        <v/>
      </c>
      <c r="H41" s="35">
        <f>'Cash Equity Schedule'!H9</f>
        <v/>
      </c>
      <c r="I41" s="35">
        <f>'Cash Equity Schedule'!I9</f>
        <v/>
      </c>
      <c r="J41" s="35">
        <f>'Cash Equity Schedule'!J9</f>
        <v/>
      </c>
      <c r="K41" s="35">
        <f>'Cash Equity Schedule'!K9</f>
        <v/>
      </c>
      <c r="L41" s="35">
        <f>'Cash Equity Schedule'!L9</f>
        <v/>
      </c>
      <c r="M41" s="35">
        <f>'Cash Equity Schedule'!M9</f>
        <v/>
      </c>
      <c r="N41" s="35">
        <f>'Cash Equity Schedule'!N9</f>
        <v/>
      </c>
      <c r="O41" s="35">
        <f>'Cash Equity Schedule'!O9</f>
        <v/>
      </c>
      <c r="P41" s="35">
        <f>'Cash Equity Schedule'!P9</f>
        <v/>
      </c>
      <c r="Q41" s="35">
        <f>'Cash Equity Schedule'!Q9</f>
        <v/>
      </c>
      <c r="R41" s="35">
        <f>'Cash Equity Schedule'!R9</f>
        <v/>
      </c>
      <c r="S41" s="35">
        <f>'Cash Equity Schedule'!S9</f>
        <v/>
      </c>
      <c r="T41" s="35">
        <f>'Cash Equity Schedule'!T9</f>
        <v/>
      </c>
      <c r="U41" s="35">
        <f>'Cash Equity Schedule'!U9</f>
        <v/>
      </c>
      <c r="V41" s="35">
        <f>'Cash Equity Schedule'!V9</f>
        <v/>
      </c>
      <c r="W41" s="35">
        <f>'Cash Equity Schedule'!W9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3">
      <c r="A43" s="7" t="inlineStr">
        <is>
          <t>Cash Flow and Schedule Inputs</t>
        </is>
      </c>
    </row>
    <row r="44">
      <c r="A44" s="8" t="inlineStr">
        <is>
          <t>Cash Opening Balance</t>
        </is>
      </c>
      <c r="B44" s="8" t="inlineStr">
        <is>
          <t>Working Capital schedule</t>
        </is>
      </c>
      <c r="C44" s="12">
        <f>'Working Capital'!C15</f>
        <v/>
      </c>
      <c r="D44" s="12">
        <f>'Working Capital'!D15</f>
        <v/>
      </c>
      <c r="E44" s="12">
        <f>'Working Capital'!E15</f>
        <v/>
      </c>
      <c r="F44" s="12">
        <f>'Working Capital'!F15</f>
        <v/>
      </c>
      <c r="G44" s="12">
        <f>'Working Capital'!G15</f>
        <v/>
      </c>
      <c r="H44" s="12">
        <f>'Working Capital'!H15</f>
        <v/>
      </c>
      <c r="I44" s="12">
        <f>'Working Capital'!I15</f>
        <v/>
      </c>
      <c r="J44" s="12">
        <f>'Working Capital'!J15</f>
        <v/>
      </c>
      <c r="K44" s="12">
        <f>'Working Capital'!K15</f>
        <v/>
      </c>
      <c r="L44" s="12">
        <f>'Working Capital'!L15</f>
        <v/>
      </c>
      <c r="M44" s="12">
        <f>'Working Capital'!M15</f>
        <v/>
      </c>
      <c r="N44" s="12">
        <f>'Working Capital'!N15</f>
        <v/>
      </c>
      <c r="O44" s="12">
        <f>'Working Capital'!O15</f>
        <v/>
      </c>
      <c r="P44" s="12">
        <f>'Working Capital'!P15</f>
        <v/>
      </c>
      <c r="Q44" s="12">
        <f>'Working Capital'!Q15</f>
        <v/>
      </c>
      <c r="R44" s="12">
        <f>'Working Capital'!R15</f>
        <v/>
      </c>
      <c r="S44" s="12">
        <f>'Working Capital'!S15</f>
        <v/>
      </c>
      <c r="T44" s="12">
        <f>'Working Capital'!T15</f>
        <v/>
      </c>
      <c r="U44" s="12">
        <f>'Working Capital'!U15</f>
        <v/>
      </c>
      <c r="V44" s="12">
        <f>'Working Capital'!V15</f>
        <v/>
      </c>
      <c r="W44" s="12">
        <f>'Working Capital'!W15</f>
        <v/>
      </c>
      <c r="X44" s="12">
        <f>G44</f>
        <v/>
      </c>
      <c r="Y44" s="12">
        <f>K44</f>
        <v/>
      </c>
      <c r="Z44" s="12">
        <f>O44</f>
        <v/>
      </c>
      <c r="AA44" s="12">
        <f>S44</f>
        <v/>
      </c>
      <c r="AB44" s="12">
        <f>W44</f>
        <v/>
      </c>
    </row>
    <row r="45">
      <c r="A45" s="8" t="inlineStr">
        <is>
          <t>Accounts Receivable Opening Balance</t>
        </is>
      </c>
      <c r="B45" s="8" t="inlineStr">
        <is>
          <t>Working Capital schedule</t>
        </is>
      </c>
      <c r="C45" s="12">
        <f>'Working Capital'!C16</f>
        <v/>
      </c>
      <c r="D45" s="12">
        <f>'Working Capital'!D16</f>
        <v/>
      </c>
      <c r="E45" s="12">
        <f>'Working Capital'!E16</f>
        <v/>
      </c>
      <c r="F45" s="12">
        <f>'Working Capital'!F16</f>
        <v/>
      </c>
      <c r="G45" s="12">
        <f>'Working Capital'!G16</f>
        <v/>
      </c>
      <c r="H45" s="12">
        <f>'Working Capital'!H16</f>
        <v/>
      </c>
      <c r="I45" s="12">
        <f>'Working Capital'!I16</f>
        <v/>
      </c>
      <c r="J45" s="12">
        <f>'Working Capital'!J16</f>
        <v/>
      </c>
      <c r="K45" s="12">
        <f>'Working Capital'!K16</f>
        <v/>
      </c>
      <c r="L45" s="12">
        <f>'Working Capital'!L16</f>
        <v/>
      </c>
      <c r="M45" s="12">
        <f>'Working Capital'!M16</f>
        <v/>
      </c>
      <c r="N45" s="12">
        <f>'Working Capital'!N16</f>
        <v/>
      </c>
      <c r="O45" s="12">
        <f>'Working Capital'!O16</f>
        <v/>
      </c>
      <c r="P45" s="12">
        <f>'Working Capital'!P16</f>
        <v/>
      </c>
      <c r="Q45" s="12">
        <f>'Working Capital'!Q16</f>
        <v/>
      </c>
      <c r="R45" s="12">
        <f>'Working Capital'!R16</f>
        <v/>
      </c>
      <c r="S45" s="12">
        <f>'Working Capital'!S16</f>
        <v/>
      </c>
      <c r="T45" s="12">
        <f>'Working Capital'!T16</f>
        <v/>
      </c>
      <c r="U45" s="12">
        <f>'Working Capital'!U16</f>
        <v/>
      </c>
      <c r="V45" s="12">
        <f>'Working Capital'!V16</f>
        <v/>
      </c>
      <c r="W45" s="12">
        <f>'Working Capital'!W16</f>
        <v/>
      </c>
      <c r="X45" s="12">
        <f>G45</f>
        <v/>
      </c>
      <c r="Y45" s="12">
        <f>K45</f>
        <v/>
      </c>
      <c r="Z45" s="12">
        <f>O45</f>
        <v/>
      </c>
      <c r="AA45" s="12">
        <f>S45</f>
        <v/>
      </c>
      <c r="AB45" s="12">
        <f>W45</f>
        <v/>
      </c>
    </row>
    <row r="46">
      <c r="A46" s="8" t="inlineStr">
        <is>
          <t>Inventory Opening Balance</t>
        </is>
      </c>
      <c r="B46" s="8" t="inlineStr">
        <is>
          <t>Working Capital schedule</t>
        </is>
      </c>
      <c r="C46" s="12">
        <f>'Working Capital'!C17</f>
        <v/>
      </c>
      <c r="D46" s="12">
        <f>'Working Capital'!D17</f>
        <v/>
      </c>
      <c r="E46" s="12">
        <f>'Working Capital'!E17</f>
        <v/>
      </c>
      <c r="F46" s="12">
        <f>'Working Capital'!F17</f>
        <v/>
      </c>
      <c r="G46" s="12">
        <f>'Working Capital'!G17</f>
        <v/>
      </c>
      <c r="H46" s="12">
        <f>'Working Capital'!H17</f>
        <v/>
      </c>
      <c r="I46" s="12">
        <f>'Working Capital'!I17</f>
        <v/>
      </c>
      <c r="J46" s="12">
        <f>'Working Capital'!J17</f>
        <v/>
      </c>
      <c r="K46" s="12">
        <f>'Working Capital'!K17</f>
        <v/>
      </c>
      <c r="L46" s="12">
        <f>'Working Capital'!L17</f>
        <v/>
      </c>
      <c r="M46" s="12">
        <f>'Working Capital'!M17</f>
        <v/>
      </c>
      <c r="N46" s="12">
        <f>'Working Capital'!N17</f>
        <v/>
      </c>
      <c r="O46" s="12">
        <f>'Working Capital'!O17</f>
        <v/>
      </c>
      <c r="P46" s="12">
        <f>'Working Capital'!P17</f>
        <v/>
      </c>
      <c r="Q46" s="12">
        <f>'Working Capital'!Q17</f>
        <v/>
      </c>
      <c r="R46" s="12">
        <f>'Working Capital'!R17</f>
        <v/>
      </c>
      <c r="S46" s="12">
        <f>'Working Capital'!S17</f>
        <v/>
      </c>
      <c r="T46" s="12">
        <f>'Working Capital'!T17</f>
        <v/>
      </c>
      <c r="U46" s="12">
        <f>'Working Capital'!U17</f>
        <v/>
      </c>
      <c r="V46" s="12">
        <f>'Working Capital'!V17</f>
        <v/>
      </c>
      <c r="W46" s="12">
        <f>'Working Capital'!W17</f>
        <v/>
      </c>
      <c r="X46" s="12">
        <f>G46</f>
        <v/>
      </c>
      <c r="Y46" s="12">
        <f>K46</f>
        <v/>
      </c>
      <c r="Z46" s="12">
        <f>O46</f>
        <v/>
      </c>
      <c r="AA46" s="12">
        <f>S46</f>
        <v/>
      </c>
      <c r="AB46" s="12">
        <f>W46</f>
        <v/>
      </c>
    </row>
    <row r="47">
      <c r="A47" s="8" t="inlineStr">
        <is>
          <t>Accounts Payable Opening Balance</t>
        </is>
      </c>
      <c r="B47" s="8" t="inlineStr">
        <is>
          <t>Working Capital schedule</t>
        </is>
      </c>
      <c r="C47" s="12">
        <f>'Working Capital'!C18</f>
        <v/>
      </c>
      <c r="D47" s="12">
        <f>'Working Capital'!D18</f>
        <v/>
      </c>
      <c r="E47" s="12">
        <f>'Working Capital'!E18</f>
        <v/>
      </c>
      <c r="F47" s="12">
        <f>'Working Capital'!F18</f>
        <v/>
      </c>
      <c r="G47" s="12">
        <f>'Working Capital'!G18</f>
        <v/>
      </c>
      <c r="H47" s="12">
        <f>'Working Capital'!H18</f>
        <v/>
      </c>
      <c r="I47" s="12">
        <f>'Working Capital'!I18</f>
        <v/>
      </c>
      <c r="J47" s="12">
        <f>'Working Capital'!J18</f>
        <v/>
      </c>
      <c r="K47" s="12">
        <f>'Working Capital'!K18</f>
        <v/>
      </c>
      <c r="L47" s="12">
        <f>'Working Capital'!L18</f>
        <v/>
      </c>
      <c r="M47" s="12">
        <f>'Working Capital'!M18</f>
        <v/>
      </c>
      <c r="N47" s="12">
        <f>'Working Capital'!N18</f>
        <v/>
      </c>
      <c r="O47" s="12">
        <f>'Working Capital'!O18</f>
        <v/>
      </c>
      <c r="P47" s="12">
        <f>'Working Capital'!P18</f>
        <v/>
      </c>
      <c r="Q47" s="12">
        <f>'Working Capital'!Q18</f>
        <v/>
      </c>
      <c r="R47" s="12">
        <f>'Working Capital'!R18</f>
        <v/>
      </c>
      <c r="S47" s="12">
        <f>'Working Capital'!S18</f>
        <v/>
      </c>
      <c r="T47" s="12">
        <f>'Working Capital'!T18</f>
        <v/>
      </c>
      <c r="U47" s="12">
        <f>'Working Capital'!U18</f>
        <v/>
      </c>
      <c r="V47" s="12">
        <f>'Working Capital'!V18</f>
        <v/>
      </c>
      <c r="W47" s="12">
        <f>'Working Capital'!W18</f>
        <v/>
      </c>
      <c r="X47" s="12">
        <f>G47</f>
        <v/>
      </c>
      <c r="Y47" s="12">
        <f>K47</f>
        <v/>
      </c>
      <c r="Z47" s="12">
        <f>O47</f>
        <v/>
      </c>
      <c r="AA47" s="12">
        <f>S47</f>
        <v/>
      </c>
      <c r="AB47" s="12">
        <f>W47</f>
        <v/>
      </c>
    </row>
    <row r="48">
      <c r="A48" s="8" t="inlineStr">
        <is>
          <t>Short Term Debt Opening Balance</t>
        </is>
      </c>
      <c r="B48" s="8" t="inlineStr">
        <is>
          <t>Working Capital schedule</t>
        </is>
      </c>
      <c r="C48" s="12">
        <f>'Working Capital'!C19</f>
        <v/>
      </c>
      <c r="D48" s="12">
        <f>'Working Capital'!D19</f>
        <v/>
      </c>
      <c r="E48" s="12">
        <f>'Working Capital'!E19</f>
        <v/>
      </c>
      <c r="F48" s="12">
        <f>'Working Capital'!F19</f>
        <v/>
      </c>
      <c r="G48" s="12">
        <f>'Working Capital'!G19</f>
        <v/>
      </c>
      <c r="H48" s="12">
        <f>'Working Capital'!H19</f>
        <v/>
      </c>
      <c r="I48" s="12">
        <f>'Working Capital'!I19</f>
        <v/>
      </c>
      <c r="J48" s="12">
        <f>'Working Capital'!J19</f>
        <v/>
      </c>
      <c r="K48" s="12">
        <f>'Working Capital'!K19</f>
        <v/>
      </c>
      <c r="L48" s="12">
        <f>'Working Capital'!L19</f>
        <v/>
      </c>
      <c r="M48" s="12">
        <f>'Working Capital'!M19</f>
        <v/>
      </c>
      <c r="N48" s="12">
        <f>'Working Capital'!N19</f>
        <v/>
      </c>
      <c r="O48" s="12">
        <f>'Working Capital'!O19</f>
        <v/>
      </c>
      <c r="P48" s="12">
        <f>'Working Capital'!P19</f>
        <v/>
      </c>
      <c r="Q48" s="12">
        <f>'Working Capital'!Q19</f>
        <v/>
      </c>
      <c r="R48" s="12">
        <f>'Working Capital'!R19</f>
        <v/>
      </c>
      <c r="S48" s="12">
        <f>'Working Capital'!S19</f>
        <v/>
      </c>
      <c r="T48" s="12">
        <f>'Working Capital'!T19</f>
        <v/>
      </c>
      <c r="U48" s="12">
        <f>'Working Capital'!U19</f>
        <v/>
      </c>
      <c r="V48" s="12">
        <f>'Working Capital'!V19</f>
        <v/>
      </c>
      <c r="W48" s="12">
        <f>'Working Capital'!W19</f>
        <v/>
      </c>
      <c r="X48" s="12">
        <f>G48</f>
        <v/>
      </c>
      <c r="Y48" s="12">
        <f>K48</f>
        <v/>
      </c>
      <c r="Z48" s="12">
        <f>O48</f>
        <v/>
      </c>
      <c r="AA48" s="12">
        <f>S48</f>
        <v/>
      </c>
      <c r="AB48" s="12">
        <f>W48</f>
        <v/>
      </c>
    </row>
    <row r="49">
      <c r="A49" s="34" t="inlineStr">
        <is>
          <t>Debt Opening Balance</t>
        </is>
      </c>
      <c r="B49" s="34" t="inlineStr">
        <is>
          <t>Debt Schedule schedule</t>
        </is>
      </c>
      <c r="C49" s="35">
        <f>'Debt Schedule'!C7</f>
        <v/>
      </c>
      <c r="D49" s="35">
        <f>'Debt Schedule'!D7</f>
        <v/>
      </c>
      <c r="E49" s="35">
        <f>'Debt Schedule'!E7</f>
        <v/>
      </c>
      <c r="F49" s="35">
        <f>'Debt Schedule'!F7</f>
        <v/>
      </c>
      <c r="G49" s="35">
        <f>'Debt Schedule'!G7</f>
        <v/>
      </c>
      <c r="H49" s="35">
        <f>'Debt Schedule'!H7</f>
        <v/>
      </c>
      <c r="I49" s="35">
        <f>'Debt Schedule'!I7</f>
        <v/>
      </c>
      <c r="J49" s="35">
        <f>'Debt Schedule'!J7</f>
        <v/>
      </c>
      <c r="K49" s="35">
        <f>'Debt Schedule'!K7</f>
        <v/>
      </c>
      <c r="L49" s="35">
        <f>'Debt Schedule'!L7</f>
        <v/>
      </c>
      <c r="M49" s="35">
        <f>'Debt Schedule'!M7</f>
        <v/>
      </c>
      <c r="N49" s="35">
        <f>'Debt Schedule'!N7</f>
        <v/>
      </c>
      <c r="O49" s="35">
        <f>'Debt Schedule'!O7</f>
        <v/>
      </c>
      <c r="P49" s="35">
        <f>'Debt Schedule'!P7</f>
        <v/>
      </c>
      <c r="Q49" s="35">
        <f>'Debt Schedule'!Q7</f>
        <v/>
      </c>
      <c r="R49" s="35">
        <f>'Debt Schedule'!R7</f>
        <v/>
      </c>
      <c r="S49" s="35">
        <f>'Debt Schedule'!S7</f>
        <v/>
      </c>
      <c r="T49" s="35">
        <f>'Debt Schedule'!T7</f>
        <v/>
      </c>
      <c r="U49" s="35">
        <f>'Debt Schedule'!U7</f>
        <v/>
      </c>
      <c r="V49" s="35">
        <f>'Debt Schedule'!V7</f>
        <v/>
      </c>
      <c r="W49" s="35">
        <f>'Debt Schedule'!W7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Debt Issuance</t>
        </is>
      </c>
      <c r="B50" s="34" t="inlineStr">
        <is>
          <t>Debt Schedule schedule</t>
        </is>
      </c>
      <c r="C50" s="35">
        <f>'Debt Schedule'!C8</f>
        <v/>
      </c>
      <c r="D50" s="35">
        <f>'Debt Schedule'!D8</f>
        <v/>
      </c>
      <c r="E50" s="35">
        <f>'Debt Schedule'!E8</f>
        <v/>
      </c>
      <c r="F50" s="35">
        <f>'Debt Schedule'!F8</f>
        <v/>
      </c>
      <c r="G50" s="35">
        <f>'Debt Schedule'!G8</f>
        <v/>
      </c>
      <c r="H50" s="35">
        <f>'Debt Schedule'!H8</f>
        <v/>
      </c>
      <c r="I50" s="35">
        <f>'Debt Schedule'!I8</f>
        <v/>
      </c>
      <c r="J50" s="35">
        <f>'Debt Schedule'!J8</f>
        <v/>
      </c>
      <c r="K50" s="35">
        <f>'Debt Schedule'!K8</f>
        <v/>
      </c>
      <c r="L50" s="35">
        <f>'Debt Schedule'!L8</f>
        <v/>
      </c>
      <c r="M50" s="35">
        <f>'Debt Schedule'!M8</f>
        <v/>
      </c>
      <c r="N50" s="35">
        <f>'Debt Schedule'!N8</f>
        <v/>
      </c>
      <c r="O50" s="35">
        <f>'Debt Schedule'!O8</f>
        <v/>
      </c>
      <c r="P50" s="35">
        <f>'Debt Schedule'!P8</f>
        <v/>
      </c>
      <c r="Q50" s="35">
        <f>'Debt Schedule'!Q8</f>
        <v/>
      </c>
      <c r="R50" s="35">
        <f>'Debt Schedule'!R8</f>
        <v/>
      </c>
      <c r="S50" s="35">
        <f>'Debt Schedule'!S8</f>
        <v/>
      </c>
      <c r="T50" s="35">
        <f>'Debt Schedule'!T8</f>
        <v/>
      </c>
      <c r="U50" s="35">
        <f>'Debt Schedule'!U8</f>
        <v/>
      </c>
      <c r="V50" s="35">
        <f>'Debt Schedule'!V8</f>
        <v/>
      </c>
      <c r="W50" s="35">
        <f>'Debt Schedule'!W8</f>
        <v/>
      </c>
      <c r="X50" s="35">
        <f>SUM(D50:G50)</f>
        <v/>
      </c>
      <c r="Y50" s="35">
        <f>SUM(H50:K50)</f>
        <v/>
      </c>
      <c r="Z50" s="35">
        <f>SUM(L50:O50)</f>
        <v/>
      </c>
      <c r="AA50" s="35">
        <f>SUM(P50:S50)</f>
        <v/>
      </c>
      <c r="AB50" s="35">
        <f>SUM(T50:W50)</f>
        <v/>
      </c>
    </row>
    <row r="51">
      <c r="A51" s="34" t="inlineStr">
        <is>
          <t>Debt Repayment</t>
        </is>
      </c>
      <c r="B51" s="34" t="inlineStr">
        <is>
          <t>Debt Schedule schedule</t>
        </is>
      </c>
      <c r="C51" s="35">
        <f>'Debt Schedule'!C10</f>
        <v/>
      </c>
      <c r="D51" s="35">
        <f>'Debt Schedule'!D10</f>
        <v/>
      </c>
      <c r="E51" s="35">
        <f>'Debt Schedule'!E10</f>
        <v/>
      </c>
      <c r="F51" s="35">
        <f>'Debt Schedule'!F10</f>
        <v/>
      </c>
      <c r="G51" s="35">
        <f>'Debt Schedule'!G10</f>
        <v/>
      </c>
      <c r="H51" s="35">
        <f>'Debt Schedule'!H10</f>
        <v/>
      </c>
      <c r="I51" s="35">
        <f>'Debt Schedule'!I10</f>
        <v/>
      </c>
      <c r="J51" s="35">
        <f>'Debt Schedule'!J10</f>
        <v/>
      </c>
      <c r="K51" s="35">
        <f>'Debt Schedule'!K10</f>
        <v/>
      </c>
      <c r="L51" s="35">
        <f>'Debt Schedule'!L10</f>
        <v/>
      </c>
      <c r="M51" s="35">
        <f>'Debt Schedule'!M10</f>
        <v/>
      </c>
      <c r="N51" s="35">
        <f>'Debt Schedule'!N10</f>
        <v/>
      </c>
      <c r="O51" s="35">
        <f>'Debt Schedule'!O10</f>
        <v/>
      </c>
      <c r="P51" s="35">
        <f>'Debt Schedule'!P10</f>
        <v/>
      </c>
      <c r="Q51" s="35">
        <f>'Debt Schedule'!Q10</f>
        <v/>
      </c>
      <c r="R51" s="35">
        <f>'Debt Schedule'!R10</f>
        <v/>
      </c>
      <c r="S51" s="35">
        <f>'Debt Schedule'!S10</f>
        <v/>
      </c>
      <c r="T51" s="35">
        <f>'Debt Schedule'!T10</f>
        <v/>
      </c>
      <c r="U51" s="35">
        <f>'Debt Schedule'!U10</f>
        <v/>
      </c>
      <c r="V51" s="35">
        <f>'Debt Schedule'!V10</f>
        <v/>
      </c>
      <c r="W51" s="35">
        <f>'Debt Schedule'!W10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34" t="inlineStr">
        <is>
          <t>Debt Closing Balance</t>
        </is>
      </c>
      <c r="B52" s="34" t="inlineStr">
        <is>
          <t>Debt Schedule schedule</t>
        </is>
      </c>
      <c r="C52" s="35">
        <f>'Debt Schedule'!C11</f>
        <v/>
      </c>
      <c r="D52" s="35">
        <f>'Debt Schedule'!D11</f>
        <v/>
      </c>
      <c r="E52" s="35">
        <f>'Debt Schedule'!E11</f>
        <v/>
      </c>
      <c r="F52" s="35">
        <f>'Debt Schedule'!F11</f>
        <v/>
      </c>
      <c r="G52" s="35">
        <f>'Debt Schedule'!G11</f>
        <v/>
      </c>
      <c r="H52" s="35">
        <f>'Debt Schedule'!H11</f>
        <v/>
      </c>
      <c r="I52" s="35">
        <f>'Debt Schedule'!I11</f>
        <v/>
      </c>
      <c r="J52" s="35">
        <f>'Debt Schedule'!J11</f>
        <v/>
      </c>
      <c r="K52" s="35">
        <f>'Debt Schedule'!K11</f>
        <v/>
      </c>
      <c r="L52" s="35">
        <f>'Debt Schedule'!L11</f>
        <v/>
      </c>
      <c r="M52" s="35">
        <f>'Debt Schedule'!M11</f>
        <v/>
      </c>
      <c r="N52" s="35">
        <f>'Debt Schedule'!N11</f>
        <v/>
      </c>
      <c r="O52" s="35">
        <f>'Debt Schedule'!O11</f>
        <v/>
      </c>
      <c r="P52" s="35">
        <f>'Debt Schedule'!P11</f>
        <v/>
      </c>
      <c r="Q52" s="35">
        <f>'Debt Schedule'!Q11</f>
        <v/>
      </c>
      <c r="R52" s="35">
        <f>'Debt Schedule'!R11</f>
        <v/>
      </c>
      <c r="S52" s="35">
        <f>'Debt Schedule'!S11</f>
        <v/>
      </c>
      <c r="T52" s="35">
        <f>'Debt Schedule'!T11</f>
        <v/>
      </c>
      <c r="U52" s="35">
        <f>'Debt Schedule'!U11</f>
        <v/>
      </c>
      <c r="V52" s="35">
        <f>'Debt Schedule'!V11</f>
        <v/>
      </c>
      <c r="W52" s="35">
        <f>'Debt Schedule'!W11</f>
        <v/>
      </c>
      <c r="X52" s="35">
        <f>G52</f>
        <v/>
      </c>
      <c r="Y52" s="35">
        <f>K52</f>
        <v/>
      </c>
      <c r="Z52" s="35">
        <f>O52</f>
        <v/>
      </c>
      <c r="AA52" s="35">
        <f>S52</f>
        <v/>
      </c>
      <c r="AB52" s="35">
        <f>W52</f>
        <v/>
      </c>
    </row>
    <row r="53">
      <c r="A53" s="34" t="inlineStr">
        <is>
          <t>Lease Opening Balance</t>
        </is>
      </c>
      <c r="B53" s="34" t="inlineStr">
        <is>
          <t>Debt Schedule schedule</t>
        </is>
      </c>
      <c r="C53" s="35">
        <f>'Debt Schedule'!C18</f>
        <v/>
      </c>
      <c r="D53" s="35">
        <f>'Debt Schedule'!D18</f>
        <v/>
      </c>
      <c r="E53" s="35">
        <f>'Debt Schedule'!E18</f>
        <v/>
      </c>
      <c r="F53" s="35">
        <f>'Debt Schedule'!F18</f>
        <v/>
      </c>
      <c r="G53" s="35">
        <f>'Debt Schedule'!G18</f>
        <v/>
      </c>
      <c r="H53" s="35">
        <f>'Debt Schedule'!H18</f>
        <v/>
      </c>
      <c r="I53" s="35">
        <f>'Debt Schedule'!I18</f>
        <v/>
      </c>
      <c r="J53" s="35">
        <f>'Debt Schedule'!J18</f>
        <v/>
      </c>
      <c r="K53" s="35">
        <f>'Debt Schedule'!K18</f>
        <v/>
      </c>
      <c r="L53" s="35">
        <f>'Debt Schedule'!L18</f>
        <v/>
      </c>
      <c r="M53" s="35">
        <f>'Debt Schedule'!M18</f>
        <v/>
      </c>
      <c r="N53" s="35">
        <f>'Debt Schedule'!N18</f>
        <v/>
      </c>
      <c r="O53" s="35">
        <f>'Debt Schedule'!O18</f>
        <v/>
      </c>
      <c r="P53" s="35">
        <f>'Debt Schedule'!P18</f>
        <v/>
      </c>
      <c r="Q53" s="35">
        <f>'Debt Schedule'!Q18</f>
        <v/>
      </c>
      <c r="R53" s="35">
        <f>'Debt Schedule'!R18</f>
        <v/>
      </c>
      <c r="S53" s="35">
        <f>'Debt Schedule'!S18</f>
        <v/>
      </c>
      <c r="T53" s="35">
        <f>'Debt Schedule'!T18</f>
        <v/>
      </c>
      <c r="U53" s="35">
        <f>'Debt Schedule'!U18</f>
        <v/>
      </c>
      <c r="V53" s="35">
        <f>'Debt Schedule'!V18</f>
        <v/>
      </c>
      <c r="W53" s="35">
        <f>'Debt Schedule'!W18</f>
        <v/>
      </c>
      <c r="X53" s="35">
        <f>G53</f>
        <v/>
      </c>
      <c r="Y53" s="35">
        <f>K53</f>
        <v/>
      </c>
      <c r="Z53" s="35">
        <f>O53</f>
        <v/>
      </c>
      <c r="AA53" s="35">
        <f>S53</f>
        <v/>
      </c>
      <c r="AB53" s="35">
        <f>W53</f>
        <v/>
      </c>
    </row>
    <row r="54">
      <c r="A54" s="34" t="inlineStr">
        <is>
          <t>Lease Principal Repayments</t>
        </is>
      </c>
      <c r="B54" s="34" t="inlineStr">
        <is>
          <t>Debt Schedule schedule</t>
        </is>
      </c>
      <c r="C54" s="35">
        <f>'Debt Schedule'!C20</f>
        <v/>
      </c>
      <c r="D54" s="35">
        <f>'Debt Schedule'!D20</f>
        <v/>
      </c>
      <c r="E54" s="35">
        <f>'Debt Schedule'!E20</f>
        <v/>
      </c>
      <c r="F54" s="35">
        <f>'Debt Schedule'!F20</f>
        <v/>
      </c>
      <c r="G54" s="35">
        <f>'Debt Schedule'!G20</f>
        <v/>
      </c>
      <c r="H54" s="35">
        <f>'Debt Schedule'!H20</f>
        <v/>
      </c>
      <c r="I54" s="35">
        <f>'Debt Schedule'!I20</f>
        <v/>
      </c>
      <c r="J54" s="35">
        <f>'Debt Schedule'!J20</f>
        <v/>
      </c>
      <c r="K54" s="35">
        <f>'Debt Schedule'!K20</f>
        <v/>
      </c>
      <c r="L54" s="35">
        <f>'Debt Schedule'!L20</f>
        <v/>
      </c>
      <c r="M54" s="35">
        <f>'Debt Schedule'!M20</f>
        <v/>
      </c>
      <c r="N54" s="35">
        <f>'Debt Schedule'!N20</f>
        <v/>
      </c>
      <c r="O54" s="35">
        <f>'Debt Schedule'!O20</f>
        <v/>
      </c>
      <c r="P54" s="35">
        <f>'Debt Schedule'!P20</f>
        <v/>
      </c>
      <c r="Q54" s="35">
        <f>'Debt Schedule'!Q20</f>
        <v/>
      </c>
      <c r="R54" s="35">
        <f>'Debt Schedule'!R20</f>
        <v/>
      </c>
      <c r="S54" s="35">
        <f>'Debt Schedule'!S20</f>
        <v/>
      </c>
      <c r="T54" s="35">
        <f>'Debt Schedule'!T20</f>
        <v/>
      </c>
      <c r="U54" s="35">
        <f>'Debt Schedule'!U20</f>
        <v/>
      </c>
      <c r="V54" s="35">
        <f>'Debt Schedule'!V20</f>
        <v/>
      </c>
      <c r="W54" s="35">
        <f>'Debt Schedule'!W20</f>
        <v/>
      </c>
      <c r="X54" s="35">
        <f>SUM(D54:G54)</f>
        <v/>
      </c>
      <c r="Y54" s="35">
        <f>SUM(H54:K54)</f>
        <v/>
      </c>
      <c r="Z54" s="35">
        <f>SUM(L54:O54)</f>
        <v/>
      </c>
      <c r="AA54" s="35">
        <f>SUM(P54:S54)</f>
        <v/>
      </c>
      <c r="AB54" s="35">
        <f>SUM(T54:W54)</f>
        <v/>
      </c>
    </row>
    <row r="55">
      <c r="A55" s="34" t="inlineStr">
        <is>
          <t>Lease Net Additions</t>
        </is>
      </c>
      <c r="B55" s="34" t="inlineStr">
        <is>
          <t>Debt Schedule schedule</t>
        </is>
      </c>
      <c r="C55" s="35">
        <f>'Debt Schedule'!C21</f>
        <v/>
      </c>
      <c r="D55" s="35">
        <f>'Debt Schedule'!D21</f>
        <v/>
      </c>
      <c r="E55" s="35">
        <f>'Debt Schedule'!E21</f>
        <v/>
      </c>
      <c r="F55" s="35">
        <f>'Debt Schedule'!F21</f>
        <v/>
      </c>
      <c r="G55" s="35">
        <f>'Debt Schedule'!G21</f>
        <v/>
      </c>
      <c r="H55" s="35">
        <f>'Debt Schedule'!H21</f>
        <v/>
      </c>
      <c r="I55" s="35">
        <f>'Debt Schedule'!I21</f>
        <v/>
      </c>
      <c r="J55" s="35">
        <f>'Debt Schedule'!J21</f>
        <v/>
      </c>
      <c r="K55" s="35">
        <f>'Debt Schedule'!K21</f>
        <v/>
      </c>
      <c r="L55" s="35">
        <f>'Debt Schedule'!L21</f>
        <v/>
      </c>
      <c r="M55" s="35">
        <f>'Debt Schedule'!M21</f>
        <v/>
      </c>
      <c r="N55" s="35">
        <f>'Debt Schedule'!N21</f>
        <v/>
      </c>
      <c r="O55" s="35">
        <f>'Debt Schedule'!O21</f>
        <v/>
      </c>
      <c r="P55" s="35">
        <f>'Debt Schedule'!P21</f>
        <v/>
      </c>
      <c r="Q55" s="35">
        <f>'Debt Schedule'!Q21</f>
        <v/>
      </c>
      <c r="R55" s="35">
        <f>'Debt Schedule'!R21</f>
        <v/>
      </c>
      <c r="S55" s="35">
        <f>'Debt Schedule'!S21</f>
        <v/>
      </c>
      <c r="T55" s="35">
        <f>'Debt Schedule'!T21</f>
        <v/>
      </c>
      <c r="U55" s="35">
        <f>'Debt Schedule'!U21</f>
        <v/>
      </c>
      <c r="V55" s="35">
        <f>'Debt Schedule'!V21</f>
        <v/>
      </c>
      <c r="W55" s="35">
        <f>'Debt Schedule'!W21</f>
        <v/>
      </c>
      <c r="X55" s="35">
        <f>SUM(D55:G55)</f>
        <v/>
      </c>
      <c r="Y55" s="35">
        <f>SUM(H55:K55)</f>
        <v/>
      </c>
      <c r="Z55" s="35">
        <f>SUM(L55:O55)</f>
        <v/>
      </c>
      <c r="AA55" s="35">
        <f>SUM(P55:S55)</f>
        <v/>
      </c>
      <c r="AB55" s="35">
        <f>SUM(T55:W55)</f>
        <v/>
      </c>
    </row>
    <row r="56">
      <c r="A56" s="34" t="inlineStr">
        <is>
          <t>Lease Interest Expense</t>
        </is>
      </c>
      <c r="B56" s="34" t="inlineStr">
        <is>
          <t>Debt Schedule schedule</t>
        </is>
      </c>
      <c r="C56" s="35">
        <f>'Debt Schedule'!C22</f>
        <v/>
      </c>
      <c r="D56" s="35">
        <f>'Debt Schedule'!D22</f>
        <v/>
      </c>
      <c r="E56" s="35">
        <f>'Debt Schedule'!E22</f>
        <v/>
      </c>
      <c r="F56" s="35">
        <f>'Debt Schedule'!F22</f>
        <v/>
      </c>
      <c r="G56" s="35">
        <f>'Debt Schedule'!G22</f>
        <v/>
      </c>
      <c r="H56" s="35">
        <f>'Debt Schedule'!H22</f>
        <v/>
      </c>
      <c r="I56" s="35">
        <f>'Debt Schedule'!I22</f>
        <v/>
      </c>
      <c r="J56" s="35">
        <f>'Debt Schedule'!J22</f>
        <v/>
      </c>
      <c r="K56" s="35">
        <f>'Debt Schedule'!K22</f>
        <v/>
      </c>
      <c r="L56" s="35">
        <f>'Debt Schedule'!L22</f>
        <v/>
      </c>
      <c r="M56" s="35">
        <f>'Debt Schedule'!M22</f>
        <v/>
      </c>
      <c r="N56" s="35">
        <f>'Debt Schedule'!N22</f>
        <v/>
      </c>
      <c r="O56" s="35">
        <f>'Debt Schedule'!O22</f>
        <v/>
      </c>
      <c r="P56" s="35">
        <f>'Debt Schedule'!P22</f>
        <v/>
      </c>
      <c r="Q56" s="35">
        <f>'Debt Schedule'!Q22</f>
        <v/>
      </c>
      <c r="R56" s="35">
        <f>'Debt Schedule'!R22</f>
        <v/>
      </c>
      <c r="S56" s="35">
        <f>'Debt Schedule'!S22</f>
        <v/>
      </c>
      <c r="T56" s="35">
        <f>'Debt Schedule'!T22</f>
        <v/>
      </c>
      <c r="U56" s="35">
        <f>'Debt Schedule'!U22</f>
        <v/>
      </c>
      <c r="V56" s="35">
        <f>'Debt Schedule'!V22</f>
        <v/>
      </c>
      <c r="W56" s="35">
        <f>'Debt Schedule'!W22</f>
        <v/>
      </c>
      <c r="X56" s="35">
        <f>SUM(D56:G56)</f>
        <v/>
      </c>
      <c r="Y56" s="35">
        <f>SUM(H56:K56)</f>
        <v/>
      </c>
      <c r="Z56" s="35">
        <f>SUM(L56:O56)</f>
        <v/>
      </c>
      <c r="AA56" s="35">
        <f>SUM(P56:S56)</f>
        <v/>
      </c>
      <c r="AB56" s="35">
        <f>SUM(T56:W56)</f>
        <v/>
      </c>
    </row>
    <row r="57">
      <c r="A57" s="34" t="inlineStr">
        <is>
          <t>Lease Closing Balance</t>
        </is>
      </c>
      <c r="B57" s="34" t="inlineStr">
        <is>
          <t>Debt Schedule schedule</t>
        </is>
      </c>
      <c r="C57" s="35">
        <f>'Debt Schedule'!C23</f>
        <v/>
      </c>
      <c r="D57" s="35">
        <f>'Debt Schedule'!D23</f>
        <v/>
      </c>
      <c r="E57" s="35">
        <f>'Debt Schedule'!E23</f>
        <v/>
      </c>
      <c r="F57" s="35">
        <f>'Debt Schedule'!F23</f>
        <v/>
      </c>
      <c r="G57" s="35">
        <f>'Debt Schedule'!G23</f>
        <v/>
      </c>
      <c r="H57" s="35">
        <f>'Debt Schedule'!H23</f>
        <v/>
      </c>
      <c r="I57" s="35">
        <f>'Debt Schedule'!I23</f>
        <v/>
      </c>
      <c r="J57" s="35">
        <f>'Debt Schedule'!J23</f>
        <v/>
      </c>
      <c r="K57" s="35">
        <f>'Debt Schedule'!K23</f>
        <v/>
      </c>
      <c r="L57" s="35">
        <f>'Debt Schedule'!L23</f>
        <v/>
      </c>
      <c r="M57" s="35">
        <f>'Debt Schedule'!M23</f>
        <v/>
      </c>
      <c r="N57" s="35">
        <f>'Debt Schedule'!N23</f>
        <v/>
      </c>
      <c r="O57" s="35">
        <f>'Debt Schedule'!O23</f>
        <v/>
      </c>
      <c r="P57" s="35">
        <f>'Debt Schedule'!P23</f>
        <v/>
      </c>
      <c r="Q57" s="35">
        <f>'Debt Schedule'!Q23</f>
        <v/>
      </c>
      <c r="R57" s="35">
        <f>'Debt Schedule'!R23</f>
        <v/>
      </c>
      <c r="S57" s="35">
        <f>'Debt Schedule'!S23</f>
        <v/>
      </c>
      <c r="T57" s="35">
        <f>'Debt Schedule'!T23</f>
        <v/>
      </c>
      <c r="U57" s="35">
        <f>'Debt Schedule'!U23</f>
        <v/>
      </c>
      <c r="V57" s="35">
        <f>'Debt Schedule'!V23</f>
        <v/>
      </c>
      <c r="W57" s="35">
        <f>'Debt Schedule'!W23</f>
        <v/>
      </c>
      <c r="X57" s="35">
        <f>G57</f>
        <v/>
      </c>
      <c r="Y57" s="35">
        <f>K57</f>
        <v/>
      </c>
      <c r="Z57" s="35">
        <f>O57</f>
        <v/>
      </c>
      <c r="AA57" s="35">
        <f>S57</f>
        <v/>
      </c>
      <c r="AB57" s="35">
        <f>W57</f>
        <v/>
      </c>
    </row>
    <row r="58">
      <c r="A58" s="34" t="inlineStr">
        <is>
          <t>Right-of-Use Asset</t>
        </is>
      </c>
      <c r="B58" s="34" t="inlineStr">
        <is>
          <t>Debt Schedule schedule</t>
        </is>
      </c>
      <c r="C58" s="35">
        <f>'Debt Schedule'!C26</f>
        <v/>
      </c>
      <c r="D58" s="35">
        <f>'Debt Schedule'!D26</f>
        <v/>
      </c>
      <c r="E58" s="35">
        <f>'Debt Schedule'!E26</f>
        <v/>
      </c>
      <c r="F58" s="35">
        <f>'Debt Schedule'!F26</f>
        <v/>
      </c>
      <c r="G58" s="35">
        <f>'Debt Schedule'!G26</f>
        <v/>
      </c>
      <c r="H58" s="35">
        <f>'Debt Schedule'!H26</f>
        <v/>
      </c>
      <c r="I58" s="35">
        <f>'Debt Schedule'!I26</f>
        <v/>
      </c>
      <c r="J58" s="35">
        <f>'Debt Schedule'!J26</f>
        <v/>
      </c>
      <c r="K58" s="35">
        <f>'Debt Schedule'!K26</f>
        <v/>
      </c>
      <c r="L58" s="35">
        <f>'Debt Schedule'!L26</f>
        <v/>
      </c>
      <c r="M58" s="35">
        <f>'Debt Schedule'!M26</f>
        <v/>
      </c>
      <c r="N58" s="35">
        <f>'Debt Schedule'!N26</f>
        <v/>
      </c>
      <c r="O58" s="35">
        <f>'Debt Schedule'!O26</f>
        <v/>
      </c>
      <c r="P58" s="35">
        <f>'Debt Schedule'!P26</f>
        <v/>
      </c>
      <c r="Q58" s="35">
        <f>'Debt Schedule'!Q26</f>
        <v/>
      </c>
      <c r="R58" s="35">
        <f>'Debt Schedule'!R26</f>
        <v/>
      </c>
      <c r="S58" s="35">
        <f>'Debt Schedule'!S26</f>
        <v/>
      </c>
      <c r="T58" s="35">
        <f>'Debt Schedule'!T26</f>
        <v/>
      </c>
      <c r="U58" s="35">
        <f>'Debt Schedule'!U26</f>
        <v/>
      </c>
      <c r="V58" s="35">
        <f>'Debt Schedule'!V26</f>
        <v/>
      </c>
      <c r="W58" s="35">
        <f>'Debt Schedule'!W26</f>
        <v/>
      </c>
      <c r="X58" s="35">
        <f>G58</f>
        <v/>
      </c>
      <c r="Y58" s="35">
        <f>K58</f>
        <v/>
      </c>
      <c r="Z58" s="35">
        <f>O58</f>
        <v/>
      </c>
      <c r="AA58" s="35">
        <f>S58</f>
        <v/>
      </c>
      <c r="AB58" s="35">
        <f>W58</f>
        <v/>
      </c>
    </row>
    <row r="59">
      <c r="A59" s="34" t="inlineStr">
        <is>
          <t>Lease Asset Depreciation</t>
        </is>
      </c>
      <c r="B59" s="34" t="inlineStr">
        <is>
          <t>Debt Schedule schedule</t>
        </is>
      </c>
      <c r="C59" s="35">
        <f>'Debt Schedule'!C25</f>
        <v/>
      </c>
      <c r="D59" s="35">
        <f>'Debt Schedule'!D25</f>
        <v/>
      </c>
      <c r="E59" s="35">
        <f>'Debt Schedule'!E25</f>
        <v/>
      </c>
      <c r="F59" s="35">
        <f>'Debt Schedule'!F25</f>
        <v/>
      </c>
      <c r="G59" s="35">
        <f>'Debt Schedule'!G25</f>
        <v/>
      </c>
      <c r="H59" s="35">
        <f>'Debt Schedule'!H25</f>
        <v/>
      </c>
      <c r="I59" s="35">
        <f>'Debt Schedule'!I25</f>
        <v/>
      </c>
      <c r="J59" s="35">
        <f>'Debt Schedule'!J25</f>
        <v/>
      </c>
      <c r="K59" s="35">
        <f>'Debt Schedule'!K25</f>
        <v/>
      </c>
      <c r="L59" s="35">
        <f>'Debt Schedule'!L25</f>
        <v/>
      </c>
      <c r="M59" s="35">
        <f>'Debt Schedule'!M25</f>
        <v/>
      </c>
      <c r="N59" s="35">
        <f>'Debt Schedule'!N25</f>
        <v/>
      </c>
      <c r="O59" s="35">
        <f>'Debt Schedule'!O25</f>
        <v/>
      </c>
      <c r="P59" s="35">
        <f>'Debt Schedule'!P25</f>
        <v/>
      </c>
      <c r="Q59" s="35">
        <f>'Debt Schedule'!Q25</f>
        <v/>
      </c>
      <c r="R59" s="35">
        <f>'Debt Schedule'!R25</f>
        <v/>
      </c>
      <c r="S59" s="35">
        <f>'Debt Schedule'!S25</f>
        <v/>
      </c>
      <c r="T59" s="35">
        <f>'Debt Schedule'!T25</f>
        <v/>
      </c>
      <c r="U59" s="35">
        <f>'Debt Schedule'!U25</f>
        <v/>
      </c>
      <c r="V59" s="35">
        <f>'Debt Schedule'!V25</f>
        <v/>
      </c>
      <c r="W59" s="35">
        <f>'Debt Schedule'!W25</f>
        <v/>
      </c>
      <c r="X59" s="35">
        <f>SUM(D59:G59)</f>
        <v/>
      </c>
      <c r="Y59" s="35">
        <f>SUM(H59:K59)</f>
        <v/>
      </c>
      <c r="Z59" s="35">
        <f>SUM(L59:O59)</f>
        <v/>
      </c>
      <c r="AA59" s="35">
        <f>SUM(P59:S59)</f>
        <v/>
      </c>
      <c r="AB59" s="35">
        <f>SUM(T59:W59)</f>
        <v/>
      </c>
    </row>
    <row r="60">
      <c r="A60" s="8" t="inlineStr">
        <is>
          <t>Capital Expenditures</t>
        </is>
      </c>
      <c r="B60" s="8" t="inlineStr">
        <is>
          <t>CapEx Depreciation schedule</t>
        </is>
      </c>
      <c r="C60" s="12">
        <f>'CapEx Depreciation'!C8</f>
        <v/>
      </c>
      <c r="D60" s="12">
        <f>'CapEx Depreciation'!D8</f>
        <v/>
      </c>
      <c r="E60" s="12">
        <f>'CapEx Depreciation'!E8</f>
        <v/>
      </c>
      <c r="F60" s="12">
        <f>'CapEx Depreciation'!F8</f>
        <v/>
      </c>
      <c r="G60" s="12">
        <f>'CapEx Depreciation'!G8</f>
        <v/>
      </c>
      <c r="H60" s="12">
        <f>'CapEx Depreciation'!H8</f>
        <v/>
      </c>
      <c r="I60" s="12">
        <f>'CapEx Depreciation'!I8</f>
        <v/>
      </c>
      <c r="J60" s="12">
        <f>'CapEx Depreciation'!J8</f>
        <v/>
      </c>
      <c r="K60" s="12">
        <f>'CapEx Depreciation'!K8</f>
        <v/>
      </c>
      <c r="L60" s="12">
        <f>'CapEx Depreciation'!L8</f>
        <v/>
      </c>
      <c r="M60" s="12">
        <f>'CapEx Depreciation'!M8</f>
        <v/>
      </c>
      <c r="N60" s="12">
        <f>'CapEx Depreciation'!N8</f>
        <v/>
      </c>
      <c r="O60" s="12">
        <f>'CapEx Depreciation'!O8</f>
        <v/>
      </c>
      <c r="P60" s="12">
        <f>'CapEx Depreciation'!P8</f>
        <v/>
      </c>
      <c r="Q60" s="12">
        <f>'CapEx Depreciation'!Q8</f>
        <v/>
      </c>
      <c r="R60" s="12">
        <f>'CapEx Depreciation'!R8</f>
        <v/>
      </c>
      <c r="S60" s="12">
        <f>'CapEx Depreciation'!S8</f>
        <v/>
      </c>
      <c r="T60" s="12">
        <f>'CapEx Depreciation'!T8</f>
        <v/>
      </c>
      <c r="U60" s="12">
        <f>'CapEx Depreciation'!U8</f>
        <v/>
      </c>
      <c r="V60" s="12">
        <f>'CapEx Depreciation'!V8</f>
        <v/>
      </c>
      <c r="W60" s="12">
        <f>'CapEx Depreciation'!W8</f>
        <v/>
      </c>
      <c r="X60" s="12">
        <f>SUM(D60:G60)</f>
        <v/>
      </c>
      <c r="Y60" s="12">
        <f>SUM(H60:K60)</f>
        <v/>
      </c>
      <c r="Z60" s="12">
        <f>SUM(L60:O60)</f>
        <v/>
      </c>
      <c r="AA60" s="12">
        <f>SUM(P60:S60)</f>
        <v/>
      </c>
      <c r="AB60" s="12">
        <f>SUM(T60:W60)</f>
        <v/>
      </c>
    </row>
    <row r="61">
      <c r="A61" s="8" t="inlineStr">
        <is>
          <t>PPE Closing Balance</t>
        </is>
      </c>
      <c r="B61" s="8" t="inlineStr">
        <is>
          <t>CapEx Depreciation schedule</t>
        </is>
      </c>
      <c r="C61" s="12">
        <f>'CapEx Depreciation'!C12</f>
        <v/>
      </c>
      <c r="D61" s="12">
        <f>'CapEx Depreciation'!D12</f>
        <v/>
      </c>
      <c r="E61" s="12">
        <f>'CapEx Depreciation'!E12</f>
        <v/>
      </c>
      <c r="F61" s="12">
        <f>'CapEx Depreciation'!F12</f>
        <v/>
      </c>
      <c r="G61" s="12">
        <f>'CapEx Depreciation'!G12</f>
        <v/>
      </c>
      <c r="H61" s="12">
        <f>'CapEx Depreciation'!H12</f>
        <v/>
      </c>
      <c r="I61" s="12">
        <f>'CapEx Depreciation'!I12</f>
        <v/>
      </c>
      <c r="J61" s="12">
        <f>'CapEx Depreciation'!J12</f>
        <v/>
      </c>
      <c r="K61" s="12">
        <f>'CapEx Depreciation'!K12</f>
        <v/>
      </c>
      <c r="L61" s="12">
        <f>'CapEx Depreciation'!L12</f>
        <v/>
      </c>
      <c r="M61" s="12">
        <f>'CapEx Depreciation'!M12</f>
        <v/>
      </c>
      <c r="N61" s="12">
        <f>'CapEx Depreciation'!N12</f>
        <v/>
      </c>
      <c r="O61" s="12">
        <f>'CapEx Depreciation'!O12</f>
        <v/>
      </c>
      <c r="P61" s="12">
        <f>'CapEx Depreciation'!P12</f>
        <v/>
      </c>
      <c r="Q61" s="12">
        <f>'CapEx Depreciation'!Q12</f>
        <v/>
      </c>
      <c r="R61" s="12">
        <f>'CapEx Depreciation'!R12</f>
        <v/>
      </c>
      <c r="S61" s="12">
        <f>'CapEx Depreciation'!S12</f>
        <v/>
      </c>
      <c r="T61" s="12">
        <f>'CapEx Depreciation'!T12</f>
        <v/>
      </c>
      <c r="U61" s="12">
        <f>'CapEx Depreciation'!U12</f>
        <v/>
      </c>
      <c r="V61" s="12">
        <f>'CapEx Depreciation'!V12</f>
        <v/>
      </c>
      <c r="W61" s="12">
        <f>'CapEx Depreciation'!W12</f>
        <v/>
      </c>
      <c r="X61" s="12">
        <f>G61</f>
        <v/>
      </c>
      <c r="Y61" s="12">
        <f>K61</f>
        <v/>
      </c>
      <c r="Z61" s="12">
        <f>O61</f>
        <v/>
      </c>
      <c r="AA61" s="12">
        <f>S61</f>
        <v/>
      </c>
      <c r="AB61" s="12">
        <f>W61</f>
        <v/>
      </c>
    </row>
    <row r="62">
      <c r="A62" s="8" t="inlineStr">
        <is>
          <t>Accumulated Depreciation</t>
        </is>
      </c>
      <c r="B62" s="8" t="inlineStr">
        <is>
          <t>CapEx Depreciation schedule</t>
        </is>
      </c>
      <c r="C62" s="12">
        <f>'CapEx Depreciation'!C14</f>
        <v/>
      </c>
      <c r="D62" s="12">
        <f>'CapEx Depreciation'!D14</f>
        <v/>
      </c>
      <c r="E62" s="12">
        <f>'CapEx Depreciation'!E14</f>
        <v/>
      </c>
      <c r="F62" s="12">
        <f>'CapEx Depreciation'!F14</f>
        <v/>
      </c>
      <c r="G62" s="12">
        <f>'CapEx Depreciation'!G14</f>
        <v/>
      </c>
      <c r="H62" s="12">
        <f>'CapEx Depreciation'!H14</f>
        <v/>
      </c>
      <c r="I62" s="12">
        <f>'CapEx Depreciation'!I14</f>
        <v/>
      </c>
      <c r="J62" s="12">
        <f>'CapEx Depreciation'!J14</f>
        <v/>
      </c>
      <c r="K62" s="12">
        <f>'CapEx Depreciation'!K14</f>
        <v/>
      </c>
      <c r="L62" s="12">
        <f>'CapEx Depreciation'!L14</f>
        <v/>
      </c>
      <c r="M62" s="12">
        <f>'CapEx Depreciation'!M14</f>
        <v/>
      </c>
      <c r="N62" s="12">
        <f>'CapEx Depreciation'!N14</f>
        <v/>
      </c>
      <c r="O62" s="12">
        <f>'CapEx Depreciation'!O14</f>
        <v/>
      </c>
      <c r="P62" s="12">
        <f>'CapEx Depreciation'!P14</f>
        <v/>
      </c>
      <c r="Q62" s="12">
        <f>'CapEx Depreciation'!Q14</f>
        <v/>
      </c>
      <c r="R62" s="12">
        <f>'CapEx Depreciation'!R14</f>
        <v/>
      </c>
      <c r="S62" s="12">
        <f>'CapEx Depreciation'!S14</f>
        <v/>
      </c>
      <c r="T62" s="12">
        <f>'CapEx Depreciation'!T14</f>
        <v/>
      </c>
      <c r="U62" s="12">
        <f>'CapEx Depreciation'!U14</f>
        <v/>
      </c>
      <c r="V62" s="12">
        <f>'CapEx Depreciation'!V14</f>
        <v/>
      </c>
      <c r="W62" s="12">
        <f>'CapEx Depreciation'!W14</f>
        <v/>
      </c>
      <c r="X62" s="12">
        <f>G62</f>
        <v/>
      </c>
      <c r="Y62" s="12">
        <f>K62</f>
        <v/>
      </c>
      <c r="Z62" s="12">
        <f>O62</f>
        <v/>
      </c>
      <c r="AA62" s="12">
        <f>S62</f>
        <v/>
      </c>
      <c r="AB62" s="12">
        <f>W62</f>
        <v/>
      </c>
    </row>
  </sheetData>
  <mergeCells count="3">
    <mergeCell ref="A6:AB6"/>
    <mergeCell ref="A43:AB43"/>
    <mergeCell ref="A32:AB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Inputs'!C19</f>
        <v/>
      </c>
      <c r="D8" s="20">
        <f>'Model Inputs'!D19</f>
        <v/>
      </c>
      <c r="E8" s="20">
        <f>'Model Inputs'!E19</f>
        <v/>
      </c>
      <c r="F8" s="20">
        <f>'Model Inputs'!F19</f>
        <v/>
      </c>
      <c r="G8" s="20">
        <f>'Model Inputs'!G19</f>
        <v/>
      </c>
      <c r="H8" s="20">
        <f>'Model Inputs'!H19</f>
        <v/>
      </c>
      <c r="I8" s="20">
        <f>'Model Inputs'!I19</f>
        <v/>
      </c>
      <c r="J8" s="20">
        <f>'Model Inputs'!J19</f>
        <v/>
      </c>
      <c r="K8" s="20">
        <f>'Model Inputs'!K19</f>
        <v/>
      </c>
      <c r="L8" s="20">
        <f>'Model Inputs'!L19</f>
        <v/>
      </c>
      <c r="M8" s="20">
        <f>'Model Inputs'!M19</f>
        <v/>
      </c>
      <c r="N8" s="20">
        <f>'Model Inputs'!N19</f>
        <v/>
      </c>
      <c r="O8" s="20">
        <f>'Model Inputs'!O19</f>
        <v/>
      </c>
      <c r="P8" s="20">
        <f>'Model Inputs'!P19</f>
        <v/>
      </c>
      <c r="Q8" s="20">
        <f>'Model Inputs'!Q19</f>
        <v/>
      </c>
      <c r="R8" s="20">
        <f>'Model Inputs'!R19</f>
        <v/>
      </c>
      <c r="S8" s="20">
        <f>'Model Inputs'!S19</f>
        <v/>
      </c>
      <c r="T8" s="20">
        <f>'Model Inputs'!T19</f>
        <v/>
      </c>
      <c r="U8" s="20">
        <f>'Model Inputs'!U19</f>
        <v/>
      </c>
      <c r="V8" s="20">
        <f>'Model Inputs'!V19</f>
        <v/>
      </c>
      <c r="W8" s="20">
        <f>'Model Inputs'!W19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Inputs'!C20</f>
        <v/>
      </c>
      <c r="D9" s="12">
        <f>D8*'Model Inputs'!D20</f>
        <v/>
      </c>
      <c r="E9" s="12">
        <f>E8*'Model Inputs'!E20</f>
        <v/>
      </c>
      <c r="F9" s="12">
        <f>F8*'Model Inputs'!F20</f>
        <v/>
      </c>
      <c r="G9" s="12">
        <f>G8*'Model Inputs'!G20</f>
        <v/>
      </c>
      <c r="H9" s="12">
        <f>H8*'Model Inputs'!H20</f>
        <v/>
      </c>
      <c r="I9" s="12">
        <f>I8*'Model Inputs'!I20</f>
        <v/>
      </c>
      <c r="J9" s="12">
        <f>J8*'Model Inputs'!J20</f>
        <v/>
      </c>
      <c r="K9" s="12">
        <f>K8*'Model Inputs'!K20</f>
        <v/>
      </c>
      <c r="L9" s="12">
        <f>L8*'Model Inputs'!L20</f>
        <v/>
      </c>
      <c r="M9" s="12">
        <f>M8*'Model Inputs'!M20</f>
        <v/>
      </c>
      <c r="N9" s="12">
        <f>N8*'Model Inputs'!N20</f>
        <v/>
      </c>
      <c r="O9" s="12">
        <f>O8*'Model Inputs'!O20</f>
        <v/>
      </c>
      <c r="P9" s="12">
        <f>P8*'Model Inputs'!P20</f>
        <v/>
      </c>
      <c r="Q9" s="12">
        <f>Q8*'Model Inputs'!Q20</f>
        <v/>
      </c>
      <c r="R9" s="12">
        <f>R8*'Model Inputs'!R20</f>
        <v/>
      </c>
      <c r="S9" s="12">
        <f>S8*'Model Inputs'!S20</f>
        <v/>
      </c>
      <c r="T9" s="12">
        <f>T8*'Model Inputs'!T20</f>
        <v/>
      </c>
      <c r="U9" s="12">
        <f>U8*'Model Inputs'!U20</f>
        <v/>
      </c>
      <c r="V9" s="12">
        <f>V8*'Model Inputs'!V20</f>
        <v/>
      </c>
      <c r="W9" s="12">
        <f>W8*'Model Inputs'!W20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Inputs'!C21</f>
        <v/>
      </c>
      <c r="D11" s="12">
        <f>D8*'Model Inputs'!D21</f>
        <v/>
      </c>
      <c r="E11" s="12">
        <f>E8*'Model Inputs'!E21</f>
        <v/>
      </c>
      <c r="F11" s="12">
        <f>F8*'Model Inputs'!F21</f>
        <v/>
      </c>
      <c r="G11" s="12">
        <f>G8*'Model Inputs'!G21</f>
        <v/>
      </c>
      <c r="H11" s="12">
        <f>H8*'Model Inputs'!H21</f>
        <v/>
      </c>
      <c r="I11" s="12">
        <f>I8*'Model Inputs'!I21</f>
        <v/>
      </c>
      <c r="J11" s="12">
        <f>J8*'Model Inputs'!J21</f>
        <v/>
      </c>
      <c r="K11" s="12">
        <f>K8*'Model Inputs'!K21</f>
        <v/>
      </c>
      <c r="L11" s="12">
        <f>L8*'Model Inputs'!L21</f>
        <v/>
      </c>
      <c r="M11" s="12">
        <f>M8*'Model Inputs'!M21</f>
        <v/>
      </c>
      <c r="N11" s="12">
        <f>N8*'Model Inputs'!N21</f>
        <v/>
      </c>
      <c r="O11" s="12">
        <f>O8*'Model Inputs'!O21</f>
        <v/>
      </c>
      <c r="P11" s="12">
        <f>P8*'Model Inputs'!P21</f>
        <v/>
      </c>
      <c r="Q11" s="12">
        <f>Q8*'Model Inputs'!Q21</f>
        <v/>
      </c>
      <c r="R11" s="12">
        <f>R8*'Model Inputs'!R21</f>
        <v/>
      </c>
      <c r="S11" s="12">
        <f>S8*'Model Inputs'!S21</f>
        <v/>
      </c>
      <c r="T11" s="12">
        <f>T8*'Model Inputs'!T21</f>
        <v/>
      </c>
      <c r="U11" s="12">
        <f>U8*'Model Inputs'!U21</f>
        <v/>
      </c>
      <c r="V11" s="12">
        <f>V8*'Model Inputs'!V21</f>
        <v/>
      </c>
      <c r="W11" s="12">
        <f>W8*'Model Inputs'!W21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Inputs'!C22</f>
        <v/>
      </c>
      <c r="D12" s="12">
        <f>D8*'Model Inputs'!D22</f>
        <v/>
      </c>
      <c r="E12" s="12">
        <f>E8*'Model Inputs'!E22</f>
        <v/>
      </c>
      <c r="F12" s="12">
        <f>F8*'Model Inputs'!F22</f>
        <v/>
      </c>
      <c r="G12" s="12">
        <f>G8*'Model Inputs'!G22</f>
        <v/>
      </c>
      <c r="H12" s="12">
        <f>H8*'Model Inputs'!H22</f>
        <v/>
      </c>
      <c r="I12" s="12">
        <f>I8*'Model Inputs'!I22</f>
        <v/>
      </c>
      <c r="J12" s="12">
        <f>J8*'Model Inputs'!J22</f>
        <v/>
      </c>
      <c r="K12" s="12">
        <f>K8*'Model Inputs'!K22</f>
        <v/>
      </c>
      <c r="L12" s="12">
        <f>L8*'Model Inputs'!L22</f>
        <v/>
      </c>
      <c r="M12" s="12">
        <f>M8*'Model Inputs'!M22</f>
        <v/>
      </c>
      <c r="N12" s="12">
        <f>N8*'Model Inputs'!N22</f>
        <v/>
      </c>
      <c r="O12" s="12">
        <f>O8*'Model Inputs'!O22</f>
        <v/>
      </c>
      <c r="P12" s="12">
        <f>P8*'Model Inputs'!P22</f>
        <v/>
      </c>
      <c r="Q12" s="12">
        <f>Q8*'Model Inputs'!Q22</f>
        <v/>
      </c>
      <c r="R12" s="12">
        <f>R8*'Model Inputs'!R22</f>
        <v/>
      </c>
      <c r="S12" s="12">
        <f>S8*'Model Inputs'!S22</f>
        <v/>
      </c>
      <c r="T12" s="12">
        <f>T8*'Model Inputs'!T22</f>
        <v/>
      </c>
      <c r="U12" s="12">
        <f>U8*'Model Inputs'!U22</f>
        <v/>
      </c>
      <c r="V12" s="12">
        <f>V8*'Model Inputs'!V22</f>
        <v/>
      </c>
      <c r="W12" s="12">
        <f>W8*'Model Inputs'!W22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Inputs'!C23</f>
        <v/>
      </c>
      <c r="D13" s="12">
        <f>'Model Inputs'!D23</f>
        <v/>
      </c>
      <c r="E13" s="12">
        <f>'Model Inputs'!E23</f>
        <v/>
      </c>
      <c r="F13" s="12">
        <f>'Model Inputs'!F23</f>
        <v/>
      </c>
      <c r="G13" s="12">
        <f>'Model Inputs'!G23</f>
        <v/>
      </c>
      <c r="H13" s="12">
        <f>'Model Inputs'!H23</f>
        <v/>
      </c>
      <c r="I13" s="12">
        <f>'Model Inputs'!I23</f>
        <v/>
      </c>
      <c r="J13" s="12">
        <f>'Model Inputs'!J23</f>
        <v/>
      </c>
      <c r="K13" s="12">
        <f>'Model Inputs'!K23</f>
        <v/>
      </c>
      <c r="L13" s="12">
        <f>'Model Inputs'!L23</f>
        <v/>
      </c>
      <c r="M13" s="12">
        <f>'Model Inputs'!M23</f>
        <v/>
      </c>
      <c r="N13" s="12">
        <f>'Model Inputs'!N23</f>
        <v/>
      </c>
      <c r="O13" s="12">
        <f>'Model Inputs'!O23</f>
        <v/>
      </c>
      <c r="P13" s="12">
        <f>'Model Inputs'!P23</f>
        <v/>
      </c>
      <c r="Q13" s="12">
        <f>'Model Inputs'!Q23</f>
        <v/>
      </c>
      <c r="R13" s="12">
        <f>'Model Inputs'!R23</f>
        <v/>
      </c>
      <c r="S13" s="12">
        <f>'Model Inputs'!S23</f>
        <v/>
      </c>
      <c r="T13" s="12">
        <f>'Model Inputs'!T23</f>
        <v/>
      </c>
      <c r="U13" s="12">
        <f>'Model Inputs'!U23</f>
        <v/>
      </c>
      <c r="V13" s="12">
        <f>'Model Inputs'!V23</f>
        <v/>
      </c>
      <c r="W13" s="12">
        <f>'Model Inputs'!W23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Inputs'!C24</f>
        <v/>
      </c>
      <c r="D14" s="12">
        <f>'Model Inputs'!D24</f>
        <v/>
      </c>
      <c r="E14" s="12">
        <f>'Model Inputs'!E24</f>
        <v/>
      </c>
      <c r="F14" s="12">
        <f>'Model Inputs'!F24</f>
        <v/>
      </c>
      <c r="G14" s="12">
        <f>'Model Inputs'!G24</f>
        <v/>
      </c>
      <c r="H14" s="12">
        <f>'Model Inputs'!H24</f>
        <v/>
      </c>
      <c r="I14" s="12">
        <f>'Model Inputs'!I24</f>
        <v/>
      </c>
      <c r="J14" s="12">
        <f>'Model Inputs'!J24</f>
        <v/>
      </c>
      <c r="K14" s="12">
        <f>'Model Inputs'!K24</f>
        <v/>
      </c>
      <c r="L14" s="12">
        <f>'Model Inputs'!L24</f>
        <v/>
      </c>
      <c r="M14" s="12">
        <f>'Model Inputs'!M24</f>
        <v/>
      </c>
      <c r="N14" s="12">
        <f>'Model Inputs'!N24</f>
        <v/>
      </c>
      <c r="O14" s="12">
        <f>'Model Inputs'!O24</f>
        <v/>
      </c>
      <c r="P14" s="12">
        <f>'Model Inputs'!P24</f>
        <v/>
      </c>
      <c r="Q14" s="12">
        <f>'Model Inputs'!Q24</f>
        <v/>
      </c>
      <c r="R14" s="12">
        <f>'Model Inputs'!R24</f>
        <v/>
      </c>
      <c r="S14" s="12">
        <f>'Model Inputs'!S24</f>
        <v/>
      </c>
      <c r="T14" s="12">
        <f>'Model Inputs'!T24</f>
        <v/>
      </c>
      <c r="U14" s="12">
        <f>'Model Inputs'!U24</f>
        <v/>
      </c>
      <c r="V14" s="12">
        <f>'Model Inputs'!V24</f>
        <v/>
      </c>
      <c r="W14" s="12">
        <f>'Model Inputs'!W24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Inputs'!C25</f>
        <v/>
      </c>
      <c r="D15" s="12">
        <f>D8*'Model Inputs'!D25</f>
        <v/>
      </c>
      <c r="E15" s="12">
        <f>E8*'Model Inputs'!E25</f>
        <v/>
      </c>
      <c r="F15" s="12">
        <f>F8*'Model Inputs'!F25</f>
        <v/>
      </c>
      <c r="G15" s="12">
        <f>G8*'Model Inputs'!G25</f>
        <v/>
      </c>
      <c r="H15" s="12">
        <f>H8*'Model Inputs'!H25</f>
        <v/>
      </c>
      <c r="I15" s="12">
        <f>I8*'Model Inputs'!I25</f>
        <v/>
      </c>
      <c r="J15" s="12">
        <f>J8*'Model Inputs'!J25</f>
        <v/>
      </c>
      <c r="K15" s="12">
        <f>K8*'Model Inputs'!K25</f>
        <v/>
      </c>
      <c r="L15" s="12">
        <f>L8*'Model Inputs'!L25</f>
        <v/>
      </c>
      <c r="M15" s="12">
        <f>M8*'Model Inputs'!M25</f>
        <v/>
      </c>
      <c r="N15" s="12">
        <f>N8*'Model Inputs'!N25</f>
        <v/>
      </c>
      <c r="O15" s="12">
        <f>O8*'Model Inputs'!O25</f>
        <v/>
      </c>
      <c r="P15" s="12">
        <f>P8*'Model Inputs'!P25</f>
        <v/>
      </c>
      <c r="Q15" s="12">
        <f>Q8*'Model Inputs'!Q25</f>
        <v/>
      </c>
      <c r="R15" s="12">
        <f>R8*'Model Inputs'!R25</f>
        <v/>
      </c>
      <c r="S15" s="12">
        <f>S8*'Model Inputs'!S25</f>
        <v/>
      </c>
      <c r="T15" s="12">
        <f>T8*'Model Inputs'!T25</f>
        <v/>
      </c>
      <c r="U15" s="12">
        <f>U8*'Model Inputs'!U25</f>
        <v/>
      </c>
      <c r="V15" s="12">
        <f>V8*'Model Inputs'!V25</f>
        <v/>
      </c>
      <c r="W15" s="12">
        <f>W8*'Model Inputs'!W25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Inputs'!C27+'Model Inputs'!C56</f>
        <v/>
      </c>
      <c r="D17" s="12">
        <f>'Model Inputs'!D27+'Model Inputs'!D56</f>
        <v/>
      </c>
      <c r="E17" s="12">
        <f>'Model Inputs'!E27+'Model Inputs'!E56</f>
        <v/>
      </c>
      <c r="F17" s="12">
        <f>'Model Inputs'!F27+'Model Inputs'!F56</f>
        <v/>
      </c>
      <c r="G17" s="12">
        <f>'Model Inputs'!G27+'Model Inputs'!G56</f>
        <v/>
      </c>
      <c r="H17" s="12">
        <f>'Model Inputs'!H27+'Model Inputs'!H56</f>
        <v/>
      </c>
      <c r="I17" s="12">
        <f>'Model Inputs'!I27+'Model Inputs'!I56</f>
        <v/>
      </c>
      <c r="J17" s="12">
        <f>'Model Inputs'!J27+'Model Inputs'!J56</f>
        <v/>
      </c>
      <c r="K17" s="12">
        <f>'Model Inputs'!K27+'Model Inputs'!K56</f>
        <v/>
      </c>
      <c r="L17" s="12">
        <f>'Model Inputs'!L27+'Model Inputs'!L56</f>
        <v/>
      </c>
      <c r="M17" s="12">
        <f>'Model Inputs'!M27+'Model Inputs'!M56</f>
        <v/>
      </c>
      <c r="N17" s="12">
        <f>'Model Inputs'!N27+'Model Inputs'!N56</f>
        <v/>
      </c>
      <c r="O17" s="12">
        <f>'Model Inputs'!O27+'Model Inputs'!O56</f>
        <v/>
      </c>
      <c r="P17" s="12">
        <f>'Model Inputs'!P27+'Model Inputs'!P56</f>
        <v/>
      </c>
      <c r="Q17" s="12">
        <f>'Model Inputs'!Q27+'Model Inputs'!Q56</f>
        <v/>
      </c>
      <c r="R17" s="12">
        <f>'Model Inputs'!R27+'Model Inputs'!R56</f>
        <v/>
      </c>
      <c r="S17" s="12">
        <f>'Model Inputs'!S27+'Model Inputs'!S56</f>
        <v/>
      </c>
      <c r="T17" s="12">
        <f>'Model Inputs'!T27+'Model Inputs'!T56</f>
        <v/>
      </c>
      <c r="U17" s="12">
        <f>'Model Inputs'!U27+'Model Inputs'!U56</f>
        <v/>
      </c>
      <c r="V17" s="12">
        <f>'Model Inputs'!V27+'Model Inputs'!V56</f>
        <v/>
      </c>
      <c r="W17" s="12">
        <f>'Model Inputs'!W27+'Model Inputs'!W56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Inputs'!C29+'Model Inputs'!C59</f>
        <v/>
      </c>
      <c r="D18" s="12">
        <f>'Model Inputs'!D29+'Model Inputs'!D59</f>
        <v/>
      </c>
      <c r="E18" s="12">
        <f>'Model Inputs'!E29+'Model Inputs'!E59</f>
        <v/>
      </c>
      <c r="F18" s="12">
        <f>'Model Inputs'!F29+'Model Inputs'!F59</f>
        <v/>
      </c>
      <c r="G18" s="12">
        <f>'Model Inputs'!G29+'Model Inputs'!G59</f>
        <v/>
      </c>
      <c r="H18" s="12">
        <f>'Model Inputs'!H29+'Model Inputs'!H59</f>
        <v/>
      </c>
      <c r="I18" s="12">
        <f>'Model Inputs'!I29+'Model Inputs'!I59</f>
        <v/>
      </c>
      <c r="J18" s="12">
        <f>'Model Inputs'!J29+'Model Inputs'!J59</f>
        <v/>
      </c>
      <c r="K18" s="12">
        <f>'Model Inputs'!K29+'Model Inputs'!K59</f>
        <v/>
      </c>
      <c r="L18" s="12">
        <f>'Model Inputs'!L29+'Model Inputs'!L59</f>
        <v/>
      </c>
      <c r="M18" s="12">
        <f>'Model Inputs'!M29+'Model Inputs'!M59</f>
        <v/>
      </c>
      <c r="N18" s="12">
        <f>'Model Inputs'!N29+'Model Inputs'!N59</f>
        <v/>
      </c>
      <c r="O18" s="12">
        <f>'Model Inputs'!O29+'Model Inputs'!O59</f>
        <v/>
      </c>
      <c r="P18" s="12">
        <f>'Model Inputs'!P29+'Model Inputs'!P59</f>
        <v/>
      </c>
      <c r="Q18" s="12">
        <f>'Model Inputs'!Q29+'Model Inputs'!Q59</f>
        <v/>
      </c>
      <c r="R18" s="12">
        <f>'Model Inputs'!R29+'Model Inputs'!R59</f>
        <v/>
      </c>
      <c r="S18" s="12">
        <f>'Model Inputs'!S29+'Model Inputs'!S59</f>
        <v/>
      </c>
      <c r="T18" s="12">
        <f>'Model Inputs'!T29+'Model Inputs'!T59</f>
        <v/>
      </c>
      <c r="U18" s="12">
        <f>'Model Inputs'!U29+'Model Inputs'!U59</f>
        <v/>
      </c>
      <c r="V18" s="12">
        <f>'Model Inputs'!V29+'Model Inputs'!V59</f>
        <v/>
      </c>
      <c r="W18" s="12">
        <f>'Model Inputs'!W29+'Model Inputs'!W59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Inputs'!C30</f>
        <v/>
      </c>
      <c r="D19" s="12">
        <f>MAX(0,D16-D17-D18)*'Model Inputs'!D30</f>
        <v/>
      </c>
      <c r="E19" s="12">
        <f>MAX(0,E16-E17-E18)*'Model Inputs'!E30</f>
        <v/>
      </c>
      <c r="F19" s="12">
        <f>MAX(0,F16-F17-F18)*'Model Inputs'!F30</f>
        <v/>
      </c>
      <c r="G19" s="12">
        <f>MAX(0,G16-G17-G18)*'Model Inputs'!G30</f>
        <v/>
      </c>
      <c r="H19" s="12">
        <f>MAX(0,H16-H17-H18)*'Model Inputs'!H30</f>
        <v/>
      </c>
      <c r="I19" s="12">
        <f>MAX(0,I16-I17-I18)*'Model Inputs'!I30</f>
        <v/>
      </c>
      <c r="J19" s="12">
        <f>MAX(0,J16-J17-J18)*'Model Inputs'!J30</f>
        <v/>
      </c>
      <c r="K19" s="12">
        <f>MAX(0,K16-K17-K18)*'Model Inputs'!K30</f>
        <v/>
      </c>
      <c r="L19" s="12">
        <f>MAX(0,L16-L17-L18)*'Model Inputs'!L30</f>
        <v/>
      </c>
      <c r="M19" s="12">
        <f>MAX(0,M16-M17-M18)*'Model Inputs'!M30</f>
        <v/>
      </c>
      <c r="N19" s="12">
        <f>MAX(0,N16-N17-N18)*'Model Inputs'!N30</f>
        <v/>
      </c>
      <c r="O19" s="12">
        <f>MAX(0,O16-O17-O18)*'Model Inputs'!O30</f>
        <v/>
      </c>
      <c r="P19" s="12">
        <f>MAX(0,P16-P17-P18)*'Model Inputs'!P30</f>
        <v/>
      </c>
      <c r="Q19" s="12">
        <f>MAX(0,Q16-Q17-Q18)*'Model Inputs'!Q30</f>
        <v/>
      </c>
      <c r="R19" s="12">
        <f>MAX(0,R16-R17-R18)*'Model Inputs'!R30</f>
        <v/>
      </c>
      <c r="S19" s="12">
        <f>MAX(0,S16-S17-S18)*'Model Inputs'!S30</f>
        <v/>
      </c>
      <c r="T19" s="12">
        <f>MAX(0,T16-T17-T18)*'Model Inputs'!T30</f>
        <v/>
      </c>
      <c r="U19" s="12">
        <f>MAX(0,U16-U17-U18)*'Model Inputs'!U30</f>
        <v/>
      </c>
      <c r="V19" s="12">
        <f>MAX(0,V16-V17-V18)*'Model Inputs'!V30</f>
        <v/>
      </c>
      <c r="W19" s="12">
        <f>MAX(0,W16-W17-W18)*'Model Inputs'!W30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Inputs'!C45</f>
        <v/>
      </c>
      <c r="D24" s="12">
        <f>('Model Inputs'!D33/D6)*D8</f>
        <v/>
      </c>
      <c r="E24" s="12">
        <f>('Model Inputs'!E33/E6)*E8</f>
        <v/>
      </c>
      <c r="F24" s="12">
        <f>('Model Inputs'!F33/F6)*F8</f>
        <v/>
      </c>
      <c r="G24" s="12">
        <f>('Model Inputs'!G33/G6)*G8</f>
        <v/>
      </c>
      <c r="H24" s="12">
        <f>('Model Inputs'!H33/H6)*H8</f>
        <v/>
      </c>
      <c r="I24" s="12">
        <f>('Model Inputs'!I33/I6)*I8</f>
        <v/>
      </c>
      <c r="J24" s="12">
        <f>('Model Inputs'!J33/J6)*J8</f>
        <v/>
      </c>
      <c r="K24" s="12">
        <f>('Model Inputs'!K33/K6)*K8</f>
        <v/>
      </c>
      <c r="L24" s="12">
        <f>('Model Inputs'!L33/L6)*L8</f>
        <v/>
      </c>
      <c r="M24" s="12">
        <f>('Model Inputs'!M33/M6)*M8</f>
        <v/>
      </c>
      <c r="N24" s="12">
        <f>('Model Inputs'!N33/N6)*N8</f>
        <v/>
      </c>
      <c r="O24" s="12">
        <f>('Model Inputs'!O33/O6)*O8</f>
        <v/>
      </c>
      <c r="P24" s="12">
        <f>('Model Inputs'!P33/P6)*P8</f>
        <v/>
      </c>
      <c r="Q24" s="12">
        <f>('Model Inputs'!Q33/Q6)*Q8</f>
        <v/>
      </c>
      <c r="R24" s="12">
        <f>('Model Inputs'!R33/R6)*R8</f>
        <v/>
      </c>
      <c r="S24" s="12">
        <f>('Model Inputs'!S33/S6)*S8</f>
        <v/>
      </c>
      <c r="T24" s="12">
        <f>('Model Inputs'!T33/T6)*T8</f>
        <v/>
      </c>
      <c r="U24" s="12">
        <f>('Model Inputs'!U33/U6)*U8</f>
        <v/>
      </c>
      <c r="V24" s="12">
        <f>('Model Inputs'!V33/V6)*V8</f>
        <v/>
      </c>
      <c r="W24" s="12">
        <f>('Model Inputs'!W33/W6)*W8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Inputs'!C46</f>
        <v/>
      </c>
      <c r="D25" s="12">
        <f>('Model Inputs'!D34/D6)*D9</f>
        <v/>
      </c>
      <c r="E25" s="12">
        <f>('Model Inputs'!E34/E6)*E9</f>
        <v/>
      </c>
      <c r="F25" s="12">
        <f>('Model Inputs'!F34/F6)*F9</f>
        <v/>
      </c>
      <c r="G25" s="12">
        <f>('Model Inputs'!G34/G6)*G9</f>
        <v/>
      </c>
      <c r="H25" s="12">
        <f>('Model Inputs'!H34/H6)*H9</f>
        <v/>
      </c>
      <c r="I25" s="12">
        <f>('Model Inputs'!I34/I6)*I9</f>
        <v/>
      </c>
      <c r="J25" s="12">
        <f>('Model Inputs'!J34/J6)*J9</f>
        <v/>
      </c>
      <c r="K25" s="12">
        <f>('Model Inputs'!K34/K6)*K9</f>
        <v/>
      </c>
      <c r="L25" s="12">
        <f>('Model Inputs'!L34/L6)*L9</f>
        <v/>
      </c>
      <c r="M25" s="12">
        <f>('Model Inputs'!M34/M6)*M9</f>
        <v/>
      </c>
      <c r="N25" s="12">
        <f>('Model Inputs'!N34/N6)*N9</f>
        <v/>
      </c>
      <c r="O25" s="12">
        <f>('Model Inputs'!O34/O6)*O9</f>
        <v/>
      </c>
      <c r="P25" s="12">
        <f>('Model Inputs'!P34/P6)*P9</f>
        <v/>
      </c>
      <c r="Q25" s="12">
        <f>('Model Inputs'!Q34/Q6)*Q9</f>
        <v/>
      </c>
      <c r="R25" s="12">
        <f>('Model Inputs'!R34/R6)*R9</f>
        <v/>
      </c>
      <c r="S25" s="12">
        <f>('Model Inputs'!S34/S6)*S9</f>
        <v/>
      </c>
      <c r="T25" s="12">
        <f>('Model Inputs'!T34/T6)*T9</f>
        <v/>
      </c>
      <c r="U25" s="12">
        <f>('Model Inputs'!U34/U6)*U9</f>
        <v/>
      </c>
      <c r="V25" s="12">
        <f>('Model Inputs'!V34/V6)*V9</f>
        <v/>
      </c>
      <c r="W25" s="12">
        <f>('Model Inputs'!W34/W6)*W9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Inputs'!D36</f>
        <v/>
      </c>
      <c r="E26" s="12">
        <f>E8*'Model Inputs'!E36</f>
        <v/>
      </c>
      <c r="F26" s="12">
        <f>F8*'Model Inputs'!F36</f>
        <v/>
      </c>
      <c r="G26" s="12">
        <f>G8*'Model Inputs'!G36</f>
        <v/>
      </c>
      <c r="H26" s="12">
        <f>H8*'Model Inputs'!H36</f>
        <v/>
      </c>
      <c r="I26" s="12">
        <f>I8*'Model Inputs'!I36</f>
        <v/>
      </c>
      <c r="J26" s="12">
        <f>J8*'Model Inputs'!J36</f>
        <v/>
      </c>
      <c r="K26" s="12">
        <f>K8*'Model Inputs'!K36</f>
        <v/>
      </c>
      <c r="L26" s="12">
        <f>L8*'Model Inputs'!L36</f>
        <v/>
      </c>
      <c r="M26" s="12">
        <f>M8*'Model Inputs'!M36</f>
        <v/>
      </c>
      <c r="N26" s="12">
        <f>N8*'Model Inputs'!N36</f>
        <v/>
      </c>
      <c r="O26" s="12">
        <f>O8*'Model Inputs'!O36</f>
        <v/>
      </c>
      <c r="P26" s="12">
        <f>P8*'Model Inputs'!P36</f>
        <v/>
      </c>
      <c r="Q26" s="12">
        <f>Q8*'Model Inputs'!Q36</f>
        <v/>
      </c>
      <c r="R26" s="12">
        <f>R8*'Model Inputs'!R36</f>
        <v/>
      </c>
      <c r="S26" s="12">
        <f>S8*'Model Inputs'!S36</f>
        <v/>
      </c>
      <c r="T26" s="12">
        <f>T8*'Model Inputs'!T36</f>
        <v/>
      </c>
      <c r="U26" s="12">
        <f>U8*'Model Inputs'!U36</f>
        <v/>
      </c>
      <c r="V26" s="12">
        <f>V8*'Model Inputs'!V36</f>
        <v/>
      </c>
      <c r="W26" s="12">
        <f>W8*'Model Inputs'!W36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Inputs'!C61</f>
        <v/>
      </c>
      <c r="D28" s="12">
        <f>'Model Inputs'!D61</f>
        <v/>
      </c>
      <c r="E28" s="12">
        <f>'Model Inputs'!E61</f>
        <v/>
      </c>
      <c r="F28" s="12">
        <f>'Model Inputs'!F61</f>
        <v/>
      </c>
      <c r="G28" s="12">
        <f>'Model Inputs'!G61</f>
        <v/>
      </c>
      <c r="H28" s="12">
        <f>'Model Inputs'!H61</f>
        <v/>
      </c>
      <c r="I28" s="12">
        <f>'Model Inputs'!I61</f>
        <v/>
      </c>
      <c r="J28" s="12">
        <f>'Model Inputs'!J61</f>
        <v/>
      </c>
      <c r="K28" s="12">
        <f>'Model Inputs'!K61</f>
        <v/>
      </c>
      <c r="L28" s="12">
        <f>'Model Inputs'!L61</f>
        <v/>
      </c>
      <c r="M28" s="12">
        <f>'Model Inputs'!M61</f>
        <v/>
      </c>
      <c r="N28" s="12">
        <f>'Model Inputs'!N61</f>
        <v/>
      </c>
      <c r="O28" s="12">
        <f>'Model Inputs'!O61</f>
        <v/>
      </c>
      <c r="P28" s="12">
        <f>'Model Inputs'!P61</f>
        <v/>
      </c>
      <c r="Q28" s="12">
        <f>'Model Inputs'!Q61</f>
        <v/>
      </c>
      <c r="R28" s="12">
        <f>'Model Inputs'!R61</f>
        <v/>
      </c>
      <c r="S28" s="12">
        <f>'Model Inputs'!S61</f>
        <v/>
      </c>
      <c r="T28" s="12">
        <f>'Model Inputs'!T61</f>
        <v/>
      </c>
      <c r="U28" s="12">
        <f>'Model Inputs'!U61</f>
        <v/>
      </c>
      <c r="V28" s="12">
        <f>'Model Inputs'!V61</f>
        <v/>
      </c>
      <c r="W28" s="12">
        <f>'Model Inputs'!W61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Inputs'!C58</f>
        <v/>
      </c>
      <c r="D29" s="12">
        <f>'Model Inputs'!D58</f>
        <v/>
      </c>
      <c r="E29" s="12">
        <f>'Model Inputs'!E58</f>
        <v/>
      </c>
      <c r="F29" s="12">
        <f>'Model Inputs'!F58</f>
        <v/>
      </c>
      <c r="G29" s="12">
        <f>'Model Inputs'!G58</f>
        <v/>
      </c>
      <c r="H29" s="12">
        <f>'Model Inputs'!H58</f>
        <v/>
      </c>
      <c r="I29" s="12">
        <f>'Model Inputs'!I58</f>
        <v/>
      </c>
      <c r="J29" s="12">
        <f>'Model Inputs'!J58</f>
        <v/>
      </c>
      <c r="K29" s="12">
        <f>'Model Inputs'!K58</f>
        <v/>
      </c>
      <c r="L29" s="12">
        <f>'Model Inputs'!L58</f>
        <v/>
      </c>
      <c r="M29" s="12">
        <f>'Model Inputs'!M58</f>
        <v/>
      </c>
      <c r="N29" s="12">
        <f>'Model Inputs'!N58</f>
        <v/>
      </c>
      <c r="O29" s="12">
        <f>'Model Inputs'!O58</f>
        <v/>
      </c>
      <c r="P29" s="12">
        <f>'Model Inputs'!P58</f>
        <v/>
      </c>
      <c r="Q29" s="12">
        <f>'Model Inputs'!Q58</f>
        <v/>
      </c>
      <c r="R29" s="12">
        <f>'Model Inputs'!R58</f>
        <v/>
      </c>
      <c r="S29" s="12">
        <f>'Model Inputs'!S58</f>
        <v/>
      </c>
      <c r="T29" s="12">
        <f>'Model Inputs'!T58</f>
        <v/>
      </c>
      <c r="U29" s="12">
        <f>'Model Inputs'!U58</f>
        <v/>
      </c>
      <c r="V29" s="12">
        <f>'Model Inputs'!V58</f>
        <v/>
      </c>
      <c r="W29" s="12">
        <f>'Model Inputs'!W58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Inputs'!C62</f>
        <v/>
      </c>
      <c r="D30" s="12">
        <f>'Model Inputs'!D62</f>
        <v/>
      </c>
      <c r="E30" s="12">
        <f>'Model Inputs'!E62</f>
        <v/>
      </c>
      <c r="F30" s="12">
        <f>'Model Inputs'!F62</f>
        <v/>
      </c>
      <c r="G30" s="12">
        <f>'Model Inputs'!G62</f>
        <v/>
      </c>
      <c r="H30" s="12">
        <f>'Model Inputs'!H62</f>
        <v/>
      </c>
      <c r="I30" s="12">
        <f>'Model Inputs'!I62</f>
        <v/>
      </c>
      <c r="J30" s="12">
        <f>'Model Inputs'!J62</f>
        <v/>
      </c>
      <c r="K30" s="12">
        <f>'Model Inputs'!K62</f>
        <v/>
      </c>
      <c r="L30" s="12">
        <f>'Model Inputs'!L62</f>
        <v/>
      </c>
      <c r="M30" s="12">
        <f>'Model Inputs'!M62</f>
        <v/>
      </c>
      <c r="N30" s="12">
        <f>'Model Inputs'!N62</f>
        <v/>
      </c>
      <c r="O30" s="12">
        <f>'Model Inputs'!O62</f>
        <v/>
      </c>
      <c r="P30" s="12">
        <f>'Model Inputs'!P62</f>
        <v/>
      </c>
      <c r="Q30" s="12">
        <f>'Model Inputs'!Q62</f>
        <v/>
      </c>
      <c r="R30" s="12">
        <f>'Model Inputs'!R62</f>
        <v/>
      </c>
      <c r="S30" s="12">
        <f>'Model Inputs'!S62</f>
        <v/>
      </c>
      <c r="T30" s="12">
        <f>'Model Inputs'!T62</f>
        <v/>
      </c>
      <c r="U30" s="12">
        <f>'Model Inputs'!U62</f>
        <v/>
      </c>
      <c r="V30" s="12">
        <f>'Model Inputs'!V62</f>
        <v/>
      </c>
      <c r="W30" s="12">
        <f>'Model Inputs'!W62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Inputs'!C47</f>
        <v/>
      </c>
      <c r="D32" s="12">
        <f>('Model Inputs'!D35/D6)*SUM(D11:D15)</f>
        <v/>
      </c>
      <c r="E32" s="12">
        <f>('Model Inputs'!E35/E6)*SUM(E11:E15)</f>
        <v/>
      </c>
      <c r="F32" s="12">
        <f>('Model Inputs'!F35/F6)*SUM(F11:F15)</f>
        <v/>
      </c>
      <c r="G32" s="12">
        <f>('Model Inputs'!G35/G6)*SUM(G11:G15)</f>
        <v/>
      </c>
      <c r="H32" s="12">
        <f>('Model Inputs'!H35/H6)*SUM(H11:H15)</f>
        <v/>
      </c>
      <c r="I32" s="12">
        <f>('Model Inputs'!I35/I6)*SUM(I11:I15)</f>
        <v/>
      </c>
      <c r="J32" s="12">
        <f>('Model Inputs'!J35/J6)*SUM(J11:J15)</f>
        <v/>
      </c>
      <c r="K32" s="12">
        <f>('Model Inputs'!K35/K6)*SUM(K11:K15)</f>
        <v/>
      </c>
      <c r="L32" s="12">
        <f>('Model Inputs'!L35/L6)*SUM(L11:L15)</f>
        <v/>
      </c>
      <c r="M32" s="12">
        <f>('Model Inputs'!M35/M6)*SUM(M11:M15)</f>
        <v/>
      </c>
      <c r="N32" s="12">
        <f>('Model Inputs'!N35/N6)*SUM(N11:N15)</f>
        <v/>
      </c>
      <c r="O32" s="12">
        <f>('Model Inputs'!O35/O6)*SUM(O11:O15)</f>
        <v/>
      </c>
      <c r="P32" s="12">
        <f>('Model Inputs'!P35/P6)*SUM(P11:P15)</f>
        <v/>
      </c>
      <c r="Q32" s="12">
        <f>('Model Inputs'!Q35/Q6)*SUM(Q11:Q15)</f>
        <v/>
      </c>
      <c r="R32" s="12">
        <f>('Model Inputs'!R35/R6)*SUM(R11:R15)</f>
        <v/>
      </c>
      <c r="S32" s="12">
        <f>('Model Inputs'!S35/S6)*SUM(S11:S15)</f>
        <v/>
      </c>
      <c r="T32" s="12">
        <f>('Model Inputs'!T35/T6)*SUM(T11:T15)</f>
        <v/>
      </c>
      <c r="U32" s="12">
        <f>('Model Inputs'!U35/U6)*SUM(U11:U15)</f>
        <v/>
      </c>
      <c r="V32" s="12">
        <f>('Model Inputs'!V35/V6)*SUM(V11:V15)</f>
        <v/>
      </c>
      <c r="W32" s="12">
        <f>('Model Inputs'!W35/W6)*SUM(W11:W15)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Inputs'!C48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Inputs'!D37*D8</f>
        <v/>
      </c>
      <c r="E34" s="12">
        <f>'Model Inputs'!E37*E8</f>
        <v/>
      </c>
      <c r="F34" s="12">
        <f>'Model Inputs'!F37*F8</f>
        <v/>
      </c>
      <c r="G34" s="12">
        <f>'Model Inputs'!G37*G8</f>
        <v/>
      </c>
      <c r="H34" s="12">
        <f>'Model Inputs'!H37*H8</f>
        <v/>
      </c>
      <c r="I34" s="12">
        <f>'Model Inputs'!I37*I8</f>
        <v/>
      </c>
      <c r="J34" s="12">
        <f>'Model Inputs'!J37*J8</f>
        <v/>
      </c>
      <c r="K34" s="12">
        <f>'Model Inputs'!K37*K8</f>
        <v/>
      </c>
      <c r="L34" s="12">
        <f>'Model Inputs'!L37*L8</f>
        <v/>
      </c>
      <c r="M34" s="12">
        <f>'Model Inputs'!M37*M8</f>
        <v/>
      </c>
      <c r="N34" s="12">
        <f>'Model Inputs'!N37*N8</f>
        <v/>
      </c>
      <c r="O34" s="12">
        <f>'Model Inputs'!O37*O8</f>
        <v/>
      </c>
      <c r="P34" s="12">
        <f>'Model Inputs'!P37*P8</f>
        <v/>
      </c>
      <c r="Q34" s="12">
        <f>'Model Inputs'!Q37*Q8</f>
        <v/>
      </c>
      <c r="R34" s="12">
        <f>'Model Inputs'!R37*R8</f>
        <v/>
      </c>
      <c r="S34" s="12">
        <f>'Model Inputs'!S37*S8</f>
        <v/>
      </c>
      <c r="T34" s="12">
        <f>'Model Inputs'!T37*T8</f>
        <v/>
      </c>
      <c r="U34" s="12">
        <f>'Model Inputs'!U37*U8</f>
        <v/>
      </c>
      <c r="V34" s="12">
        <f>'Model Inputs'!V37*V8</f>
        <v/>
      </c>
      <c r="W34" s="12">
        <f>'Model Inputs'!W37*W8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Inputs'!C49-C33)</f>
        <v/>
      </c>
      <c r="D36" s="12">
        <f>MAX(0,'Model Inputs'!D52-D33)</f>
        <v/>
      </c>
      <c r="E36" s="12">
        <f>MAX(0,'Model Inputs'!E52-E33)</f>
        <v/>
      </c>
      <c r="F36" s="12">
        <f>MAX(0,'Model Inputs'!F52-F33)</f>
        <v/>
      </c>
      <c r="G36" s="12">
        <f>MAX(0,'Model Inputs'!G52-G33)</f>
        <v/>
      </c>
      <c r="H36" s="12">
        <f>MAX(0,'Model Inputs'!H52-H33)</f>
        <v/>
      </c>
      <c r="I36" s="12">
        <f>MAX(0,'Model Inputs'!I52-I33)</f>
        <v/>
      </c>
      <c r="J36" s="12">
        <f>MAX(0,'Model Inputs'!J52-J33)</f>
        <v/>
      </c>
      <c r="K36" s="12">
        <f>MAX(0,'Model Inputs'!K52-K33)</f>
        <v/>
      </c>
      <c r="L36" s="12">
        <f>MAX(0,'Model Inputs'!L52-L33)</f>
        <v/>
      </c>
      <c r="M36" s="12">
        <f>MAX(0,'Model Inputs'!M52-M33)</f>
        <v/>
      </c>
      <c r="N36" s="12">
        <f>MAX(0,'Model Inputs'!N52-N33)</f>
        <v/>
      </c>
      <c r="O36" s="12">
        <f>MAX(0,'Model Inputs'!O52-O33)</f>
        <v/>
      </c>
      <c r="P36" s="12">
        <f>MAX(0,'Model Inputs'!P52-P33)</f>
        <v/>
      </c>
      <c r="Q36" s="12">
        <f>MAX(0,'Model Inputs'!Q52-Q33)</f>
        <v/>
      </c>
      <c r="R36" s="12">
        <f>MAX(0,'Model Inputs'!R52-R33)</f>
        <v/>
      </c>
      <c r="S36" s="12">
        <f>MAX(0,'Model Inputs'!S52-S33)</f>
        <v/>
      </c>
      <c r="T36" s="12">
        <f>MAX(0,'Model Inputs'!T52-T33)</f>
        <v/>
      </c>
      <c r="U36" s="12">
        <f>MAX(0,'Model Inputs'!U52-U33)</f>
        <v/>
      </c>
      <c r="V36" s="12">
        <f>MAX(0,'Model Inputs'!V52-V33)</f>
        <v/>
      </c>
      <c r="W36" s="12">
        <f>MAX(0,'Model Inputs'!W52-W33)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Inputs'!C57</f>
        <v/>
      </c>
      <c r="D37" s="12">
        <f>'Model Inputs'!D57</f>
        <v/>
      </c>
      <c r="E37" s="12">
        <f>'Model Inputs'!E57</f>
        <v/>
      </c>
      <c r="F37" s="12">
        <f>'Model Inputs'!F57</f>
        <v/>
      </c>
      <c r="G37" s="12">
        <f>'Model Inputs'!G57</f>
        <v/>
      </c>
      <c r="H37" s="12">
        <f>'Model Inputs'!H57</f>
        <v/>
      </c>
      <c r="I37" s="12">
        <f>'Model Inputs'!I57</f>
        <v/>
      </c>
      <c r="J37" s="12">
        <f>'Model Inputs'!J57</f>
        <v/>
      </c>
      <c r="K37" s="12">
        <f>'Model Inputs'!K57</f>
        <v/>
      </c>
      <c r="L37" s="12">
        <f>'Model Inputs'!L57</f>
        <v/>
      </c>
      <c r="M37" s="12">
        <f>'Model Inputs'!M57</f>
        <v/>
      </c>
      <c r="N37" s="12">
        <f>'Model Inputs'!N57</f>
        <v/>
      </c>
      <c r="O37" s="12">
        <f>'Model Inputs'!O57</f>
        <v/>
      </c>
      <c r="P37" s="12">
        <f>'Model Inputs'!P57</f>
        <v/>
      </c>
      <c r="Q37" s="12">
        <f>'Model Inputs'!Q57</f>
        <v/>
      </c>
      <c r="R37" s="12">
        <f>'Model Inputs'!R57</f>
        <v/>
      </c>
      <c r="S37" s="12">
        <f>'Model Inputs'!S57</f>
        <v/>
      </c>
      <c r="T37" s="12">
        <f>'Model Inputs'!T57</f>
        <v/>
      </c>
      <c r="U37" s="12">
        <f>'Model Inputs'!U57</f>
        <v/>
      </c>
      <c r="V37" s="12">
        <f>'Model Inputs'!V57</f>
        <v/>
      </c>
      <c r="W37" s="12">
        <f>'Model Inputs'!W57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Inputs'!C39</f>
        <v/>
      </c>
      <c r="D39" s="12">
        <f>'Model Inputs'!D39</f>
        <v/>
      </c>
      <c r="E39" s="12">
        <f>'Model Inputs'!E39</f>
        <v/>
      </c>
      <c r="F39" s="12">
        <f>'Model Inputs'!F39</f>
        <v/>
      </c>
      <c r="G39" s="12">
        <f>'Model Inputs'!G39</f>
        <v/>
      </c>
      <c r="H39" s="12">
        <f>'Model Inputs'!H39</f>
        <v/>
      </c>
      <c r="I39" s="12">
        <f>'Model Inputs'!I39</f>
        <v/>
      </c>
      <c r="J39" s="12">
        <f>'Model Inputs'!J39</f>
        <v/>
      </c>
      <c r="K39" s="12">
        <f>'Model Inputs'!K39</f>
        <v/>
      </c>
      <c r="L39" s="12">
        <f>'Model Inputs'!L39</f>
        <v/>
      </c>
      <c r="M39" s="12">
        <f>'Model Inputs'!M39</f>
        <v/>
      </c>
      <c r="N39" s="12">
        <f>'Model Inputs'!N39</f>
        <v/>
      </c>
      <c r="O39" s="12">
        <f>'Model Inputs'!O39</f>
        <v/>
      </c>
      <c r="P39" s="12">
        <f>'Model Inputs'!P39</f>
        <v/>
      </c>
      <c r="Q39" s="12">
        <f>'Model Inputs'!Q39</f>
        <v/>
      </c>
      <c r="R39" s="12">
        <f>'Model Inputs'!R39</f>
        <v/>
      </c>
      <c r="S39" s="12">
        <f>'Model Inputs'!S39</f>
        <v/>
      </c>
      <c r="T39" s="12">
        <f>'Model Inputs'!T39</f>
        <v/>
      </c>
      <c r="U39" s="12">
        <f>'Model Inputs'!U39</f>
        <v/>
      </c>
      <c r="V39" s="12">
        <f>'Model Inputs'!V39</f>
        <v/>
      </c>
      <c r="W39" s="12">
        <f>'Model Inputs'!W39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Inputs'!D41</f>
        <v/>
      </c>
      <c r="E40" s="12">
        <f>D40+E20-'Model Inputs'!E41</f>
        <v/>
      </c>
      <c r="F40" s="12">
        <f>E40+F20-'Model Inputs'!F41</f>
        <v/>
      </c>
      <c r="G40" s="12">
        <f>F40+G20-'Model Inputs'!G41</f>
        <v/>
      </c>
      <c r="H40" s="12">
        <f>G40+H20-'Model Inputs'!H41</f>
        <v/>
      </c>
      <c r="I40" s="12">
        <f>H40+I20-'Model Inputs'!I41</f>
        <v/>
      </c>
      <c r="J40" s="12">
        <f>I40+J20-'Model Inputs'!J41</f>
        <v/>
      </c>
      <c r="K40" s="12">
        <f>J40+K20-'Model Inputs'!K41</f>
        <v/>
      </c>
      <c r="L40" s="12">
        <f>K40+L20-'Model Inputs'!L41</f>
        <v/>
      </c>
      <c r="M40" s="12">
        <f>L40+M20-'Model Inputs'!M41</f>
        <v/>
      </c>
      <c r="N40" s="12">
        <f>M40+N20-'Model Inputs'!N41</f>
        <v/>
      </c>
      <c r="O40" s="12">
        <f>N40+O20-'Model Inputs'!O41</f>
        <v/>
      </c>
      <c r="P40" s="12">
        <f>O40+P20-'Model Inputs'!P41</f>
        <v/>
      </c>
      <c r="Q40" s="12">
        <f>P40+Q20-'Model Inputs'!Q41</f>
        <v/>
      </c>
      <c r="R40" s="12">
        <f>Q40+R20-'Model Inputs'!R41</f>
        <v/>
      </c>
      <c r="S40" s="12">
        <f>R40+S20-'Model Inputs'!S41</f>
        <v/>
      </c>
      <c r="T40" s="12">
        <f>S40+T20-'Model Inputs'!T41</f>
        <v/>
      </c>
      <c r="U40" s="12">
        <f>T40+U20-'Model Inputs'!U41</f>
        <v/>
      </c>
      <c r="V40" s="12">
        <f>U40+V20-'Model Inputs'!V41</f>
        <v/>
      </c>
      <c r="W40" s="12">
        <f>V40+W20-'Model Inputs'!W41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Inputs'!C40</f>
        <v/>
      </c>
      <c r="D41" s="12">
        <f>'Model Inputs'!D40</f>
        <v/>
      </c>
      <c r="E41" s="12">
        <f>'Model Inputs'!E40</f>
        <v/>
      </c>
      <c r="F41" s="12">
        <f>'Model Inputs'!F40</f>
        <v/>
      </c>
      <c r="G41" s="12">
        <f>'Model Inputs'!G40</f>
        <v/>
      </c>
      <c r="H41" s="12">
        <f>'Model Inputs'!H40</f>
        <v/>
      </c>
      <c r="I41" s="12">
        <f>'Model Inputs'!I40</f>
        <v/>
      </c>
      <c r="J41" s="12">
        <f>'Model Inputs'!J40</f>
        <v/>
      </c>
      <c r="K41" s="12">
        <f>'Model Inputs'!K40</f>
        <v/>
      </c>
      <c r="L41" s="12">
        <f>'Model Inputs'!L40</f>
        <v/>
      </c>
      <c r="M41" s="12">
        <f>'Model Inputs'!M40</f>
        <v/>
      </c>
      <c r="N41" s="12">
        <f>'Model Inputs'!N40</f>
        <v/>
      </c>
      <c r="O41" s="12">
        <f>'Model Inputs'!O40</f>
        <v/>
      </c>
      <c r="P41" s="12">
        <f>'Model Inputs'!P40</f>
        <v/>
      </c>
      <c r="Q41" s="12">
        <f>'Model Inputs'!Q40</f>
        <v/>
      </c>
      <c r="R41" s="12">
        <f>'Model Inputs'!R40</f>
        <v/>
      </c>
      <c r="S41" s="12">
        <f>'Model Inputs'!S40</f>
        <v/>
      </c>
      <c r="T41" s="12">
        <f>'Model Inputs'!T40</f>
        <v/>
      </c>
      <c r="U41" s="12">
        <f>'Model Inputs'!U40</f>
        <v/>
      </c>
      <c r="V41" s="12">
        <f>'Model Inputs'!V40</f>
        <v/>
      </c>
      <c r="W41" s="12">
        <f>'Model Inputs'!W40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Inputs'!C44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Inputs'!C60</f>
        <v/>
      </c>
      <c r="D52" s="12">
        <f>'Model Inputs'!D60</f>
        <v/>
      </c>
      <c r="E52" s="12">
        <f>'Model Inputs'!E60</f>
        <v/>
      </c>
      <c r="F52" s="12">
        <f>'Model Inputs'!F60</f>
        <v/>
      </c>
      <c r="G52" s="12">
        <f>'Model Inputs'!G60</f>
        <v/>
      </c>
      <c r="H52" s="12">
        <f>'Model Inputs'!H60</f>
        <v/>
      </c>
      <c r="I52" s="12">
        <f>'Model Inputs'!I60</f>
        <v/>
      </c>
      <c r="J52" s="12">
        <f>'Model Inputs'!J60</f>
        <v/>
      </c>
      <c r="K52" s="12">
        <f>'Model Inputs'!K60</f>
        <v/>
      </c>
      <c r="L52" s="12">
        <f>'Model Inputs'!L60</f>
        <v/>
      </c>
      <c r="M52" s="12">
        <f>'Model Inputs'!M60</f>
        <v/>
      </c>
      <c r="N52" s="12">
        <f>'Model Inputs'!N60</f>
        <v/>
      </c>
      <c r="O52" s="12">
        <f>'Model Inputs'!O60</f>
        <v/>
      </c>
      <c r="P52" s="12">
        <f>'Model Inputs'!P60</f>
        <v/>
      </c>
      <c r="Q52" s="12">
        <f>'Model Inputs'!Q60</f>
        <v/>
      </c>
      <c r="R52" s="12">
        <f>'Model Inputs'!R60</f>
        <v/>
      </c>
      <c r="S52" s="12">
        <f>'Model Inputs'!S60</f>
        <v/>
      </c>
      <c r="T52" s="12">
        <f>'Model Inputs'!T60</f>
        <v/>
      </c>
      <c r="U52" s="12">
        <f>'Model Inputs'!U60</f>
        <v/>
      </c>
      <c r="V52" s="12">
        <f>'Model Inputs'!V60</f>
        <v/>
      </c>
      <c r="W52" s="12">
        <f>'Model Inputs'!W60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Inputs'!C50</f>
        <v/>
      </c>
      <c r="D54" s="12">
        <f>'Model Inputs'!D50</f>
        <v/>
      </c>
      <c r="E54" s="12">
        <f>'Model Inputs'!E50</f>
        <v/>
      </c>
      <c r="F54" s="12">
        <f>'Model Inputs'!F50</f>
        <v/>
      </c>
      <c r="G54" s="12">
        <f>'Model Inputs'!G50</f>
        <v/>
      </c>
      <c r="H54" s="12">
        <f>'Model Inputs'!H50</f>
        <v/>
      </c>
      <c r="I54" s="12">
        <f>'Model Inputs'!I50</f>
        <v/>
      </c>
      <c r="J54" s="12">
        <f>'Model Inputs'!J50</f>
        <v/>
      </c>
      <c r="K54" s="12">
        <f>'Model Inputs'!K50</f>
        <v/>
      </c>
      <c r="L54" s="12">
        <f>'Model Inputs'!L50</f>
        <v/>
      </c>
      <c r="M54" s="12">
        <f>'Model Inputs'!M50</f>
        <v/>
      </c>
      <c r="N54" s="12">
        <f>'Model Inputs'!N50</f>
        <v/>
      </c>
      <c r="O54" s="12">
        <f>'Model Inputs'!O50</f>
        <v/>
      </c>
      <c r="P54" s="12">
        <f>'Model Inputs'!P50</f>
        <v/>
      </c>
      <c r="Q54" s="12">
        <f>'Model Inputs'!Q50</f>
        <v/>
      </c>
      <c r="R54" s="12">
        <f>'Model Inputs'!R50</f>
        <v/>
      </c>
      <c r="S54" s="12">
        <f>'Model Inputs'!S50</f>
        <v/>
      </c>
      <c r="T54" s="12">
        <f>'Model Inputs'!T50</f>
        <v/>
      </c>
      <c r="U54" s="12">
        <f>'Model Inputs'!U50</f>
        <v/>
      </c>
      <c r="V54" s="12">
        <f>'Model Inputs'!V50</f>
        <v/>
      </c>
      <c r="W54" s="12">
        <f>'Model Inputs'!W50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Inputs'!C51</f>
        <v/>
      </c>
      <c r="D55" s="12">
        <f>'Model Inputs'!D51</f>
        <v/>
      </c>
      <c r="E55" s="12">
        <f>'Model Inputs'!E51</f>
        <v/>
      </c>
      <c r="F55" s="12">
        <f>'Model Inputs'!F51</f>
        <v/>
      </c>
      <c r="G55" s="12">
        <f>'Model Inputs'!G51</f>
        <v/>
      </c>
      <c r="H55" s="12">
        <f>'Model Inputs'!H51</f>
        <v/>
      </c>
      <c r="I55" s="12">
        <f>'Model Inputs'!I51</f>
        <v/>
      </c>
      <c r="J55" s="12">
        <f>'Model Inputs'!J51</f>
        <v/>
      </c>
      <c r="K55" s="12">
        <f>'Model Inputs'!K51</f>
        <v/>
      </c>
      <c r="L55" s="12">
        <f>'Model Inputs'!L51</f>
        <v/>
      </c>
      <c r="M55" s="12">
        <f>'Model Inputs'!M51</f>
        <v/>
      </c>
      <c r="N55" s="12">
        <f>'Model Inputs'!N51</f>
        <v/>
      </c>
      <c r="O55" s="12">
        <f>'Model Inputs'!O51</f>
        <v/>
      </c>
      <c r="P55" s="12">
        <f>'Model Inputs'!P51</f>
        <v/>
      </c>
      <c r="Q55" s="12">
        <f>'Model Inputs'!Q51</f>
        <v/>
      </c>
      <c r="R55" s="12">
        <f>'Model Inputs'!R51</f>
        <v/>
      </c>
      <c r="S55" s="12">
        <f>'Model Inputs'!S51</f>
        <v/>
      </c>
      <c r="T55" s="12">
        <f>'Model Inputs'!T51</f>
        <v/>
      </c>
      <c r="U55" s="12">
        <f>'Model Inputs'!U51</f>
        <v/>
      </c>
      <c r="V55" s="12">
        <f>'Model Inputs'!V51</f>
        <v/>
      </c>
      <c r="W55" s="12">
        <f>'Model Inputs'!W51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Inputs'!C41</f>
        <v/>
      </c>
      <c r="D57" s="12">
        <f>'Model Inputs'!D41</f>
        <v/>
      </c>
      <c r="E57" s="12">
        <f>'Model Inputs'!E41</f>
        <v/>
      </c>
      <c r="F57" s="12">
        <f>'Model Inputs'!F41</f>
        <v/>
      </c>
      <c r="G57" s="12">
        <f>'Model Inputs'!G41</f>
        <v/>
      </c>
      <c r="H57" s="12">
        <f>'Model Inputs'!H41</f>
        <v/>
      </c>
      <c r="I57" s="12">
        <f>'Model Inputs'!I41</f>
        <v/>
      </c>
      <c r="J57" s="12">
        <f>'Model Inputs'!J41</f>
        <v/>
      </c>
      <c r="K57" s="12">
        <f>'Model Inputs'!K41</f>
        <v/>
      </c>
      <c r="L57" s="12">
        <f>'Model Inputs'!L41</f>
        <v/>
      </c>
      <c r="M57" s="12">
        <f>'Model Inputs'!M41</f>
        <v/>
      </c>
      <c r="N57" s="12">
        <f>'Model Inputs'!N41</f>
        <v/>
      </c>
      <c r="O57" s="12">
        <f>'Model Inputs'!O41</f>
        <v/>
      </c>
      <c r="P57" s="12">
        <f>'Model Inputs'!P41</f>
        <v/>
      </c>
      <c r="Q57" s="12">
        <f>'Model Inputs'!Q41</f>
        <v/>
      </c>
      <c r="R57" s="12">
        <f>'Model Inputs'!R41</f>
        <v/>
      </c>
      <c r="S57" s="12">
        <f>'Model Inputs'!S41</f>
        <v/>
      </c>
      <c r="T57" s="12">
        <f>'Model Inputs'!T41</f>
        <v/>
      </c>
      <c r="U57" s="12">
        <f>'Model Inputs'!U41</f>
        <v/>
      </c>
      <c r="V57" s="12">
        <f>'Model Inputs'!V41</f>
        <v/>
      </c>
      <c r="W57" s="12">
        <f>'Model Inputs'!W41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Inputs'!C54</f>
        <v/>
      </c>
      <c r="D58" s="12">
        <f>'Model Inputs'!D54</f>
        <v/>
      </c>
      <c r="E58" s="12">
        <f>'Model Inputs'!E54</f>
        <v/>
      </c>
      <c r="F58" s="12">
        <f>'Model Inputs'!F54</f>
        <v/>
      </c>
      <c r="G58" s="12">
        <f>'Model Inputs'!G54</f>
        <v/>
      </c>
      <c r="H58" s="12">
        <f>'Model Inputs'!H54</f>
        <v/>
      </c>
      <c r="I58" s="12">
        <f>'Model Inputs'!I54</f>
        <v/>
      </c>
      <c r="J58" s="12">
        <f>'Model Inputs'!J54</f>
        <v/>
      </c>
      <c r="K58" s="12">
        <f>'Model Inputs'!K54</f>
        <v/>
      </c>
      <c r="L58" s="12">
        <f>'Model Inputs'!L54</f>
        <v/>
      </c>
      <c r="M58" s="12">
        <f>'Model Inputs'!M54</f>
        <v/>
      </c>
      <c r="N58" s="12">
        <f>'Model Inputs'!N54</f>
        <v/>
      </c>
      <c r="O58" s="12">
        <f>'Model Inputs'!O54</f>
        <v/>
      </c>
      <c r="P58" s="12">
        <f>'Model Inputs'!P54</f>
        <v/>
      </c>
      <c r="Q58" s="12">
        <f>'Model Inputs'!Q54</f>
        <v/>
      </c>
      <c r="R58" s="12">
        <f>'Model Inputs'!R54</f>
        <v/>
      </c>
      <c r="S58" s="12">
        <f>'Model Inputs'!S54</f>
        <v/>
      </c>
      <c r="T58" s="12">
        <f>'Model Inputs'!T54</f>
        <v/>
      </c>
      <c r="U58" s="12">
        <f>'Model Inputs'!U54</f>
        <v/>
      </c>
      <c r="V58" s="12">
        <f>'Model Inputs'!V54</f>
        <v/>
      </c>
      <c r="W58" s="12">
        <f>'Model Inputs'!W54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461565</v>
      </c>
      <c r="D7" s="31" t="n">
        <v>203688</v>
      </c>
      <c r="E7" s="31" t="n">
        <v>209568.9375</v>
      </c>
      <c r="F7" s="31" t="n">
        <v>215532.9</v>
      </c>
      <c r="G7" s="31" t="n">
        <v>221579.8875</v>
      </c>
      <c r="H7" s="31" t="n">
        <v>227709.9</v>
      </c>
      <c r="I7" s="31" t="n">
        <v>233922.9375</v>
      </c>
      <c r="J7" s="31" t="n">
        <v>240219</v>
      </c>
      <c r="K7" s="31" t="n">
        <v>246598.0875</v>
      </c>
      <c r="L7" s="31" t="n">
        <v>253060.2</v>
      </c>
      <c r="M7" s="31" t="n">
        <v>259605.3375</v>
      </c>
      <c r="N7" s="31" t="n">
        <v>266233.5</v>
      </c>
      <c r="O7" s="31" t="n">
        <v>270162.511188</v>
      </c>
      <c r="P7" s="31" t="n">
        <v>274119.207701</v>
      </c>
      <c r="Q7" s="31" t="n">
        <v>278102.88315</v>
      </c>
      <c r="R7" s="31" t="n">
        <v>282114.242797</v>
      </c>
      <c r="S7" s="31" t="n">
        <v>286152.589867</v>
      </c>
      <c r="T7" s="31" t="n">
        <v>290218.619925</v>
      </c>
      <c r="U7" s="31" t="n">
        <v>294311.623856</v>
      </c>
      <c r="V7" s="31" t="n">
        <v>298432.331808</v>
      </c>
      <c r="W7" s="31" t="n">
        <v>302580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315158.42826</v>
      </c>
      <c r="D8" s="31" t="n">
        <v>52958.88</v>
      </c>
      <c r="E8" s="31" t="n">
        <v>53649.648</v>
      </c>
      <c r="F8" s="31" t="n">
        <v>54314.2908</v>
      </c>
      <c r="G8" s="31" t="n">
        <v>54951.8121</v>
      </c>
      <c r="H8" s="31" t="n">
        <v>55561.2156</v>
      </c>
      <c r="I8" s="31" t="n">
        <v>56141.505</v>
      </c>
      <c r="J8" s="31" t="n">
        <v>56691.684</v>
      </c>
      <c r="K8" s="31" t="n">
        <v>57210.7563</v>
      </c>
      <c r="L8" s="31" t="n">
        <v>57697.7256</v>
      </c>
      <c r="M8" s="31" t="n">
        <v>58151.5956</v>
      </c>
      <c r="N8" s="31" t="n">
        <v>58571.37</v>
      </c>
      <c r="O8" s="31" t="n">
        <v>58835.391325</v>
      </c>
      <c r="P8" s="31" t="n">
        <v>59087.918104</v>
      </c>
      <c r="Q8" s="31" t="n">
        <v>59328.615072</v>
      </c>
      <c r="R8" s="31" t="n">
        <v>59557.451257</v>
      </c>
      <c r="S8" s="31" t="n">
        <v>59774.09655</v>
      </c>
      <c r="T8" s="31" t="n">
        <v>59978.514785</v>
      </c>
      <c r="U8" s="31" t="n">
        <v>60170.376433</v>
      </c>
      <c r="V8" s="31" t="n">
        <v>60349.649321</v>
      </c>
      <c r="W8" s="31" t="n">
        <v>60516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146406.57174</v>
      </c>
      <c r="D9" s="31" t="n">
        <v>150729.12</v>
      </c>
      <c r="E9" s="31" t="n">
        <v>155919.2895</v>
      </c>
      <c r="F9" s="31" t="n">
        <v>161218.6092</v>
      </c>
      <c r="G9" s="31" t="n">
        <v>166628.0754</v>
      </c>
      <c r="H9" s="31" t="n">
        <v>172148.6844</v>
      </c>
      <c r="I9" s="31" t="n">
        <v>177781.4325</v>
      </c>
      <c r="J9" s="31" t="n">
        <v>183527.316</v>
      </c>
      <c r="K9" s="31" t="n">
        <v>189387.3312</v>
      </c>
      <c r="L9" s="31" t="n">
        <v>195362.4744</v>
      </c>
      <c r="M9" s="31" t="n">
        <v>201453.7419</v>
      </c>
      <c r="N9" s="31" t="n">
        <v>207662.13</v>
      </c>
      <c r="O9" s="31" t="n">
        <v>211327.119862</v>
      </c>
      <c r="P9" s="31" t="n">
        <v>215031.289596</v>
      </c>
      <c r="Q9" s="31" t="n">
        <v>218774.268078</v>
      </c>
      <c r="R9" s="31" t="n">
        <v>222556.79154</v>
      </c>
      <c r="S9" s="31" t="n">
        <v>226378.493317</v>
      </c>
      <c r="T9" s="31" t="n">
        <v>230240.105141</v>
      </c>
      <c r="U9" s="31" t="n">
        <v>234141.247423</v>
      </c>
      <c r="V9" s="31" t="n">
        <v>238082.682487</v>
      </c>
      <c r="W9" s="31" t="n">
        <v>242064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32309.55</v>
      </c>
      <c r="D10" s="31" t="n">
        <v>14258.16</v>
      </c>
      <c r="E10" s="31" t="n">
        <v>14041.118813</v>
      </c>
      <c r="F10" s="31" t="n">
        <v>13794.1056</v>
      </c>
      <c r="G10" s="31" t="n">
        <v>13516.373138</v>
      </c>
      <c r="H10" s="31" t="n">
        <v>13207.1742</v>
      </c>
      <c r="I10" s="31" t="n">
        <v>12865.761563</v>
      </c>
      <c r="J10" s="31" t="n">
        <v>12491.388</v>
      </c>
      <c r="K10" s="31" t="n">
        <v>12083.306287</v>
      </c>
      <c r="L10" s="31" t="n">
        <v>11640.7692</v>
      </c>
      <c r="M10" s="31" t="n">
        <v>11163.029512</v>
      </c>
      <c r="N10" s="31" t="n">
        <v>10649.34</v>
      </c>
      <c r="O10" s="31" t="n">
        <v>10506.31988</v>
      </c>
      <c r="P10" s="31" t="n">
        <v>10355.614513</v>
      </c>
      <c r="Q10" s="31" t="n">
        <v>10197.105715</v>
      </c>
      <c r="R10" s="31" t="n">
        <v>10030.728633</v>
      </c>
      <c r="S10" s="31" t="n">
        <v>9856.366984</v>
      </c>
      <c r="T10" s="31" t="n">
        <v>9673.953998000001</v>
      </c>
      <c r="U10" s="31" t="n">
        <v>9483.374545999999</v>
      </c>
      <c r="V10" s="31" t="n">
        <v>9284.561433999999</v>
      </c>
      <c r="W10" s="31" t="n">
        <v>9077.4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2036.88</v>
      </c>
      <c r="E11" s="31" t="n">
        <v>1990.904906</v>
      </c>
      <c r="F11" s="31" t="n">
        <v>1939.7961</v>
      </c>
      <c r="G11" s="31" t="n">
        <v>1883.429044</v>
      </c>
      <c r="H11" s="31" t="n">
        <v>1821.6792</v>
      </c>
      <c r="I11" s="31" t="n">
        <v>1754.422031</v>
      </c>
      <c r="J11" s="31" t="n">
        <v>1681.533</v>
      </c>
      <c r="K11" s="31" t="n">
        <v>1602.887569</v>
      </c>
      <c r="L11" s="31" t="n">
        <v>1518.3612</v>
      </c>
      <c r="M11" s="31" t="n">
        <v>1427.829356</v>
      </c>
      <c r="N11" s="31" t="n">
        <v>1331.1675</v>
      </c>
      <c r="O11" s="31" t="n">
        <v>1350.812556</v>
      </c>
      <c r="P11" s="31" t="n">
        <v>1370.596039</v>
      </c>
      <c r="Q11" s="31" t="n">
        <v>1390.514416</v>
      </c>
      <c r="R11" s="31" t="n">
        <v>1410.571214</v>
      </c>
      <c r="S11" s="31" t="n">
        <v>1430.762949</v>
      </c>
      <c r="T11" s="31" t="n">
        <v>1451.0931</v>
      </c>
      <c r="U11" s="31" t="n">
        <v>1471.558119</v>
      </c>
      <c r="V11" s="31" t="n">
        <v>1492.161659</v>
      </c>
      <c r="W11" s="31" t="n">
        <v>1512.9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21000</v>
      </c>
      <c r="D12" s="31" t="n">
        <v>21000</v>
      </c>
      <c r="E12" s="31" t="n">
        <v>21000</v>
      </c>
      <c r="F12" s="31" t="n">
        <v>21000</v>
      </c>
      <c r="G12" s="31" t="n">
        <v>21000</v>
      </c>
      <c r="H12" s="31" t="n">
        <v>21000</v>
      </c>
      <c r="I12" s="31" t="n">
        <v>21000</v>
      </c>
      <c r="J12" s="31" t="n">
        <v>21000</v>
      </c>
      <c r="K12" s="31" t="n">
        <v>21000</v>
      </c>
      <c r="L12" s="31" t="n">
        <v>21000</v>
      </c>
      <c r="M12" s="31" t="n">
        <v>21000</v>
      </c>
      <c r="N12" s="31" t="n">
        <v>21000</v>
      </c>
      <c r="O12" s="31" t="n">
        <v>21000</v>
      </c>
      <c r="P12" s="31" t="n">
        <v>21000</v>
      </c>
      <c r="Q12" s="31" t="n">
        <v>21000</v>
      </c>
      <c r="R12" s="31" t="n">
        <v>21000</v>
      </c>
      <c r="S12" s="31" t="n">
        <v>21000</v>
      </c>
      <c r="T12" s="31" t="n">
        <v>21000</v>
      </c>
      <c r="U12" s="31" t="n">
        <v>21000</v>
      </c>
      <c r="V12" s="31" t="n">
        <v>21000</v>
      </c>
      <c r="W12" s="31" t="n">
        <v>21000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61308.125</v>
      </c>
      <c r="D13" s="31" t="n">
        <v>143622</v>
      </c>
      <c r="E13" s="31" t="n">
        <v>143622</v>
      </c>
      <c r="F13" s="31" t="n">
        <v>143622</v>
      </c>
      <c r="G13" s="31" t="n">
        <v>143622</v>
      </c>
      <c r="H13" s="31" t="n">
        <v>147933</v>
      </c>
      <c r="I13" s="31" t="n">
        <v>147933</v>
      </c>
      <c r="J13" s="31" t="n">
        <v>147933</v>
      </c>
      <c r="K13" s="31" t="n">
        <v>147933</v>
      </c>
      <c r="L13" s="31" t="n">
        <v>152370</v>
      </c>
      <c r="M13" s="31" t="n">
        <v>152370</v>
      </c>
      <c r="N13" s="31" t="n">
        <v>152370</v>
      </c>
      <c r="O13" s="31" t="n">
        <v>152370</v>
      </c>
      <c r="P13" s="31" t="n">
        <v>156944</v>
      </c>
      <c r="Q13" s="31" t="n">
        <v>156944</v>
      </c>
      <c r="R13" s="31" t="n">
        <v>156944</v>
      </c>
      <c r="S13" s="31" t="n">
        <v>156944</v>
      </c>
      <c r="T13" s="31" t="n">
        <v>161646</v>
      </c>
      <c r="U13" s="31" t="n">
        <v>161646</v>
      </c>
      <c r="V13" s="31" t="n">
        <v>161646</v>
      </c>
      <c r="W13" s="31" t="n">
        <v>161646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300.01725</v>
      </c>
      <c r="D14" s="31" t="n">
        <v>14258.16</v>
      </c>
      <c r="E14" s="31" t="n">
        <v>14250.68775</v>
      </c>
      <c r="F14" s="31" t="n">
        <v>14225.1714</v>
      </c>
      <c r="G14" s="31" t="n">
        <v>14181.1128</v>
      </c>
      <c r="H14" s="31" t="n">
        <v>14118.0138</v>
      </c>
      <c r="I14" s="31" t="n">
        <v>14035.37625</v>
      </c>
      <c r="J14" s="31" t="n">
        <v>13932.702</v>
      </c>
      <c r="K14" s="31" t="n">
        <v>13809.4929</v>
      </c>
      <c r="L14" s="31" t="n">
        <v>13665.2508</v>
      </c>
      <c r="M14" s="31" t="n">
        <v>13499.47755</v>
      </c>
      <c r="N14" s="31" t="n">
        <v>13311.675</v>
      </c>
      <c r="O14" s="31" t="n">
        <v>13207.944991</v>
      </c>
      <c r="P14" s="31" t="n">
        <v>13096.80659</v>
      </c>
      <c r="Q14" s="31" t="n">
        <v>12978.134547</v>
      </c>
      <c r="R14" s="31" t="n">
        <v>12851.871061</v>
      </c>
      <c r="S14" s="31" t="n">
        <v>12717.892883</v>
      </c>
      <c r="T14" s="31" t="n">
        <v>12576.140197</v>
      </c>
      <c r="U14" s="31" t="n">
        <v>12426.490785</v>
      </c>
      <c r="V14" s="31" t="n">
        <v>12268.884752</v>
      </c>
      <c r="W14" s="31" t="n">
        <v>12103.2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31488.87949</v>
      </c>
      <c r="D15" s="31" t="n">
        <v>-44446.08</v>
      </c>
      <c r="E15" s="31" t="n">
        <v>-38985.421969</v>
      </c>
      <c r="F15" s="31" t="n">
        <v>-33362.4639</v>
      </c>
      <c r="G15" s="31" t="n">
        <v>-27574.839581</v>
      </c>
      <c r="H15" s="31" t="n">
        <v>-25931.1828</v>
      </c>
      <c r="I15" s="31" t="n">
        <v>-19807.127344</v>
      </c>
      <c r="J15" s="31" t="n">
        <v>-13511.307</v>
      </c>
      <c r="K15" s="31" t="n">
        <v>-7041.355556</v>
      </c>
      <c r="L15" s="31" t="n">
        <v>-4831.9068</v>
      </c>
      <c r="M15" s="31" t="n">
        <v>1993.405481</v>
      </c>
      <c r="N15" s="31" t="n">
        <v>8999.9475</v>
      </c>
      <c r="O15" s="31" t="n">
        <v>12892.042436</v>
      </c>
      <c r="P15" s="31" t="n">
        <v>12264.272455</v>
      </c>
      <c r="Q15" s="31" t="n">
        <v>16264.5134</v>
      </c>
      <c r="R15" s="31" t="n">
        <v>20319.620632</v>
      </c>
      <c r="S15" s="31" t="n">
        <v>24429.4705</v>
      </c>
      <c r="T15" s="31" t="n">
        <v>23892.917847</v>
      </c>
      <c r="U15" s="31" t="n">
        <v>28113.823972</v>
      </c>
      <c r="V15" s="31" t="n">
        <v>32391.074642</v>
      </c>
      <c r="W15" s="31" t="n">
        <v>36724.5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750</v>
      </c>
      <c r="D16" s="31" t="n">
        <v>1157.8125</v>
      </c>
      <c r="E16" s="31" t="n">
        <v>1098.4375</v>
      </c>
      <c r="F16" s="31" t="n">
        <v>1039.0625</v>
      </c>
      <c r="G16" s="31" t="n">
        <v>979.6875</v>
      </c>
      <c r="H16" s="31" t="n">
        <v>920.3125</v>
      </c>
      <c r="I16" s="31" t="n">
        <v>860.9375</v>
      </c>
      <c r="J16" s="31" t="n">
        <v>801.5625</v>
      </c>
      <c r="K16" s="31" t="n">
        <v>742.1875</v>
      </c>
      <c r="L16" s="31" t="n">
        <v>682.8125</v>
      </c>
      <c r="M16" s="31" t="n">
        <v>623.4375</v>
      </c>
      <c r="N16" s="31" t="n">
        <v>564.0625</v>
      </c>
      <c r="O16" s="31" t="n">
        <v>504.6875</v>
      </c>
      <c r="P16" s="31" t="n">
        <v>445.3125</v>
      </c>
      <c r="Q16" s="31" t="n">
        <v>385.9375</v>
      </c>
      <c r="R16" s="31" t="n">
        <v>326.5625</v>
      </c>
      <c r="S16" s="31" t="n">
        <v>234.2225</v>
      </c>
      <c r="T16" s="31" t="n">
        <v>85.785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47.4</v>
      </c>
      <c r="E17" s="31" t="n">
        <v>95.027117</v>
      </c>
      <c r="F17" s="31" t="n">
        <v>143.066535</v>
      </c>
      <c r="G17" s="31" t="n">
        <v>191.464659</v>
      </c>
      <c r="H17" s="31" t="n">
        <v>240.167349</v>
      </c>
      <c r="I17" s="31" t="n">
        <v>289.120024</v>
      </c>
      <c r="J17" s="31" t="n">
        <v>338.392546</v>
      </c>
      <c r="K17" s="31" t="n">
        <v>387.805913</v>
      </c>
      <c r="L17" s="31" t="n">
        <v>437.556646</v>
      </c>
      <c r="M17" s="31" t="n">
        <v>487.464999</v>
      </c>
      <c r="N17" s="31" t="n">
        <v>537.730156</v>
      </c>
      <c r="O17" s="31" t="n">
        <v>588.043348</v>
      </c>
      <c r="P17" s="31" t="n">
        <v>638.476535</v>
      </c>
      <c r="Q17" s="31" t="n">
        <v>689.102414</v>
      </c>
      <c r="R17" s="31" t="n">
        <v>739.865126</v>
      </c>
      <c r="S17" s="31" t="n">
        <v>790.8369279999999</v>
      </c>
      <c r="T17" s="31" t="n">
        <v>841.831069</v>
      </c>
      <c r="U17" s="31" t="n">
        <v>892.789201</v>
      </c>
      <c r="V17" s="31" t="n">
        <v>943.911421</v>
      </c>
      <c r="W17" s="31" t="n">
        <v>995.007374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6775.986378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194.53631</v>
      </c>
      <c r="N18" s="31" t="n">
        <v>1741.045559</v>
      </c>
      <c r="O18" s="31" t="n">
        <v>2601.004848</v>
      </c>
      <c r="P18" s="31" t="n">
        <v>2464.592224</v>
      </c>
      <c r="Q18" s="31" t="n">
        <v>3348.321967</v>
      </c>
      <c r="R18" s="31" t="n">
        <v>4244.116107</v>
      </c>
      <c r="S18" s="31" t="n">
        <v>5159.198163</v>
      </c>
      <c r="T18" s="31" t="n">
        <v>5062.402228</v>
      </c>
      <c r="U18" s="31" t="n">
        <v>6000.523242</v>
      </c>
      <c r="V18" s="31" t="n">
        <v>6932.118319</v>
      </c>
      <c r="W18" s="31" t="n">
        <v>7876.102166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23962.893112</v>
      </c>
      <c r="D19" s="31" t="n">
        <v>-45651.2925</v>
      </c>
      <c r="E19" s="31" t="n">
        <v>-40178.886586</v>
      </c>
      <c r="F19" s="31" t="n">
        <v>-34544.592935</v>
      </c>
      <c r="G19" s="31" t="n">
        <v>-28745.99174</v>
      </c>
      <c r="H19" s="31" t="n">
        <v>-27091.662649</v>
      </c>
      <c r="I19" s="31" t="n">
        <v>-20957.184867</v>
      </c>
      <c r="J19" s="31" t="n">
        <v>-14651.262046</v>
      </c>
      <c r="K19" s="31" t="n">
        <v>-8171.348969</v>
      </c>
      <c r="L19" s="31" t="n">
        <v>-5952.275946</v>
      </c>
      <c r="M19" s="31" t="n">
        <v>687.966672</v>
      </c>
      <c r="N19" s="31" t="n">
        <v>6157.109285</v>
      </c>
      <c r="O19" s="31" t="n">
        <v>9198.306739</v>
      </c>
      <c r="P19" s="31" t="n">
        <v>8715.891196</v>
      </c>
      <c r="Q19" s="31" t="n">
        <v>11841.151519</v>
      </c>
      <c r="R19" s="31" t="n">
        <v>15009.0769</v>
      </c>
      <c r="S19" s="31" t="n">
        <v>18245.212908</v>
      </c>
      <c r="T19" s="31" t="n">
        <v>17902.89955</v>
      </c>
      <c r="U19" s="31" t="n">
        <v>21220.511529</v>
      </c>
      <c r="V19" s="31" t="n">
        <v>24515.044902</v>
      </c>
      <c r="W19" s="31" t="n">
        <v>27853.39046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30000</v>
      </c>
      <c r="D23" s="31" t="n">
        <v>124065.994457</v>
      </c>
      <c r="E23" s="31" t="n">
        <v>124276.47385</v>
      </c>
      <c r="F23" s="31" t="n">
        <v>124448.350095</v>
      </c>
      <c r="G23" s="31" t="n">
        <v>124577.681427</v>
      </c>
      <c r="H23" s="31" t="n">
        <v>126819.989012</v>
      </c>
      <c r="I23" s="31" t="n">
        <v>126866.428976</v>
      </c>
      <c r="J23" s="31" t="n">
        <v>126866.480701</v>
      </c>
      <c r="K23" s="31" t="n">
        <v>126818.904583</v>
      </c>
      <c r="L23" s="31" t="n">
        <v>128945.9033</v>
      </c>
      <c r="M23" s="31" t="n">
        <v>128806.041637</v>
      </c>
      <c r="N23" s="31" t="n">
        <v>132175.745274</v>
      </c>
      <c r="O23" s="31" t="n">
        <v>137563.413999</v>
      </c>
      <c r="P23" s="31" t="n">
        <v>144019.31538</v>
      </c>
      <c r="Q23" s="31" t="n">
        <v>152630.413698</v>
      </c>
      <c r="R23" s="31" t="n">
        <v>165432.789857</v>
      </c>
      <c r="S23" s="31" t="n">
        <v>174481.883511</v>
      </c>
      <c r="T23" s="31" t="n">
        <v>177550.469653</v>
      </c>
      <c r="U23" s="31" t="n">
        <v>177466.491169</v>
      </c>
      <c r="V23" s="31" t="n">
        <v>177359.553253</v>
      </c>
      <c r="W23" s="31" t="n">
        <v>177237.701343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11070</v>
      </c>
      <c r="E24" s="31" t="n">
        <v>11389.616168</v>
      </c>
      <c r="F24" s="31" t="n">
        <v>11974.05</v>
      </c>
      <c r="G24" s="31" t="n">
        <v>12174.719093</v>
      </c>
      <c r="H24" s="31" t="n">
        <v>12375.538043</v>
      </c>
      <c r="I24" s="31" t="n">
        <v>12713.203125</v>
      </c>
      <c r="J24" s="31" t="n">
        <v>13198.846154</v>
      </c>
      <c r="K24" s="31" t="n">
        <v>13549.345467</v>
      </c>
      <c r="L24" s="31" t="n">
        <v>13753.271739</v>
      </c>
      <c r="M24" s="31" t="n">
        <v>14108.985734</v>
      </c>
      <c r="N24" s="31" t="n">
        <v>14790.75</v>
      </c>
      <c r="O24" s="31" t="n">
        <v>14844.094021</v>
      </c>
      <c r="P24" s="31" t="n">
        <v>14897.783027</v>
      </c>
      <c r="Q24" s="31" t="n">
        <v>15114.287128</v>
      </c>
      <c r="R24" s="31" t="n">
        <v>15673.013489</v>
      </c>
      <c r="S24" s="31" t="n">
        <v>15722.669773</v>
      </c>
      <c r="T24" s="31" t="n">
        <v>15772.751083</v>
      </c>
      <c r="U24" s="31" t="n">
        <v>15995.196949</v>
      </c>
      <c r="V24" s="31" t="n">
        <v>16579.573989</v>
      </c>
      <c r="W24" s="31" t="n">
        <v>16625.274725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8000</v>
      </c>
      <c r="D25" s="31" t="n">
        <v>5756.4</v>
      </c>
      <c r="E25" s="31" t="n">
        <v>5831.483478</v>
      </c>
      <c r="F25" s="31" t="n">
        <v>6034.9212</v>
      </c>
      <c r="G25" s="31" t="n">
        <v>6038.66067</v>
      </c>
      <c r="H25" s="31" t="n">
        <v>6039.262565</v>
      </c>
      <c r="I25" s="31" t="n">
        <v>6102.3375</v>
      </c>
      <c r="J25" s="31" t="n">
        <v>6229.855385</v>
      </c>
      <c r="K25" s="31" t="n">
        <v>6286.896297</v>
      </c>
      <c r="L25" s="31" t="n">
        <v>6271.491913</v>
      </c>
      <c r="M25" s="31" t="n">
        <v>6320.825609</v>
      </c>
      <c r="N25" s="31" t="n">
        <v>6507.93</v>
      </c>
      <c r="O25" s="31" t="n">
        <v>6465.427618</v>
      </c>
      <c r="P25" s="31" t="n">
        <v>6422.599794</v>
      </c>
      <c r="Q25" s="31" t="n">
        <v>6448.762508</v>
      </c>
      <c r="R25" s="31" t="n">
        <v>6617.494584</v>
      </c>
      <c r="S25" s="31" t="n">
        <v>6568.582038</v>
      </c>
      <c r="T25" s="31" t="n">
        <v>6519.403781</v>
      </c>
      <c r="U25" s="31" t="n">
        <v>6540.258308</v>
      </c>
      <c r="V25" s="31" t="n">
        <v>6705.516591</v>
      </c>
      <c r="W25" s="31" t="n">
        <v>6650.10989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38000</v>
      </c>
      <c r="D26" s="31" t="n">
        <v>144966.154457</v>
      </c>
      <c r="E26" s="31" t="n">
        <v>145688.952247</v>
      </c>
      <c r="F26" s="31" t="n">
        <v>146767.979295</v>
      </c>
      <c r="G26" s="31" t="n">
        <v>147222.658941</v>
      </c>
      <c r="H26" s="31" t="n">
        <v>149788.98762</v>
      </c>
      <c r="I26" s="31" t="n">
        <v>150360.428351</v>
      </c>
      <c r="J26" s="31" t="n">
        <v>151099.562239</v>
      </c>
      <c r="K26" s="31" t="n">
        <v>151587.108097</v>
      </c>
      <c r="L26" s="31" t="n">
        <v>154031.870952</v>
      </c>
      <c r="M26" s="31" t="n">
        <v>154427.959729</v>
      </c>
      <c r="N26" s="31" t="n">
        <v>158799.095274</v>
      </c>
      <c r="O26" s="31" t="n">
        <v>164276.185862</v>
      </c>
      <c r="P26" s="31" t="n">
        <v>170822.082355</v>
      </c>
      <c r="Q26" s="31" t="n">
        <v>179755.520996</v>
      </c>
      <c r="R26" s="31" t="n">
        <v>193365.582786</v>
      </c>
      <c r="S26" s="31" t="n">
        <v>202496.18712</v>
      </c>
      <c r="T26" s="31" t="n">
        <v>205646.996915</v>
      </c>
      <c r="U26" s="31" t="n">
        <v>205888.178903</v>
      </c>
      <c r="V26" s="31" t="n">
        <v>206613.29047</v>
      </c>
      <c r="W26" s="31" t="n">
        <v>206564.685958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120000</v>
      </c>
      <c r="D27" s="31" t="n">
        <v>120899.64</v>
      </c>
      <c r="E27" s="31" t="n">
        <v>121758.752842</v>
      </c>
      <c r="F27" s="31" t="n">
        <v>122576.606384</v>
      </c>
      <c r="G27" s="31" t="n">
        <v>123352.516303</v>
      </c>
      <c r="H27" s="31" t="n">
        <v>124085.847013</v>
      </c>
      <c r="I27" s="31" t="n">
        <v>124776.012494</v>
      </c>
      <c r="J27" s="31" t="n">
        <v>125422.35224</v>
      </c>
      <c r="K27" s="31" t="n">
        <v>126024.37953</v>
      </c>
      <c r="L27" s="31" t="n">
        <v>126581.407288</v>
      </c>
      <c r="M27" s="31" t="n">
        <v>127092.922754</v>
      </c>
      <c r="N27" s="31" t="n">
        <v>127558.209944</v>
      </c>
      <c r="O27" s="31" t="n">
        <v>127976.855989</v>
      </c>
      <c r="P27" s="31" t="n">
        <v>128348.372802</v>
      </c>
      <c r="Q27" s="31" t="n">
        <v>128672.195746</v>
      </c>
      <c r="R27" s="31" t="n">
        <v>128947.81159</v>
      </c>
      <c r="S27" s="31" t="n">
        <v>129174.63079</v>
      </c>
      <c r="T27" s="31" t="n">
        <v>129352.245907</v>
      </c>
      <c r="U27" s="31" t="n">
        <v>129480.304631</v>
      </c>
      <c r="V27" s="31" t="n">
        <v>129558.251774</v>
      </c>
      <c r="W27" s="31" t="n">
        <v>129585.718124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-47.4</v>
      </c>
      <c r="E28" s="31" t="n">
        <v>-142.427117</v>
      </c>
      <c r="F28" s="31" t="n">
        <v>-285.493652</v>
      </c>
      <c r="G28" s="31" t="n">
        <v>-476.958311</v>
      </c>
      <c r="H28" s="31" t="n">
        <v>-717.12566</v>
      </c>
      <c r="I28" s="31" t="n">
        <v>-1006.245684</v>
      </c>
      <c r="J28" s="31" t="n">
        <v>-1344.638229</v>
      </c>
      <c r="K28" s="31" t="n">
        <v>-1732.444143</v>
      </c>
      <c r="L28" s="31" t="n">
        <v>-2170.000788</v>
      </c>
      <c r="M28" s="31" t="n">
        <v>-2657.465788</v>
      </c>
      <c r="N28" s="31" t="n">
        <v>-3195.195944</v>
      </c>
      <c r="O28" s="31" t="n">
        <v>-3783.239292</v>
      </c>
      <c r="P28" s="31" t="n">
        <v>-4421.715826</v>
      </c>
      <c r="Q28" s="31" t="n">
        <v>-5110.81824</v>
      </c>
      <c r="R28" s="31" t="n">
        <v>-5850.683365</v>
      </c>
      <c r="S28" s="31" t="n">
        <v>-6641.520294</v>
      </c>
      <c r="T28" s="31" t="n">
        <v>-7483.351363</v>
      </c>
      <c r="U28" s="31" t="n">
        <v>-8376.140563999999</v>
      </c>
      <c r="V28" s="31" t="n">
        <v>-9320.051985</v>
      </c>
      <c r="W28" s="31" t="n">
        <v>-10315.059358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158000</v>
      </c>
      <c r="D29" s="31" t="n">
        <v>265865.794457</v>
      </c>
      <c r="E29" s="31" t="n">
        <v>267447.705089</v>
      </c>
      <c r="F29" s="31" t="n">
        <v>269344.58568</v>
      </c>
      <c r="G29" s="31" t="n">
        <v>270575.175244</v>
      </c>
      <c r="H29" s="31" t="n">
        <v>273874.834633</v>
      </c>
      <c r="I29" s="31" t="n">
        <v>275136.440846</v>
      </c>
      <c r="J29" s="31" t="n">
        <v>276521.914479</v>
      </c>
      <c r="K29" s="31" t="n">
        <v>277611.487627</v>
      </c>
      <c r="L29" s="31" t="n">
        <v>280613.27824</v>
      </c>
      <c r="M29" s="31" t="n">
        <v>281520.882483</v>
      </c>
      <c r="N29" s="31" t="n">
        <v>286357.305218</v>
      </c>
      <c r="O29" s="31" t="n">
        <v>292253.041851</v>
      </c>
      <c r="P29" s="31" t="n">
        <v>299170.455157</v>
      </c>
      <c r="Q29" s="31" t="n">
        <v>308427.716742</v>
      </c>
      <c r="R29" s="31" t="n">
        <v>322313.394376</v>
      </c>
      <c r="S29" s="31" t="n">
        <v>331670.81791</v>
      </c>
      <c r="T29" s="31" t="n">
        <v>334999.242823</v>
      </c>
      <c r="U29" s="31" t="n">
        <v>335368.483534</v>
      </c>
      <c r="V29" s="31" t="n">
        <v>336171.542244</v>
      </c>
      <c r="W29" s="31" t="n">
        <v>336150.404082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63644.086957</v>
      </c>
      <c r="E30" s="31" t="n">
        <v>63555.884175</v>
      </c>
      <c r="F30" s="31" t="n">
        <v>64860.3577</v>
      </c>
      <c r="G30" s="31" t="n">
        <v>64022.939005</v>
      </c>
      <c r="H30" s="31" t="n">
        <v>64591.261043</v>
      </c>
      <c r="I30" s="31" t="n">
        <v>64431.052123</v>
      </c>
      <c r="J30" s="31" t="n">
        <v>64957.787802</v>
      </c>
      <c r="K30" s="31" t="n">
        <v>64756.70992</v>
      </c>
      <c r="L30" s="31" t="n">
        <v>65280.776478</v>
      </c>
      <c r="M30" s="31" t="n">
        <v>65041.41405</v>
      </c>
      <c r="N30" s="31" t="n">
        <v>66220.72749999999</v>
      </c>
      <c r="O30" s="31" t="n">
        <v>65418.157393</v>
      </c>
      <c r="P30" s="31" t="n">
        <v>66119.67950300001</v>
      </c>
      <c r="Q30" s="31" t="n">
        <v>66035.789569</v>
      </c>
      <c r="R30" s="31" t="n">
        <v>67412.39030299999</v>
      </c>
      <c r="S30" s="31" t="n">
        <v>66576.60092899999</v>
      </c>
      <c r="T30" s="31" t="n">
        <v>67287.12629099999</v>
      </c>
      <c r="U30" s="31" t="n">
        <v>67182.855473</v>
      </c>
      <c r="V30" s="31" t="n">
        <v>68563.869282</v>
      </c>
      <c r="W30" s="31" t="n">
        <v>67694.34065899999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4073.76</v>
      </c>
      <c r="E31" s="31" t="n">
        <v>4191.37875</v>
      </c>
      <c r="F31" s="31" t="n">
        <v>4310.658</v>
      </c>
      <c r="G31" s="31" t="n">
        <v>4431.59775</v>
      </c>
      <c r="H31" s="31" t="n">
        <v>4554.198</v>
      </c>
      <c r="I31" s="31" t="n">
        <v>4678.45875</v>
      </c>
      <c r="J31" s="31" t="n">
        <v>4804.38</v>
      </c>
      <c r="K31" s="31" t="n">
        <v>4931.96175</v>
      </c>
      <c r="L31" s="31" t="n">
        <v>5061.204</v>
      </c>
      <c r="M31" s="31" t="n">
        <v>5192.10675</v>
      </c>
      <c r="N31" s="31" t="n">
        <v>5324.67</v>
      </c>
      <c r="O31" s="31" t="n">
        <v>5403.250224</v>
      </c>
      <c r="P31" s="31" t="n">
        <v>5482.384154</v>
      </c>
      <c r="Q31" s="31" t="n">
        <v>5562.057663</v>
      </c>
      <c r="R31" s="31" t="n">
        <v>5642.284856</v>
      </c>
      <c r="S31" s="31" t="n">
        <v>5723.051797</v>
      </c>
      <c r="T31" s="31" t="n">
        <v>5804.372399</v>
      </c>
      <c r="U31" s="31" t="n">
        <v>5886.232477</v>
      </c>
      <c r="V31" s="31" t="n">
        <v>5968.646636</v>
      </c>
      <c r="W31" s="31" t="n">
        <v>6051.6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10000</v>
      </c>
      <c r="E32" s="31" t="n">
        <v>10000</v>
      </c>
      <c r="F32" s="31" t="n">
        <v>10000</v>
      </c>
      <c r="G32" s="31" t="n">
        <v>10000</v>
      </c>
      <c r="H32" s="31" t="n">
        <v>10000</v>
      </c>
      <c r="I32" s="31" t="n">
        <v>10000</v>
      </c>
      <c r="J32" s="31" t="n">
        <v>10000</v>
      </c>
      <c r="K32" s="31" t="n">
        <v>10000</v>
      </c>
      <c r="L32" s="31" t="n">
        <v>10000</v>
      </c>
      <c r="M32" s="31" t="n">
        <v>10000</v>
      </c>
      <c r="N32" s="31" t="n">
        <v>10000</v>
      </c>
      <c r="O32" s="31" t="n">
        <v>12776</v>
      </c>
      <c r="P32" s="31" t="n">
        <v>17500</v>
      </c>
      <c r="Q32" s="31" t="n">
        <v>15000</v>
      </c>
      <c r="R32" s="31" t="n">
        <v>12500</v>
      </c>
      <c r="S32" s="31" t="n">
        <v>7224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73644.08695700001</v>
      </c>
      <c r="E34" s="31" t="n">
        <v>73555.884175</v>
      </c>
      <c r="F34" s="31" t="n">
        <v>74860.35769999999</v>
      </c>
      <c r="G34" s="31" t="n">
        <v>74022.93900499999</v>
      </c>
      <c r="H34" s="31" t="n">
        <v>74591.26104300001</v>
      </c>
      <c r="I34" s="31" t="n">
        <v>74431.052123</v>
      </c>
      <c r="J34" s="31" t="n">
        <v>74957.78780200001</v>
      </c>
      <c r="K34" s="31" t="n">
        <v>74756.70991999999</v>
      </c>
      <c r="L34" s="31" t="n">
        <v>75280.776478</v>
      </c>
      <c r="M34" s="31" t="n">
        <v>75041.41405000001</v>
      </c>
      <c r="N34" s="31" t="n">
        <v>76220.72749999999</v>
      </c>
      <c r="O34" s="31" t="n">
        <v>78194.157393</v>
      </c>
      <c r="P34" s="31" t="n">
        <v>83619.67950300001</v>
      </c>
      <c r="Q34" s="31" t="n">
        <v>81035.789569</v>
      </c>
      <c r="R34" s="31" t="n">
        <v>79912.39030299999</v>
      </c>
      <c r="S34" s="31" t="n">
        <v>73800.60092899999</v>
      </c>
      <c r="T34" s="31" t="n">
        <v>67287.12629099999</v>
      </c>
      <c r="U34" s="31" t="n">
        <v>67182.855473</v>
      </c>
      <c r="V34" s="31" t="n">
        <v>68563.869282</v>
      </c>
      <c r="W34" s="31" t="n">
        <v>67694.34065899999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50000</v>
      </c>
      <c r="D35" s="31" t="n">
        <v>37500</v>
      </c>
      <c r="E35" s="31" t="n">
        <v>35000</v>
      </c>
      <c r="F35" s="31" t="n">
        <v>32500</v>
      </c>
      <c r="G35" s="31" t="n">
        <v>30000</v>
      </c>
      <c r="H35" s="31" t="n">
        <v>27500</v>
      </c>
      <c r="I35" s="31" t="n">
        <v>25000</v>
      </c>
      <c r="J35" s="31" t="n">
        <v>22500</v>
      </c>
      <c r="K35" s="31" t="n">
        <v>20000</v>
      </c>
      <c r="L35" s="31" t="n">
        <v>17500</v>
      </c>
      <c r="M35" s="31" t="n">
        <v>15000</v>
      </c>
      <c r="N35" s="31" t="n">
        <v>12500</v>
      </c>
      <c r="O35" s="31" t="n">
        <v>7224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50000</v>
      </c>
      <c r="D36" s="31" t="n">
        <v>111144.086957</v>
      </c>
      <c r="E36" s="31" t="n">
        <v>108555.884175</v>
      </c>
      <c r="F36" s="31" t="n">
        <v>107360.3577</v>
      </c>
      <c r="G36" s="31" t="n">
        <v>104022.939005</v>
      </c>
      <c r="H36" s="31" t="n">
        <v>102091.261043</v>
      </c>
      <c r="I36" s="31" t="n">
        <v>99431.052123</v>
      </c>
      <c r="J36" s="31" t="n">
        <v>97457.78780200001</v>
      </c>
      <c r="K36" s="31" t="n">
        <v>94756.70991999999</v>
      </c>
      <c r="L36" s="31" t="n">
        <v>92780.776478</v>
      </c>
      <c r="M36" s="31" t="n">
        <v>90041.41405000001</v>
      </c>
      <c r="N36" s="31" t="n">
        <v>88720.72749999999</v>
      </c>
      <c r="O36" s="31" t="n">
        <v>85418.157393</v>
      </c>
      <c r="P36" s="31" t="n">
        <v>83619.67950300001</v>
      </c>
      <c r="Q36" s="31" t="n">
        <v>81035.789569</v>
      </c>
      <c r="R36" s="31" t="n">
        <v>79912.39030299999</v>
      </c>
      <c r="S36" s="31" t="n">
        <v>73800.60092899999</v>
      </c>
      <c r="T36" s="31" t="n">
        <v>67287.12629099999</v>
      </c>
      <c r="U36" s="31" t="n">
        <v>67182.855473</v>
      </c>
      <c r="V36" s="31" t="n">
        <v>68563.869282</v>
      </c>
      <c r="W36" s="31" t="n">
        <v>67694.34065899999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250000</v>
      </c>
      <c r="D37" s="31" t="n">
        <v>342373</v>
      </c>
      <c r="E37" s="31" t="n">
        <v>386722</v>
      </c>
      <c r="F37" s="31" t="n">
        <v>424359</v>
      </c>
      <c r="G37" s="31" t="n">
        <v>457673</v>
      </c>
      <c r="H37" s="31" t="n">
        <v>489996</v>
      </c>
      <c r="I37" s="31" t="n">
        <v>514875</v>
      </c>
      <c r="J37" s="31" t="n">
        <v>532885</v>
      </c>
      <c r="K37" s="31" t="n">
        <v>544847</v>
      </c>
      <c r="L37" s="31" t="n">
        <v>555777</v>
      </c>
      <c r="M37" s="31" t="n">
        <v>558736</v>
      </c>
      <c r="N37" s="31" t="n">
        <v>558736</v>
      </c>
      <c r="O37" s="31" t="n">
        <v>558736</v>
      </c>
      <c r="P37" s="31" t="n">
        <v>558736</v>
      </c>
      <c r="Q37" s="31" t="n">
        <v>558736</v>
      </c>
      <c r="R37" s="31" t="n">
        <v>558736</v>
      </c>
      <c r="S37" s="31" t="n">
        <v>558736</v>
      </c>
      <c r="T37" s="31" t="n">
        <v>558736</v>
      </c>
      <c r="U37" s="31" t="n">
        <v>558736</v>
      </c>
      <c r="V37" s="31" t="n">
        <v>558736</v>
      </c>
      <c r="W37" s="31" t="n">
        <v>558736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-142000</v>
      </c>
      <c r="D38" s="31" t="n">
        <v>-187651.2925</v>
      </c>
      <c r="E38" s="31" t="n">
        <v>-227830.179086</v>
      </c>
      <c r="F38" s="31" t="n">
        <v>-262374.77202</v>
      </c>
      <c r="G38" s="31" t="n">
        <v>-291120.763761</v>
      </c>
      <c r="H38" s="31" t="n">
        <v>-318212.42641</v>
      </c>
      <c r="I38" s="31" t="n">
        <v>-339169.611277</v>
      </c>
      <c r="J38" s="31" t="n">
        <v>-353820.873323</v>
      </c>
      <c r="K38" s="31" t="n">
        <v>-361992.222293</v>
      </c>
      <c r="L38" s="31" t="n">
        <v>-367944.498238</v>
      </c>
      <c r="M38" s="31" t="n">
        <v>-367256.531566</v>
      </c>
      <c r="N38" s="31" t="n">
        <v>-361099.422282</v>
      </c>
      <c r="O38" s="31" t="n">
        <v>-351901.115543</v>
      </c>
      <c r="P38" s="31" t="n">
        <v>-343185.224346</v>
      </c>
      <c r="Q38" s="31" t="n">
        <v>-331344.072827</v>
      </c>
      <c r="R38" s="31" t="n">
        <v>-316334.995927</v>
      </c>
      <c r="S38" s="31" t="n">
        <v>-300865.783019</v>
      </c>
      <c r="T38" s="31" t="n">
        <v>-291023.883469</v>
      </c>
      <c r="U38" s="31" t="n">
        <v>-290550.37194</v>
      </c>
      <c r="V38" s="31" t="n">
        <v>-291128.327038</v>
      </c>
      <c r="W38" s="31" t="n">
        <v>-290279.936577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108000</v>
      </c>
      <c r="D40" s="31" t="n">
        <v>154721.7075</v>
      </c>
      <c r="E40" s="31" t="n">
        <v>158891.820914</v>
      </c>
      <c r="F40" s="31" t="n">
        <v>161984.22798</v>
      </c>
      <c r="G40" s="31" t="n">
        <v>166552.236239</v>
      </c>
      <c r="H40" s="31" t="n">
        <v>171783.57359</v>
      </c>
      <c r="I40" s="31" t="n">
        <v>175705.388723</v>
      </c>
      <c r="J40" s="31" t="n">
        <v>179064.126677</v>
      </c>
      <c r="K40" s="31" t="n">
        <v>182854.777707</v>
      </c>
      <c r="L40" s="31" t="n">
        <v>187832.501762</v>
      </c>
      <c r="M40" s="31" t="n">
        <v>191479.468434</v>
      </c>
      <c r="N40" s="31" t="n">
        <v>197636.577718</v>
      </c>
      <c r="O40" s="31" t="n">
        <v>206834.884457</v>
      </c>
      <c r="P40" s="31" t="n">
        <v>215550.775654</v>
      </c>
      <c r="Q40" s="31" t="n">
        <v>227391.927173</v>
      </c>
      <c r="R40" s="31" t="n">
        <v>242401.004073</v>
      </c>
      <c r="S40" s="31" t="n">
        <v>257870.216981</v>
      </c>
      <c r="T40" s="31" t="n">
        <v>267712.116531</v>
      </c>
      <c r="U40" s="31" t="n">
        <v>268185.62806</v>
      </c>
      <c r="V40" s="31" t="n">
        <v>267607.672962</v>
      </c>
      <c r="W40" s="31" t="n">
        <v>268456.063423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158000</v>
      </c>
      <c r="D41" s="31" t="n">
        <v>265865.794457</v>
      </c>
      <c r="E41" s="31" t="n">
        <v>267447.705089</v>
      </c>
      <c r="F41" s="31" t="n">
        <v>269344.58568</v>
      </c>
      <c r="G41" s="31" t="n">
        <v>270575.175244</v>
      </c>
      <c r="H41" s="31" t="n">
        <v>273874.834633</v>
      </c>
      <c r="I41" s="31" t="n">
        <v>275136.440846</v>
      </c>
      <c r="J41" s="31" t="n">
        <v>276521.914479</v>
      </c>
      <c r="K41" s="31" t="n">
        <v>277611.487627</v>
      </c>
      <c r="L41" s="31" t="n">
        <v>280613.27824</v>
      </c>
      <c r="M41" s="31" t="n">
        <v>281520.882483</v>
      </c>
      <c r="N41" s="31" t="n">
        <v>286357.305218</v>
      </c>
      <c r="O41" s="31" t="n">
        <v>292253.041851</v>
      </c>
      <c r="P41" s="31" t="n">
        <v>299170.455157</v>
      </c>
      <c r="Q41" s="31" t="n">
        <v>308427.716742</v>
      </c>
      <c r="R41" s="31" t="n">
        <v>322313.394376</v>
      </c>
      <c r="S41" s="31" t="n">
        <v>331670.81791</v>
      </c>
      <c r="T41" s="31" t="n">
        <v>334999.242823</v>
      </c>
      <c r="U41" s="31" t="n">
        <v>335368.483534</v>
      </c>
      <c r="V41" s="31" t="n">
        <v>336171.542244</v>
      </c>
      <c r="W41" s="31" t="n">
        <v>336150.404082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30000</v>
      </c>
      <c r="D45" s="31" t="n">
        <v>30000</v>
      </c>
      <c r="E45" s="31" t="n">
        <v>124065.994457</v>
      </c>
      <c r="F45" s="31" t="n">
        <v>124276.47385</v>
      </c>
      <c r="G45" s="31" t="n">
        <v>124448.350095</v>
      </c>
      <c r="H45" s="31" t="n">
        <v>124577.681427</v>
      </c>
      <c r="I45" s="31" t="n">
        <v>126819.989012</v>
      </c>
      <c r="J45" s="31" t="n">
        <v>126866.428976</v>
      </c>
      <c r="K45" s="31" t="n">
        <v>126866.480701</v>
      </c>
      <c r="L45" s="31" t="n">
        <v>126818.904583</v>
      </c>
      <c r="M45" s="31" t="n">
        <v>128945.9033</v>
      </c>
      <c r="N45" s="31" t="n">
        <v>128806.041637</v>
      </c>
      <c r="O45" s="31" t="n">
        <v>132175.745274</v>
      </c>
      <c r="P45" s="31" t="n">
        <v>137563.413999</v>
      </c>
      <c r="Q45" s="31" t="n">
        <v>144019.31538</v>
      </c>
      <c r="R45" s="31" t="n">
        <v>152630.413698</v>
      </c>
      <c r="S45" s="31" t="n">
        <v>165432.789857</v>
      </c>
      <c r="T45" s="31" t="n">
        <v>174481.883511</v>
      </c>
      <c r="U45" s="31" t="n">
        <v>177550.469653</v>
      </c>
      <c r="V45" s="31" t="n">
        <v>177466.491169</v>
      </c>
      <c r="W45" s="31" t="n">
        <v>177359.553253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23962.893112</v>
      </c>
      <c r="D46" s="31" t="n">
        <v>-45651.2925</v>
      </c>
      <c r="E46" s="31" t="n">
        <v>-40178.886586</v>
      </c>
      <c r="F46" s="31" t="n">
        <v>-34544.592935</v>
      </c>
      <c r="G46" s="31" t="n">
        <v>-28745.99174</v>
      </c>
      <c r="H46" s="31" t="n">
        <v>-27091.662649</v>
      </c>
      <c r="I46" s="31" t="n">
        <v>-20957.184867</v>
      </c>
      <c r="J46" s="31" t="n">
        <v>-14651.262046</v>
      </c>
      <c r="K46" s="31" t="n">
        <v>-8171.348969</v>
      </c>
      <c r="L46" s="31" t="n">
        <v>-5952.275946</v>
      </c>
      <c r="M46" s="31" t="n">
        <v>687.966672</v>
      </c>
      <c r="N46" s="31" t="n">
        <v>6157.109285</v>
      </c>
      <c r="O46" s="31" t="n">
        <v>9198.306739</v>
      </c>
      <c r="P46" s="31" t="n">
        <v>8715.891196</v>
      </c>
      <c r="Q46" s="31" t="n">
        <v>11841.151519</v>
      </c>
      <c r="R46" s="31" t="n">
        <v>15009.0769</v>
      </c>
      <c r="S46" s="31" t="n">
        <v>18245.212908</v>
      </c>
      <c r="T46" s="31" t="n">
        <v>17902.89955</v>
      </c>
      <c r="U46" s="31" t="n">
        <v>21220.511529</v>
      </c>
      <c r="V46" s="31" t="n">
        <v>24515.044902</v>
      </c>
      <c r="W46" s="31" t="n">
        <v>27853.39046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47.4</v>
      </c>
      <c r="E47" s="31" t="n">
        <v>95.027117</v>
      </c>
      <c r="F47" s="31" t="n">
        <v>143.066535</v>
      </c>
      <c r="G47" s="31" t="n">
        <v>191.464659</v>
      </c>
      <c r="H47" s="31" t="n">
        <v>240.167349</v>
      </c>
      <c r="I47" s="31" t="n">
        <v>289.120024</v>
      </c>
      <c r="J47" s="31" t="n">
        <v>338.392546</v>
      </c>
      <c r="K47" s="31" t="n">
        <v>387.805913</v>
      </c>
      <c r="L47" s="31" t="n">
        <v>437.556646</v>
      </c>
      <c r="M47" s="31" t="n">
        <v>487.464999</v>
      </c>
      <c r="N47" s="31" t="n">
        <v>537.730156</v>
      </c>
      <c r="O47" s="31" t="n">
        <v>588.043348</v>
      </c>
      <c r="P47" s="31" t="n">
        <v>638.476535</v>
      </c>
      <c r="Q47" s="31" t="n">
        <v>689.102414</v>
      </c>
      <c r="R47" s="31" t="n">
        <v>739.865126</v>
      </c>
      <c r="S47" s="31" t="n">
        <v>790.8369279999999</v>
      </c>
      <c r="T47" s="31" t="n">
        <v>841.831069</v>
      </c>
      <c r="U47" s="31" t="n">
        <v>892.789201</v>
      </c>
      <c r="V47" s="31" t="n">
        <v>943.911421</v>
      </c>
      <c r="W47" s="31" t="n">
        <v>995.007374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-12900.16</v>
      </c>
      <c r="E48" s="31" t="n">
        <v>-512.318397</v>
      </c>
      <c r="F48" s="31" t="n">
        <v>-907.150803</v>
      </c>
      <c r="G48" s="31" t="n">
        <v>-325.348314</v>
      </c>
      <c r="H48" s="31" t="n">
        <v>-324.021095</v>
      </c>
      <c r="I48" s="31" t="n">
        <v>-525.000766</v>
      </c>
      <c r="J48" s="31" t="n">
        <v>-739.082163</v>
      </c>
      <c r="K48" s="31" t="n">
        <v>-535.121975</v>
      </c>
      <c r="L48" s="31" t="n">
        <v>-317.764138</v>
      </c>
      <c r="M48" s="31" t="n">
        <v>-535.95044</v>
      </c>
      <c r="N48" s="31" t="n">
        <v>-1001.431908</v>
      </c>
      <c r="O48" s="31" t="n">
        <v>-89.421863</v>
      </c>
      <c r="P48" s="31" t="n">
        <v>-89.99511200000001</v>
      </c>
      <c r="Q48" s="31" t="n">
        <v>-322.340323</v>
      </c>
      <c r="R48" s="31" t="n">
        <v>-807.6856299999999</v>
      </c>
      <c r="S48" s="31" t="n">
        <v>-81.51067999999999</v>
      </c>
      <c r="T48" s="31" t="n">
        <v>-82.223654</v>
      </c>
      <c r="U48" s="31" t="n">
        <v>-325.160471</v>
      </c>
      <c r="V48" s="31" t="n">
        <v>-832.049483</v>
      </c>
      <c r="W48" s="31" t="n">
        <v>-73.247399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63644.086957</v>
      </c>
      <c r="E49" s="31" t="n">
        <v>-88.202782</v>
      </c>
      <c r="F49" s="31" t="n">
        <v>1304.473525</v>
      </c>
      <c r="G49" s="31" t="n">
        <v>-837.418695</v>
      </c>
      <c r="H49" s="31" t="n">
        <v>568.322039</v>
      </c>
      <c r="I49" s="31" t="n">
        <v>-160.208921</v>
      </c>
      <c r="J49" s="31" t="n">
        <v>526.735679</v>
      </c>
      <c r="K49" s="31" t="n">
        <v>-201.077883</v>
      </c>
      <c r="L49" s="31" t="n">
        <v>524.066559</v>
      </c>
      <c r="M49" s="31" t="n">
        <v>-239.362429</v>
      </c>
      <c r="N49" s="31" t="n">
        <v>1179.31345</v>
      </c>
      <c r="O49" s="31" t="n">
        <v>-802.570107</v>
      </c>
      <c r="P49" s="31" t="n">
        <v>701.522109</v>
      </c>
      <c r="Q49" s="31" t="n">
        <v>-83.889934</v>
      </c>
      <c r="R49" s="31" t="n">
        <v>1376.600734</v>
      </c>
      <c r="S49" s="31" t="n">
        <v>-835.789374</v>
      </c>
      <c r="T49" s="31" t="n">
        <v>710.525363</v>
      </c>
      <c r="U49" s="31" t="n">
        <v>-104.270818</v>
      </c>
      <c r="V49" s="31" t="n">
        <v>1381.013809</v>
      </c>
      <c r="W49" s="31" t="n">
        <v>-869.528622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5140.034457</v>
      </c>
      <c r="E50" s="31" t="n">
        <v>-40684.380647</v>
      </c>
      <c r="F50" s="31" t="n">
        <v>-34004.203678</v>
      </c>
      <c r="G50" s="31" t="n">
        <v>-29717.29409</v>
      </c>
      <c r="H50" s="31" t="n">
        <v>-26607.194356</v>
      </c>
      <c r="I50" s="31" t="n">
        <v>-21353.274531</v>
      </c>
      <c r="J50" s="31" t="n">
        <v>-14525.215984</v>
      </c>
      <c r="K50" s="31" t="n">
        <v>-8519.742914</v>
      </c>
      <c r="L50" s="31" t="n">
        <v>-5308.41688</v>
      </c>
      <c r="M50" s="31" t="n">
        <v>400.118803</v>
      </c>
      <c r="N50" s="31" t="n">
        <v>6872.720983</v>
      </c>
      <c r="O50" s="31" t="n">
        <v>8894.358117</v>
      </c>
      <c r="P50" s="31" t="n">
        <v>9965.894727999999</v>
      </c>
      <c r="Q50" s="31" t="n">
        <v>12124.023676</v>
      </c>
      <c r="R50" s="31" t="n">
        <v>16317.857129</v>
      </c>
      <c r="S50" s="31" t="n">
        <v>18118.749783</v>
      </c>
      <c r="T50" s="31" t="n">
        <v>19373.032328</v>
      </c>
      <c r="U50" s="31" t="n">
        <v>21683.869441</v>
      </c>
      <c r="V50" s="31" t="n">
        <v>26007.920648</v>
      </c>
      <c r="W50" s="31" t="n">
        <v>27905.621813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947.04</v>
      </c>
      <c r="E51" s="31" t="n">
        <v>954.139959</v>
      </c>
      <c r="F51" s="31" t="n">
        <v>960.920077</v>
      </c>
      <c r="G51" s="31" t="n">
        <v>967.374578</v>
      </c>
      <c r="H51" s="31" t="n">
        <v>973.498059</v>
      </c>
      <c r="I51" s="31" t="n">
        <v>979.2855049999999</v>
      </c>
      <c r="J51" s="31" t="n">
        <v>984.732291</v>
      </c>
      <c r="K51" s="31" t="n">
        <v>989.833204</v>
      </c>
      <c r="L51" s="31" t="n">
        <v>994.584403</v>
      </c>
      <c r="M51" s="31" t="n">
        <v>998.980466</v>
      </c>
      <c r="N51" s="31" t="n">
        <v>1003.017346</v>
      </c>
      <c r="O51" s="31" t="n">
        <v>1006.689393</v>
      </c>
      <c r="P51" s="31" t="n">
        <v>1009.993347</v>
      </c>
      <c r="Q51" s="31" t="n">
        <v>1012.925358</v>
      </c>
      <c r="R51" s="31" t="n">
        <v>1015.480969</v>
      </c>
      <c r="S51" s="31" t="n">
        <v>1017.656129</v>
      </c>
      <c r="T51" s="31" t="n">
        <v>1019.446186</v>
      </c>
      <c r="U51" s="31" t="n">
        <v>1020.847925</v>
      </c>
      <c r="V51" s="31" t="n">
        <v>1021.858564</v>
      </c>
      <c r="W51" s="31" t="n">
        <v>1022.473723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-947.04</v>
      </c>
      <c r="E52" s="31" t="n">
        <v>-954.139959</v>
      </c>
      <c r="F52" s="31" t="n">
        <v>-960.920077</v>
      </c>
      <c r="G52" s="31" t="n">
        <v>-967.374578</v>
      </c>
      <c r="H52" s="31" t="n">
        <v>-973.498059</v>
      </c>
      <c r="I52" s="31" t="n">
        <v>-979.2855049999999</v>
      </c>
      <c r="J52" s="31" t="n">
        <v>-984.732291</v>
      </c>
      <c r="K52" s="31" t="n">
        <v>-989.833204</v>
      </c>
      <c r="L52" s="31" t="n">
        <v>-994.584403</v>
      </c>
      <c r="M52" s="31" t="n">
        <v>-998.980466</v>
      </c>
      <c r="N52" s="31" t="n">
        <v>-1003.017346</v>
      </c>
      <c r="O52" s="31" t="n">
        <v>-1006.689393</v>
      </c>
      <c r="P52" s="31" t="n">
        <v>-1009.993347</v>
      </c>
      <c r="Q52" s="31" t="n">
        <v>-1012.925358</v>
      </c>
      <c r="R52" s="31" t="n">
        <v>-1015.480969</v>
      </c>
      <c r="S52" s="31" t="n">
        <v>-1017.656129</v>
      </c>
      <c r="T52" s="31" t="n">
        <v>-1019.446186</v>
      </c>
      <c r="U52" s="31" t="n">
        <v>-1020.847925</v>
      </c>
      <c r="V52" s="31" t="n">
        <v>-1021.858564</v>
      </c>
      <c r="W52" s="31" t="n">
        <v>-1022.473723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-2500</v>
      </c>
      <c r="E54" s="31" t="n">
        <v>-2500</v>
      </c>
      <c r="F54" s="31" t="n">
        <v>-2500</v>
      </c>
      <c r="G54" s="31" t="n">
        <v>-2500</v>
      </c>
      <c r="H54" s="31" t="n">
        <v>-2500</v>
      </c>
      <c r="I54" s="31" t="n">
        <v>-2500</v>
      </c>
      <c r="J54" s="31" t="n">
        <v>-2500</v>
      </c>
      <c r="K54" s="31" t="n">
        <v>-2500</v>
      </c>
      <c r="L54" s="31" t="n">
        <v>-2500</v>
      </c>
      <c r="M54" s="31" t="n">
        <v>-2500</v>
      </c>
      <c r="N54" s="31" t="n">
        <v>-2500</v>
      </c>
      <c r="O54" s="31" t="n">
        <v>-2500</v>
      </c>
      <c r="P54" s="31" t="n">
        <v>-2500</v>
      </c>
      <c r="Q54" s="31" t="n">
        <v>-2500</v>
      </c>
      <c r="R54" s="31" t="n">
        <v>-2500</v>
      </c>
      <c r="S54" s="31" t="n">
        <v>-5276</v>
      </c>
      <c r="T54" s="31" t="n">
        <v>-7224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92373</v>
      </c>
      <c r="E55" s="31" t="n">
        <v>44349</v>
      </c>
      <c r="F55" s="31" t="n">
        <v>37637</v>
      </c>
      <c r="G55" s="31" t="n">
        <v>33314</v>
      </c>
      <c r="H55" s="31" t="n">
        <v>32323</v>
      </c>
      <c r="I55" s="31" t="n">
        <v>24879</v>
      </c>
      <c r="J55" s="31" t="n">
        <v>18010</v>
      </c>
      <c r="K55" s="31" t="n">
        <v>11962</v>
      </c>
      <c r="L55" s="31" t="n">
        <v>10930</v>
      </c>
      <c r="M55" s="31" t="n">
        <v>2959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2776</v>
      </c>
      <c r="T56" s="31" t="n">
        <v>8061</v>
      </c>
      <c r="U56" s="31" t="n">
        <v>20747</v>
      </c>
      <c r="V56" s="31" t="n">
        <v>25093</v>
      </c>
      <c r="W56" s="31" t="n">
        <v>27005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89873</v>
      </c>
      <c r="E57" s="31" t="n">
        <v>41849</v>
      </c>
      <c r="F57" s="31" t="n">
        <v>35137</v>
      </c>
      <c r="G57" s="31" t="n">
        <v>30814</v>
      </c>
      <c r="H57" s="31" t="n">
        <v>29823</v>
      </c>
      <c r="I57" s="31" t="n">
        <v>22379</v>
      </c>
      <c r="J57" s="31" t="n">
        <v>15510</v>
      </c>
      <c r="K57" s="31" t="n">
        <v>9462</v>
      </c>
      <c r="L57" s="31" t="n">
        <v>8430</v>
      </c>
      <c r="M57" s="31" t="n">
        <v>459</v>
      </c>
      <c r="N57" s="31" t="n">
        <v>-2500</v>
      </c>
      <c r="O57" s="31" t="n">
        <v>-2500</v>
      </c>
      <c r="P57" s="31" t="n">
        <v>-2500</v>
      </c>
      <c r="Q57" s="31" t="n">
        <v>-2500</v>
      </c>
      <c r="R57" s="31" t="n">
        <v>-2500</v>
      </c>
      <c r="S57" s="31" t="n">
        <v>-8052</v>
      </c>
      <c r="T57" s="31" t="n">
        <v>-15285</v>
      </c>
      <c r="U57" s="31" t="n">
        <v>-20747</v>
      </c>
      <c r="V57" s="31" t="n">
        <v>-25093</v>
      </c>
      <c r="W57" s="31" t="n">
        <v>-27005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94065.99445699999</v>
      </c>
      <c r="E58" s="31" t="n">
        <v>210.479394</v>
      </c>
      <c r="F58" s="31" t="n">
        <v>171.876245</v>
      </c>
      <c r="G58" s="31" t="n">
        <v>129.331332</v>
      </c>
      <c r="H58" s="31" t="n">
        <v>2242.307585</v>
      </c>
      <c r="I58" s="31" t="n">
        <v>46.439964</v>
      </c>
      <c r="J58" s="31" t="n">
        <v>0.051725</v>
      </c>
      <c r="K58" s="31" t="n">
        <v>-47.576118</v>
      </c>
      <c r="L58" s="31" t="n">
        <v>2126.998717</v>
      </c>
      <c r="M58" s="31" t="n">
        <v>-139.861663</v>
      </c>
      <c r="N58" s="31" t="n">
        <v>3369.703637</v>
      </c>
      <c r="O58" s="31" t="n">
        <v>5387.668724</v>
      </c>
      <c r="P58" s="31" t="n">
        <v>6455.901381</v>
      </c>
      <c r="Q58" s="31" t="n">
        <v>8611.098318</v>
      </c>
      <c r="R58" s="31" t="n">
        <v>12802.37616</v>
      </c>
      <c r="S58" s="31" t="n">
        <v>9049.093654</v>
      </c>
      <c r="T58" s="31" t="n">
        <v>3068.586142</v>
      </c>
      <c r="U58" s="31" t="n">
        <v>-83.97848399999999</v>
      </c>
      <c r="V58" s="31" t="n">
        <v>-106.937916</v>
      </c>
      <c r="W58" s="31" t="n">
        <v>-121.85191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30000</v>
      </c>
      <c r="D59" s="31" t="n">
        <v>124065.994457</v>
      </c>
      <c r="E59" s="31" t="n">
        <v>124276.47385</v>
      </c>
      <c r="F59" s="31" t="n">
        <v>124448.350095</v>
      </c>
      <c r="G59" s="31" t="n">
        <v>124577.681427</v>
      </c>
      <c r="H59" s="31" t="n">
        <v>126819.989012</v>
      </c>
      <c r="I59" s="31" t="n">
        <v>126866.428976</v>
      </c>
      <c r="J59" s="31" t="n">
        <v>126866.480701</v>
      </c>
      <c r="K59" s="31" t="n">
        <v>126818.904583</v>
      </c>
      <c r="L59" s="31" t="n">
        <v>128945.9033</v>
      </c>
      <c r="M59" s="31" t="n">
        <v>128806.041637</v>
      </c>
      <c r="N59" s="31" t="n">
        <v>132175.745274</v>
      </c>
      <c r="O59" s="31" t="n">
        <v>137563.413999</v>
      </c>
      <c r="P59" s="31" t="n">
        <v>144019.31538</v>
      </c>
      <c r="Q59" s="31" t="n">
        <v>152630.413698</v>
      </c>
      <c r="R59" s="31" t="n">
        <v>165432.789857</v>
      </c>
      <c r="S59" s="31" t="n">
        <v>174481.883511</v>
      </c>
      <c r="T59" s="31" t="n">
        <v>177550.469653</v>
      </c>
      <c r="U59" s="31" t="n">
        <v>177466.491169</v>
      </c>
      <c r="V59" s="31" t="n">
        <v>177359.553253</v>
      </c>
      <c r="W59" s="31" t="n">
        <v>177237.701343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8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IF(COUNTIF(I7:I182,"FAIL")=0,"OK","FAIL")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Drivers'!C26:W26</t>
        </is>
      </c>
      <c r="E11" s="39">
        <f>SUMPRODUCT(ABS('Revenue Drivers'!C26:W26-'Model Inputs'!C19:W19))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Inputs'!D24:W24))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Inputs'!C51:W51))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Inputs'!C23:W23))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A27:N186</t>
        </is>
      </c>
      <c r="E16" s="39">
        <f>SUM(ABS('Payroll Schedule'!C15-SUMIFS('Payroll Schedule'!$G$27:$G$186,'Payroll Schedule'!$A$27:$A$186,0)),ABS('Payroll Schedule'!C16-SUMIFS('Payroll Schedule'!$H$27:$H$186,'Payroll Schedule'!$A$27:$A$186,0)),ABS('Payroll Schedule'!C17-SUMIFS('Payroll Schedule'!$M$27:$M$186,'Payroll Schedule'!$A$27:$A$186,0)),ABS('Payroll Schedule'!D15-SUMIFS('Payroll Schedule'!$G$27:$G$186,'Payroll Schedule'!$A$27:$A$186,1)),ABS('Payroll Schedule'!D16-SUMIFS('Payroll Schedule'!$H$27:$H$186,'Payroll Schedule'!$A$27:$A$186,1)),ABS('Payroll Schedule'!D17-SUMIFS('Payroll Schedule'!$M$27:$M$186,'Payroll Schedule'!$A$27:$A$186,1)),ABS('Payroll Schedule'!E15-SUMIFS('Payroll Schedule'!$G$27:$G$186,'Payroll Schedule'!$A$27:$A$186,2)),ABS('Payroll Schedule'!E16-SUMIFS('Payroll Schedule'!$H$27:$H$186,'Payroll Schedule'!$A$27:$A$186,2)),ABS('Payroll Schedule'!E17-SUMIFS('Payroll Schedule'!$M$27:$M$186,'Payroll Schedule'!$A$27:$A$186,2)),ABS('Payroll Schedule'!F15-SUMIFS('Payroll Schedule'!$G$27:$G$186,'Payroll Schedule'!$A$27:$A$186,3)),ABS('Payroll Schedule'!F16-SUMIFS('Payroll Schedule'!$H$27:$H$186,'Payroll Schedule'!$A$27:$A$186,3)),ABS('Payroll Schedule'!F17-SUMIFS('Payroll Schedule'!$M$27:$M$186,'Payroll Schedule'!$A$27:$A$186,3)),ABS('Payroll Schedule'!G15-SUMIFS('Payroll Schedule'!$G$27:$G$186,'Payroll Schedule'!$A$27:$A$186,4)),ABS('Payroll Schedule'!G16-SUMIFS('Payroll Schedule'!$H$27:$H$186,'Payroll Schedule'!$A$27:$A$186,4)),ABS('Payroll Schedule'!G17-SUMIFS('Payroll Schedule'!$M$27:$M$186,'Payroll Schedule'!$A$27:$A$186,4)),ABS('Payroll Schedule'!H15-SUMIFS('Payroll Schedule'!$G$27:$G$186,'Payroll Schedule'!$A$27:$A$186,5)),ABS('Payroll Schedule'!H16-SUMIFS('Payroll Schedule'!$H$27:$H$186,'Payroll Schedule'!$A$27:$A$186,5)),ABS('Payroll Schedule'!H17-SUMIFS('Payroll Schedule'!$M$27:$M$186,'Payroll Schedule'!$A$27:$A$186,5)),ABS('Payroll Schedule'!I15-SUMIFS('Payroll Schedule'!$G$27:$G$186,'Payroll Schedule'!$A$27:$A$186,6)),ABS('Payroll Schedule'!I16-SUMIFS('Payroll Schedule'!$H$27:$H$186,'Payroll Schedule'!$A$27:$A$186,6)),ABS('Payroll Schedule'!I17-SUMIFS('Payroll Schedule'!$M$27:$M$186,'Payroll Schedule'!$A$27:$A$186,6)),ABS('Payroll Schedule'!J15-SUMIFS('Payroll Schedule'!$G$27:$G$186,'Payroll Schedule'!$A$27:$A$186,7)),ABS('Payroll Schedule'!J16-SUMIFS('Payroll Schedule'!$H$27:$H$186,'Payroll Schedule'!$A$27:$A$186,7)),ABS('Payroll Schedule'!J17-SUMIFS('Payroll Schedule'!$M$27:$M$186,'Payroll Schedule'!$A$27:$A$186,7)),ABS('Payroll Schedule'!K15-SUMIFS('Payroll Schedule'!$G$27:$G$186,'Payroll Schedule'!$A$27:$A$186,8)),ABS('Payroll Schedule'!K16-SUMIFS('Payroll Schedule'!$H$27:$H$186,'Payroll Schedule'!$A$27:$A$186,8)),ABS('Payroll Schedule'!K17-SUMIFS('Payroll Schedule'!$M$27:$M$186,'Payroll Schedule'!$A$27:$A$186,8)),ABS('Payroll Schedule'!L15-SUMIFS('Payroll Schedule'!$G$27:$G$186,'Payroll Schedule'!$A$27:$A$186,9)),ABS('Payroll Schedule'!L16-SUMIFS('Payroll Schedule'!$H$27:$H$186,'Payroll Schedule'!$A$27:$A$186,9)),ABS('Payroll Schedule'!L17-SUMIFS('Payroll Schedule'!$M$27:$M$186,'Payroll Schedule'!$A$27:$A$186,9)),ABS('Payroll Schedule'!M15-SUMIFS('Payroll Schedule'!$G$27:$G$186,'Payroll Schedule'!$A$27:$A$186,10)),ABS('Payroll Schedule'!M16-SUMIFS('Payroll Schedule'!$H$27:$H$186,'Payroll Schedule'!$A$27:$A$186,10)),ABS('Payroll Schedule'!M17-SUMIFS('Payroll Schedule'!$M$27:$M$186,'Payroll Schedule'!$A$27:$A$186,10)),ABS('Payroll Schedule'!N15-SUMIFS('Payroll Schedule'!$G$27:$G$186,'Payroll Schedule'!$A$27:$A$186,11)),ABS('Payroll Schedule'!N16-SUMIFS('Payroll Schedule'!$H$27:$H$186,'Payroll Schedule'!$A$27:$A$186,11)),ABS('Payroll Schedule'!N17-SUMIFS('Payroll Schedule'!$M$27:$M$186,'Payroll Schedule'!$A$27:$A$186,11)),ABS('Payroll Schedule'!O15-SUMIFS('Payroll Schedule'!$G$27:$G$186,'Payroll Schedule'!$A$27:$A$186,12)),ABS('Payroll Schedule'!O16-SUMIFS('Payroll Schedule'!$H$27:$H$186,'Payroll Schedule'!$A$27:$A$186,12)),ABS('Payroll Schedule'!O17-SUMIFS('Payroll Schedule'!$M$27:$M$186,'Payroll Schedule'!$A$27:$A$186,12)),ABS('Payroll Schedule'!P15-SUMIFS('Payroll Schedule'!$G$27:$G$186,'Payroll Schedule'!$A$27:$A$186,13)),ABS('Payroll Schedule'!P16-SUMIFS('Payroll Schedule'!$H$27:$H$186,'Payroll Schedule'!$A$27:$A$186,13)),ABS('Payroll Schedule'!P17-SUMIFS('Payroll Schedule'!$M$27:$M$186,'Payroll Schedule'!$A$27:$A$186,13)),ABS('Payroll Schedule'!Q15-SUMIFS('Payroll Schedule'!$G$27:$G$186,'Payroll Schedule'!$A$27:$A$186,14)),ABS('Payroll Schedule'!Q16-SUMIFS('Payroll Schedule'!$H$27:$H$186,'Payroll Schedule'!$A$27:$A$186,14)),ABS('Payroll Schedule'!Q17-SUMIFS('Payroll Schedule'!$M$27:$M$186,'Payroll Schedule'!$A$27:$A$186,14)),ABS('Payroll Schedule'!R15-SUMIFS('Payroll Schedule'!$G$27:$G$186,'Payroll Schedule'!$A$27:$A$186,15)),ABS('Payroll Schedule'!R16-SUMIFS('Payroll Schedule'!$H$27:$H$186,'Payroll Schedule'!$A$27:$A$186,15)),ABS('Payroll Schedule'!R17-SUMIFS('Payroll Schedule'!$M$27:$M$186,'Payroll Schedule'!$A$27:$A$186,15)),ABS('Payroll Schedule'!S15-SUMIFS('Payroll Schedule'!$G$27:$G$186,'Payroll Schedule'!$A$27:$A$186,16)),ABS('Payroll Schedule'!S16-SUMIFS('Payroll Schedule'!$H$27:$H$186,'Payroll Schedule'!$A$27:$A$186,16)),ABS('Payroll Schedule'!S17-SUMIFS('Payroll Schedule'!$M$27:$M$186,'Payroll Schedule'!$A$27:$A$186,16)),ABS('Payroll Schedule'!T15-SUMIFS('Payroll Schedule'!$G$27:$G$186,'Payroll Schedule'!$A$27:$A$186,17)),ABS('Payroll Schedule'!T16-SUMIFS('Payroll Schedule'!$H$27:$H$186,'Payroll Schedule'!$A$27:$A$186,17)),ABS('Payroll Schedule'!T17-SUMIFS('Payroll Schedule'!$M$27:$M$186,'Payroll Schedule'!$A$27:$A$186,17)),ABS('Payroll Schedule'!U15-SUMIFS('Payroll Schedule'!$G$27:$G$186,'Payroll Schedule'!$A$27:$A$186,18)),ABS('Payroll Schedule'!U16-SUMIFS('Payroll Schedule'!$H$27:$H$186,'Payroll Schedule'!$A$27:$A$186,18)),ABS('Payroll Schedule'!U17-SUMIFS('Payroll Schedule'!$M$27:$M$186,'Payroll Schedule'!$A$27:$A$186,18)),ABS('Payroll Schedule'!V15-SUMIFS('Payroll Schedule'!$G$27:$G$186,'Payroll Schedule'!$A$27:$A$186,19)),ABS('Payroll Schedule'!V16-SUMIFS('Payroll Schedule'!$H$27:$H$186,'Payroll Schedule'!$A$27:$A$186,19)),ABS('Payroll Schedule'!V17-SUMIFS('Payroll Schedule'!$M$27:$M$186,'Payroll Schedule'!$A$27:$A$186,19)),ABS('Payroll Schedule'!W15-SUMIFS('Payroll Schedule'!$G$27:$G$186,'Payroll Schedule'!$A$27:$A$186,20)),ABS('Payroll Schedule'!W16-SUMIFS('Payroll Schedule'!$H$27:$H$186,'Payroll Schedule'!$A$27:$A$186,20)),ABS('Payroll Schedule'!W17-SUMIFS('Payroll Schedule'!$M$27:$M$186,'Payroll Schedule'!$A$27:$A$186,20)))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E27:H186</t>
        </is>
      </c>
      <c r="E18" s="39">
        <f>SUMPRODUCT(ABS('Payroll Schedule'!G27:G186-('Payroll Schedule'!E27:E186+'Payroll Schedule'!F27:F186)))+SUMPRODUCT(ABS('Payroll Schedule'!H27:H186-(('Payroll Schedule'!E27:E186+'Payroll Schedule'!G27:G186)/2)))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I27:M186</t>
        </is>
      </c>
      <c r="E19" s="39">
        <f>SUMPRODUCT(ABS('Payroll Schedule'!K27:K186-('Payroll Schedule'!H27:H186*'Payroll Schedule'!I27:I186/4)))+SUMPRODUCT(ABS('Payroll Schedule'!L27:L186-('Payroll Schedule'!K27:K186*'Payroll Schedule'!J27:J186)))+SUMPRODUCT(ABS('Payroll Schedule'!M27:M186-('Payroll Schedule'!K27:K186+'Payroll Schedule'!L27:L186)))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calculation - lob_1_product_2</t>
        </is>
      </c>
      <c r="C23" t="inlineStr">
        <is>
          <t>Revenue Drivers</t>
        </is>
      </c>
      <c r="D23" t="inlineStr">
        <is>
          <t>'Revenue Drivers'!C17:W17</t>
        </is>
      </c>
      <c r="E23" s="39">
        <f>SUMPRODUCT(ABS('Revenue Drivers'!C17:W17-('Revenue Drivers'!C14:W14*'Revenue Drivers'!C15:W15*'Revenue Drivers'!C16:W16)))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Revenue rows must equal capacity x unit price x utilization.</t>
        </is>
      </c>
    </row>
    <row r="24">
      <c r="A24" t="inlineStr">
        <is>
          <t>Formula Logic</t>
        </is>
      </c>
      <c r="B24" t="inlineStr">
        <is>
          <t>Revenue calculation - lob_1_product_3</t>
        </is>
      </c>
      <c r="C24" t="inlineStr">
        <is>
          <t>Revenue Drivers</t>
        </is>
      </c>
      <c r="D24" t="inlineStr">
        <is>
          <t>'Revenue Drivers'!C23:W23</t>
        </is>
      </c>
      <c r="E24" s="39">
        <f>SUMPRODUCT(ABS('Revenue Drivers'!C23:W23-('Revenue Drivers'!C20:W20*'Revenue Drivers'!C21:W21*'Revenue Drivers'!C22:W22)))</f>
        <v/>
      </c>
      <c r="F24" s="39" t="n">
        <v>0</v>
      </c>
      <c r="G24" s="39">
        <f>E24-F24</f>
        <v/>
      </c>
      <c r="H24" s="39" t="n">
        <v>1</v>
      </c>
      <c r="I24" s="40">
        <f>IF(ABS(G24)&lt;=H24,"OK","FAIL")</f>
        <v/>
      </c>
      <c r="J24" t="inlineStr">
        <is>
          <t>Revenue rows must equal capacity x unit price x utilization.</t>
        </is>
      </c>
    </row>
    <row r="25">
      <c r="A25" t="inlineStr">
        <is>
          <t>Formula Logic</t>
        </is>
      </c>
      <c r="B25" t="inlineStr">
        <is>
          <t>Revenue total equals all revenue products</t>
        </is>
      </c>
      <c r="C25" t="inlineStr">
        <is>
          <t>Revenue Drivers</t>
        </is>
      </c>
      <c r="D25" t="inlineStr">
        <is>
          <t>'Revenue Drivers'!C26:W26</t>
        </is>
      </c>
      <c r="E25" s="39">
        <f>SUMPRODUCT(ABS('Revenue Drivers'!C26:W26-('Revenue Drivers'!C11:W11+'Revenue Drivers'!C17:W17+'Revenue Drivers'!C23:W23)))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Total revenue must stay tied to all revenue-product rows.</t>
        </is>
      </c>
    </row>
    <row r="26">
      <c r="A26" t="inlineStr">
        <is>
          <t>Formula Logic</t>
        </is>
      </c>
      <c r="B26" t="inlineStr">
        <is>
          <t>Revenue total capacity equals all capacity products</t>
        </is>
      </c>
      <c r="C26" t="inlineStr">
        <is>
          <t>Revenue Drivers</t>
        </is>
      </c>
      <c r="D26" t="inlineStr">
        <is>
          <t>'Revenue Drivers'!C25:W25</t>
        </is>
      </c>
      <c r="E26" s="39">
        <f>SUMPRODUCT(ABS('Revenue Drivers'!C25:W25-('Revenue Drivers'!C8:W8+'Revenue Drivers'!C14:W14+'Revenue Drivers'!C20:W20)))</f>
        <v/>
      </c>
      <c r="F26" s="39" t="n">
        <v>0</v>
      </c>
      <c r="G26" s="39">
        <f>E26-F26</f>
        <v/>
      </c>
      <c r="H26" s="39" t="n">
        <v>0.01</v>
      </c>
      <c r="I26" s="40">
        <f>IF(ABS(G26)&lt;=H26,"OK","FAIL")</f>
        <v/>
      </c>
      <c r="J26" t="inlineStr">
        <is>
          <t>Total capacity units must stay tied to all revenue-driver capacity rows.</t>
        </is>
      </c>
    </row>
    <row r="27">
      <c r="A27" t="inlineStr">
        <is>
          <t>Formula Logic</t>
        </is>
      </c>
      <c r="B27" t="inlineStr">
        <is>
          <t>Debt opening balance continuity</t>
        </is>
      </c>
      <c r="C27" t="inlineStr">
        <is>
          <t>Debt Schedule</t>
        </is>
      </c>
      <c r="D27" t="inlineStr">
        <is>
          <t>'Debt Schedule'!D7:W7</t>
        </is>
      </c>
      <c r="E27" s="39">
        <f>SUMPRODUCT(ABS('Debt Schedule'!D7:W7-'Debt Schedule'!C11:V11))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Each quarter's opening debt must equal the prior quarter's closing debt.</t>
        </is>
      </c>
    </row>
    <row r="28">
      <c r="A28" t="inlineStr">
        <is>
          <t>Formula Logic</t>
        </is>
      </c>
      <c r="B28" t="inlineStr">
        <is>
          <t>Actual debt repayment cap</t>
        </is>
      </c>
      <c r="C28" t="inlineStr">
        <is>
          <t>Debt Schedule</t>
        </is>
      </c>
      <c r="D28" t="inlineStr">
        <is>
          <t>'Debt Schedule'!C10:W10</t>
        </is>
      </c>
      <c r="E28" s="39">
        <f>SUMPRODUCT(--(('Debt Schedule'!C10:W10-'Debt Schedule'!C9:W9)&gt;1))+SUMPRODUCT(--(('Debt Schedule'!C10:W10-('Debt Schedule'!C7:W7+'Debt Schedule'!C8:W8))&gt;1))</f>
        <v/>
      </c>
      <c r="F28" s="39" t="n">
        <v>0</v>
      </c>
      <c r="G28" s="39">
        <f>E28-F28</f>
        <v/>
      </c>
      <c r="H28" s="39" t="n">
        <v>0</v>
      </c>
      <c r="I28" s="40">
        <f>IF(ABS(G28)&lt;=H28,"OK","FAIL")</f>
        <v/>
      </c>
      <c r="J28" t="inlineStr">
        <is>
          <t>Actual repayment must not exceed requested repayment or available debt balance.</t>
        </is>
      </c>
    </row>
    <row r="29">
      <c r="A29" t="inlineStr">
        <is>
          <t>Formula Logic</t>
        </is>
      </c>
      <c r="B29" t="inlineStr">
        <is>
          <t>Closing debt formula</t>
        </is>
      </c>
      <c r="C29" t="inlineStr">
        <is>
          <t>Debt Schedule</t>
        </is>
      </c>
      <c r="D29" t="inlineStr">
        <is>
          <t>'Debt Schedule'!C11:W11</t>
        </is>
      </c>
      <c r="E29" s="39">
        <f>SUMPRODUCT(ABS('Debt Schedule'!C11:W11-('Debt Schedule'!C7:W7+'Debt Schedule'!C8:W8-'Debt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Closing debt must equal opening debt plus issuance less actual repayment, floored at zero.</t>
        </is>
      </c>
    </row>
    <row r="30">
      <c r="A30" t="inlineStr">
        <is>
          <t>Formula Logic</t>
        </is>
      </c>
      <c r="B30" t="inlineStr">
        <is>
          <t>Interest expense formula</t>
        </is>
      </c>
      <c r="C30" t="inlineStr">
        <is>
          <t>Debt Schedule</t>
        </is>
      </c>
      <c r="D30" t="inlineStr">
        <is>
          <t>'Debt Schedule'!C13:W13</t>
        </is>
      </c>
      <c r="E30" s="39">
        <f>SUMPRODUCT(ABS('Debt Schedule'!C13:W13-((('Debt Schedule'!C7:W7+'Debt Schedule'!C11:W11)/2)*'Debt Schedule'!C12:W12)))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Interest expense must equal average debt balance times interest rate.</t>
        </is>
      </c>
    </row>
    <row r="31">
      <c r="A31" t="inlineStr">
        <is>
          <t>Formula Logic</t>
        </is>
      </c>
      <c r="B31" t="inlineStr">
        <is>
          <t>Debt service formula</t>
        </is>
      </c>
      <c r="C31" t="inlineStr">
        <is>
          <t>Debt Schedule</t>
        </is>
      </c>
      <c r="D31" t="inlineStr">
        <is>
          <t>'Debt Schedule'!C14:W14</t>
        </is>
      </c>
      <c r="E31" s="39">
        <f>SUMPRODUCT(ABS('Debt Schedule'!C14:W14-('Debt Schedule'!C13:W13+'Debt Schedule'!C10:W10)))</f>
        <v/>
      </c>
      <c r="F31" s="39" t="n">
        <v>0</v>
      </c>
      <c r="G31" s="39">
        <f>E31-F31</f>
        <v/>
      </c>
      <c r="H31" s="39" t="n">
        <v>1</v>
      </c>
      <c r="I31" s="40">
        <f>IF(ABS(G31)&lt;=H31,"OK","FAIL")</f>
        <v/>
      </c>
      <c r="J31" t="inlineStr">
        <is>
          <t>Debt service must equal interest expense plus actual debt repayment.</t>
        </is>
      </c>
    </row>
    <row r="32">
      <c r="A32" t="inlineStr">
        <is>
          <t>Formula Logic</t>
        </is>
      </c>
      <c r="B32" t="inlineStr">
        <is>
          <t>Lease opening balance continuity</t>
        </is>
      </c>
      <c r="C32" t="inlineStr">
        <is>
          <t>Debt Schedule</t>
        </is>
      </c>
      <c r="D32" t="inlineStr">
        <is>
          <t>'Debt Schedule'!D18:W18</t>
        </is>
      </c>
      <c r="E32" s="39">
        <f>SUMPRODUCT(ABS('Debt Schedule'!D18:W18-'Debt Schedule'!C23:V23))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Each quarter's opening lease balance must equal the prior quarter's closing lease balance.</t>
        </is>
      </c>
    </row>
    <row r="33">
      <c r="A33" t="inlineStr">
        <is>
          <t>Formula Logic</t>
        </is>
      </c>
      <c r="B33" t="inlineStr">
        <is>
          <t>Lease principal repayment cap</t>
        </is>
      </c>
      <c r="C33" t="inlineStr">
        <is>
          <t>Debt Schedule</t>
        </is>
      </c>
      <c r="D33" t="inlineStr">
        <is>
          <t>'Debt Schedule'!C20:W20</t>
        </is>
      </c>
      <c r="E33" s="39">
        <f>SUMPRODUCT(--(('Debt Schedule'!C20:W20-'Debt Schedule'!C19:W19)&gt;1))+SUMPRODUCT(--(('Debt Schedule'!C20:W20-('Debt Schedule'!C18:W18+'Debt Schedule'!C21:W21))&gt;1))</f>
        <v/>
      </c>
      <c r="F33" s="39" t="n">
        <v>0</v>
      </c>
      <c r="G33" s="39">
        <f>E33-F33</f>
        <v/>
      </c>
      <c r="H33" s="39" t="n">
        <v>0</v>
      </c>
      <c r="I33" s="40">
        <f>IF(ABS(G33)&lt;=H33,"OK","FAIL")</f>
        <v/>
      </c>
      <c r="J33" t="inlineStr">
        <is>
          <t>Lease principal repayment must not exceed requested repayment or available lease balance.</t>
        </is>
      </c>
    </row>
    <row r="34">
      <c r="A34" t="inlineStr">
        <is>
          <t>Formula Logic</t>
        </is>
      </c>
      <c r="B34" t="inlineStr">
        <is>
          <t>Lease closing balance formula</t>
        </is>
      </c>
      <c r="C34" t="inlineStr">
        <is>
          <t>Debt Schedule</t>
        </is>
      </c>
      <c r="D34" t="inlineStr">
        <is>
          <t>'Debt Schedule'!C23:W23</t>
        </is>
      </c>
      <c r="E34" s="39">
        <f>SUMPRODUCT(ABS('Debt Schedule'!C23:W23-('Debt Schedule'!C18:W18+'Debt Schedule'!C21:W21-'Debt Schedule'!C20:W20)))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Lease closing balance must equal opening balance plus additions less principal repayment, floored at zero.</t>
        </is>
      </c>
    </row>
    <row r="35">
      <c r="A35" t="inlineStr">
        <is>
          <t>Formula Logic</t>
        </is>
      </c>
      <c r="B35" t="inlineStr">
        <is>
          <t>PPE opening balance continuity</t>
        </is>
      </c>
      <c r="C35" t="inlineStr">
        <is>
          <t>CapEx Depreciation</t>
        </is>
      </c>
      <c r="D35" t="inlineStr">
        <is>
          <t>'CapEx Depreciation'!D7:W7</t>
        </is>
      </c>
      <c r="E35" s="39">
        <f>SUMPRODUCT(ABS('CapEx Depreciation'!D7:W7-'CapEx Depreciation'!C12:V12))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Each quarter's opening PPE must equal the prior quarter's closing PPE.</t>
        </is>
      </c>
    </row>
    <row r="36">
      <c r="A36" t="inlineStr">
        <is>
          <t>Formula Logic</t>
        </is>
      </c>
      <c r="B36" t="inlineStr">
        <is>
          <t>Depreciation expense formula</t>
        </is>
      </c>
      <c r="C36" t="inlineStr">
        <is>
          <t>CapEx Depreciation</t>
        </is>
      </c>
      <c r="D36" t="inlineStr">
        <is>
          <t>'CapEx Depreciation'!C11:W11</t>
        </is>
      </c>
      <c r="E36" s="39">
        <f>SUMPRODUCT(ABS('CapEx Depreciation'!C11:W11-('CapEx Depreciation'!C7:W7*'CapEx Depreciation'!C10:W10)))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Depreciation must equal opening PPE times rate, capped at opening PPE.</t>
        </is>
      </c>
    </row>
    <row r="37">
      <c r="A37" t="inlineStr">
        <is>
          <t>Formula Logic</t>
        </is>
      </c>
      <c r="B37" t="inlineStr">
        <is>
          <t>Closing PPE formula</t>
        </is>
      </c>
      <c r="C37" t="inlineStr">
        <is>
          <t>CapEx Depreciation</t>
        </is>
      </c>
      <c r="D37" t="inlineStr">
        <is>
          <t>'CapEx Depreciation'!C12:W12</t>
        </is>
      </c>
      <c r="E37" s="39">
        <f>SUMPRODUCT(ABS('CapEx Depreciation'!C12:W12-('CapEx Depreciation'!C7:W7+'CapEx Depreciation'!C8:W8+'CapEx Depreciation'!C9:W9-'CapEx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Closing PPE must include capex and lease additions and subtract depreciation.</t>
        </is>
      </c>
    </row>
    <row r="38">
      <c r="A38" t="inlineStr">
        <is>
          <t>Formula Logic</t>
        </is>
      </c>
      <c r="B38" t="inlineStr">
        <is>
          <t>Accumulated depreciation continuity</t>
        </is>
      </c>
      <c r="C38" t="inlineStr">
        <is>
          <t>CapEx Depreciation</t>
        </is>
      </c>
      <c r="D38" t="inlineStr">
        <is>
          <t>'CapEx Depreciation'!D13:W13</t>
        </is>
      </c>
      <c r="E38" s="39">
        <f>SUMPRODUCT(ABS('CapEx Depreciation'!D13:W13-'CapEx Depreciation'!C14:V14))</f>
        <v/>
      </c>
      <c r="F38" s="39" t="n">
        <v>0</v>
      </c>
      <c r="G38" s="39">
        <f>E38-F38</f>
        <v/>
      </c>
      <c r="H38" s="39" t="n">
        <v>1</v>
      </c>
      <c r="I38" s="40">
        <f>IF(ABS(G38)&lt;=H38,"OK","FAIL")</f>
        <v/>
      </c>
      <c r="J38" t="inlineStr">
        <is>
          <t>Opening accumulated depreciation must equal the prior quarter's accumulated depreciation.</t>
        </is>
      </c>
    </row>
    <row r="39">
      <c r="A39" t="inlineStr">
        <is>
          <t>Formula Logic</t>
        </is>
      </c>
      <c r="B39" t="inlineStr">
        <is>
          <t>Accumulated depreciation formula</t>
        </is>
      </c>
      <c r="C39" t="inlineStr">
        <is>
          <t>CapEx Depreciation</t>
        </is>
      </c>
      <c r="D39" t="inlineStr">
        <is>
          <t>'CapEx Depreciation'!C14:W14</t>
        </is>
      </c>
      <c r="E39" s="39">
        <f>SUMPRODUCT(ABS('CapEx Depreciation'!C14:W14-('CapEx Depreciation'!C13:W13-'CapEx Depreciation'!C11:W11)))</f>
        <v/>
      </c>
      <c r="F39" s="39" t="n">
        <v>0</v>
      </c>
      <c r="G39" s="39">
        <f>E39-F39</f>
        <v/>
      </c>
      <c r="H39" s="39" t="n">
        <v>1</v>
      </c>
      <c r="I39" s="40">
        <f>IF(ABS(G39)&lt;=H39,"OK","FAIL")</f>
        <v/>
      </c>
      <c r="J39" t="inlineStr">
        <is>
          <t>Accumulated depreciation must roll forward by depreciation expense.</t>
        </is>
      </c>
    </row>
    <row r="41">
      <c r="A41" s="7" t="inlineStr">
        <is>
          <t>Formula Manifest by Line Item</t>
        </is>
      </c>
    </row>
    <row r="42">
      <c r="A42" t="inlineStr">
        <is>
          <t>Formula Manifest</t>
        </is>
      </c>
      <c r="B42" t="inlineStr">
        <is>
          <t>Revenue Drivers - Total Revenue</t>
        </is>
      </c>
      <c r="C42" t="inlineStr">
        <is>
          <t>Revenue Drivers</t>
        </is>
      </c>
      <c r="D42" t="inlineStr">
        <is>
          <t>'Revenue Drivers'!C26:W26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Revenue Drivers - Total Capacity Units</t>
        </is>
      </c>
      <c r="C43" t="inlineStr">
        <is>
          <t>Revenue Drivers</t>
        </is>
      </c>
      <c r="D43" t="inlineStr">
        <is>
          <t>'Revenue Drivers'!C25:W25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Revenue Drivers - Actual Revenue QoQ Growth</t>
        </is>
      </c>
      <c r="C44" t="inlineStr">
        <is>
          <t>Revenue Drivers</t>
        </is>
      </c>
      <c r="D44" t="inlineStr">
        <is>
          <t>'Revenue Drivers'!C29:W29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Ending FTE</t>
        </is>
      </c>
      <c r="C45" t="inlineStr">
        <is>
          <t>Payroll Schedule</t>
        </is>
      </c>
      <c r="D45" t="inlineStr">
        <is>
          <t>'Payroll Schedule'!C15:W15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Average FTE</t>
        </is>
      </c>
      <c r="C46" t="inlineStr">
        <is>
          <t>Payroll Schedule</t>
        </is>
      </c>
      <c r="D46" t="inlineStr">
        <is>
          <t>'Payroll Schedule'!C16:W16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Payroll</t>
        </is>
      </c>
      <c r="C47" t="inlineStr">
        <is>
          <t>Payroll Schedule</t>
        </is>
      </c>
      <c r="D47" t="inlineStr">
        <is>
          <t>'Payroll Schedule'!C17:W17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Total Revenue</t>
        </is>
      </c>
      <c r="C48" t="inlineStr">
        <is>
          <t>Payroll Schedule</t>
        </is>
      </c>
      <c r="D48" t="inlineStr">
        <is>
          <t>'Payroll Schedule'!C18:W18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Total Capacity Units</t>
        </is>
      </c>
      <c r="C49" t="inlineStr">
        <is>
          <t>Payroll Schedule</t>
        </is>
      </c>
      <c r="D49" t="inlineStr">
        <is>
          <t>'Payroll Schedule'!C19:W19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Revenue per Employee</t>
        </is>
      </c>
      <c r="C50" t="inlineStr">
        <is>
          <t>Payroll Schedule</t>
        </is>
      </c>
      <c r="D50" t="inlineStr">
        <is>
          <t>'Payroll Schedule'!C20:W20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Payroll Schedule - Units per Employee</t>
        </is>
      </c>
      <c r="C51" t="inlineStr">
        <is>
          <t>Payroll Schedule</t>
        </is>
      </c>
      <c r="D51" t="inlineStr">
        <is>
          <t>'Payroll Schedule'!C21:W21</t>
        </is>
      </c>
      <c r="E51" s="39">
        <f>21</f>
        <v/>
      </c>
      <c r="F51" s="39" t="n">
        <v>21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Payroll Schedule - Payroll % of Revenue</t>
        </is>
      </c>
      <c r="C52" t="inlineStr">
        <is>
          <t>Payroll Schedule</t>
        </is>
      </c>
      <c r="D52" t="inlineStr">
        <is>
          <t>'Payroll Schedule'!C22:W22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CapEx Schedule - Lease Additions</t>
        </is>
      </c>
      <c r="C53" t="inlineStr">
        <is>
          <t>CapEx Depreciation</t>
        </is>
      </c>
      <c r="D53" t="inlineStr">
        <is>
          <t>'CapEx Depreciation'!D9:W9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CapEx Schedule - Closing PPE</t>
        </is>
      </c>
      <c r="C54" t="inlineStr">
        <is>
          <t>CapEx Depreciation</t>
        </is>
      </c>
      <c r="D54" t="inlineStr">
        <is>
          <t>'CapEx Depreciation'!C12:W12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Opening Debt</t>
        </is>
      </c>
      <c r="C55" t="inlineStr">
        <is>
          <t>Debt Schedule</t>
        </is>
      </c>
      <c r="D55" t="inlineStr">
        <is>
          <t>'Debt Schedule'!D7:W7</t>
        </is>
      </c>
      <c r="E55" s="39">
        <f>20</f>
        <v/>
      </c>
      <c r="F55" s="39" t="n">
        <v>20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Actual Debt Repayment</t>
        </is>
      </c>
      <c r="C56" t="inlineStr">
        <is>
          <t>Debt Schedule</t>
        </is>
      </c>
      <c r="D56" t="inlineStr">
        <is>
          <t>'Debt Schedule'!C10:W10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Closing Debt</t>
        </is>
      </c>
      <c r="C57" t="inlineStr">
        <is>
          <t>Debt Schedule</t>
        </is>
      </c>
      <c r="D57" t="inlineStr">
        <is>
          <t>'Debt Schedule'!C11:W11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Interest Expense</t>
        </is>
      </c>
      <c r="C58" t="inlineStr">
        <is>
          <t>Debt Schedule</t>
        </is>
      </c>
      <c r="D58" t="inlineStr">
        <is>
          <t>'Debt Schedule'!C13:W13</t>
        </is>
      </c>
      <c r="E58" s="39">
        <f>21</f>
        <v/>
      </c>
      <c r="F58" s="39" t="n">
        <v>21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Total Debt Service</t>
        </is>
      </c>
      <c r="C59" t="inlineStr">
        <is>
          <t>Debt Schedule</t>
        </is>
      </c>
      <c r="D59" t="inlineStr">
        <is>
          <t>'Debt Schedule'!C14:W14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Opening Balance</t>
        </is>
      </c>
      <c r="C60" t="inlineStr">
        <is>
          <t>Debt Schedule</t>
        </is>
      </c>
      <c r="D60" t="inlineStr">
        <is>
          <t>'Debt Schedule'!D18:W18</t>
        </is>
      </c>
      <c r="E60" s="39">
        <f>20</f>
        <v/>
      </c>
      <c r="F60" s="39" t="n">
        <v>20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Debt Schedule - Lease Principal Repayments</t>
        </is>
      </c>
      <c r="C61" t="inlineStr">
        <is>
          <t>Debt Schedule</t>
        </is>
      </c>
      <c r="D61" t="inlineStr">
        <is>
          <t>'Debt Schedule'!C20:W20</t>
        </is>
      </c>
      <c r="E61" s="39">
        <f>21</f>
        <v/>
      </c>
      <c r="F61" s="39" t="n">
        <v>21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Debt Schedule - Lease Closing Balance</t>
        </is>
      </c>
      <c r="C62" t="inlineStr">
        <is>
          <t>Debt Schedule</t>
        </is>
      </c>
      <c r="D62" t="inlineStr">
        <is>
          <t>'Debt Schedule'!C23:W23</t>
        </is>
      </c>
      <c r="E62" s="39">
        <f>21</f>
        <v/>
      </c>
      <c r="F62" s="39" t="n">
        <v>21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Ending FTE</t>
        </is>
      </c>
      <c r="C63" t="inlineStr">
        <is>
          <t>Payroll Schedule</t>
        </is>
      </c>
      <c r="D63" t="inlineStr">
        <is>
          <t>'Payroll Schedule'!G27:G186</t>
        </is>
      </c>
      <c r="E63" s="39">
        <f>160</f>
        <v/>
      </c>
      <c r="F63" s="39" t="n">
        <v>160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Average FTE</t>
        </is>
      </c>
      <c r="C64" t="inlineStr">
        <is>
          <t>Payroll Schedule</t>
        </is>
      </c>
      <c r="D64" t="inlineStr">
        <is>
          <t>'Payroll Schedule'!H27:H186</t>
        </is>
      </c>
      <c r="E64" s="39">
        <f>160</f>
        <v/>
      </c>
      <c r="F64" s="39" t="n">
        <v>160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Wage Cost</t>
        </is>
      </c>
      <c r="C65" t="inlineStr">
        <is>
          <t>Payroll Schedule</t>
        </is>
      </c>
      <c r="D65" t="inlineStr">
        <is>
          <t>'Payroll Schedule'!K27:K186</t>
        </is>
      </c>
      <c r="E65" s="39">
        <f>160</f>
        <v/>
      </c>
      <c r="F65" s="39" t="n">
        <v>160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Payroll Detail - Taxes &amp; Benefits</t>
        </is>
      </c>
      <c r="C66" t="inlineStr">
        <is>
          <t>Payroll Schedule</t>
        </is>
      </c>
      <c r="D66" t="inlineStr">
        <is>
          <t>'Payroll Schedule'!L27:L186</t>
        </is>
      </c>
      <c r="E66" s="39">
        <f>160</f>
        <v/>
      </c>
      <c r="F66" s="39" t="n">
        <v>160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Payroll Detail - Total Payroll</t>
        </is>
      </c>
      <c r="C67" t="inlineStr">
        <is>
          <t>Payroll Schedule</t>
        </is>
      </c>
      <c r="D67" t="inlineStr">
        <is>
          <t>'Payroll Schedule'!M27:M186</t>
        </is>
      </c>
      <c r="E67" s="39">
        <f>160</f>
        <v/>
      </c>
      <c r="F67" s="39" t="n">
        <v>160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revenue::lob_1_product_1::Capacity</t>
        </is>
      </c>
      <c r="C68" t="inlineStr">
        <is>
          <t>Model Inputs</t>
        </is>
      </c>
      <c r="D68" t="inlineStr">
        <is>
          <t>'Model Inputs'!C7:W7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revenue::lob_1_product_1::Unit Price</t>
        </is>
      </c>
      <c r="C69" t="inlineStr">
        <is>
          <t>Model Inputs</t>
        </is>
      </c>
      <c r="D69" t="inlineStr">
        <is>
          <t>'Model Inputs'!C8:W8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revenue::lob_1_product_1::Utilization</t>
        </is>
      </c>
      <c r="C70" t="inlineStr">
        <is>
          <t>Model Inputs</t>
        </is>
      </c>
      <c r="D70" t="inlineStr">
        <is>
          <t>'Model Inputs'!C9:W9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revenue::lob_1_product_1::Revenue</t>
        </is>
      </c>
      <c r="C71" t="inlineStr">
        <is>
          <t>Model Inputs</t>
        </is>
      </c>
      <c r="D71" t="inlineStr">
        <is>
          <t>'Model Inputs'!C10:W10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revenue::lob_1_product_2::Capacity</t>
        </is>
      </c>
      <c r="C72" t="inlineStr">
        <is>
          <t>Model Inputs</t>
        </is>
      </c>
      <c r="D72" t="inlineStr">
        <is>
          <t>'Model Inputs'!C11:W11</t>
        </is>
      </c>
      <c r="E72" s="39">
        <f>21</f>
        <v/>
      </c>
      <c r="F72" s="39" t="n">
        <v>21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revenue::lob_1_product_2::Unit Price</t>
        </is>
      </c>
      <c r="C73" t="inlineStr">
        <is>
          <t>Model Inputs</t>
        </is>
      </c>
      <c r="D73" t="inlineStr">
        <is>
          <t>'Model Inputs'!C12:W12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revenue::lob_1_product_2::Utilization</t>
        </is>
      </c>
      <c r="C74" t="inlineStr">
        <is>
          <t>Model Inputs</t>
        </is>
      </c>
      <c r="D74" t="inlineStr">
        <is>
          <t>'Model Inputs'!C13:W13</t>
        </is>
      </c>
      <c r="E74" s="39">
        <f>21</f>
        <v/>
      </c>
      <c r="F74" s="39" t="n">
        <v>21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revenue::lob_1_product_2::Revenue</t>
        </is>
      </c>
      <c r="C75" t="inlineStr">
        <is>
          <t>Model Inputs</t>
        </is>
      </c>
      <c r="D75" t="inlineStr">
        <is>
          <t>'Model Inputs'!C14:W14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revenue::lob_1_product_3::Capacity</t>
        </is>
      </c>
      <c r="C76" t="inlineStr">
        <is>
          <t>Model Inputs</t>
        </is>
      </c>
      <c r="D76" t="inlineStr">
        <is>
          <t>'Model Inputs'!C15:W15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revenue::lob_1_product_3::Unit Price</t>
        </is>
      </c>
      <c r="C77" t="inlineStr">
        <is>
          <t>Model Inputs</t>
        </is>
      </c>
      <c r="D77" t="inlineStr">
        <is>
          <t>'Model Inputs'!C16:W16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revenue::lob_1_product_3::Utilization</t>
        </is>
      </c>
      <c r="C78" t="inlineStr">
        <is>
          <t>Model Inputs</t>
        </is>
      </c>
      <c r="D78" t="inlineStr">
        <is>
          <t>'Model Inputs'!C17:W17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revenue::lob_1_product_3::Revenue</t>
        </is>
      </c>
      <c r="C79" t="inlineStr">
        <is>
          <t>Model Inputs</t>
        </is>
      </c>
      <c r="D79" t="inlineStr">
        <is>
          <t>'Model Inputs'!C18:W18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is::Revenue</t>
        </is>
      </c>
      <c r="C80" t="inlineStr">
        <is>
          <t>Model Inputs</t>
        </is>
      </c>
      <c r="D80" t="inlineStr">
        <is>
          <t>'Model Inputs'!C19:W19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is::Lease</t>
        </is>
      </c>
      <c r="C81" t="inlineStr">
        <is>
          <t>Model Inputs</t>
        </is>
      </c>
      <c r="D81" t="inlineStr">
        <is>
          <t>'Model Inputs'!C23:W23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is::Payroll</t>
        </is>
      </c>
      <c r="C82" t="inlineStr">
        <is>
          <t>Model Inputs</t>
        </is>
      </c>
      <c r="D82" t="inlineStr">
        <is>
          <t>'Model Inputs'!D24:W24</t>
        </is>
      </c>
      <c r="E82" s="39">
        <f>20</f>
        <v/>
      </c>
      <c r="F82" s="39" t="n">
        <v>20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is::Interest Rate</t>
        </is>
      </c>
      <c r="C83" t="inlineStr">
        <is>
          <t>Model Inputs</t>
        </is>
      </c>
      <c r="D83" t="inlineStr">
        <is>
          <t>'Model Inputs'!C26:W26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is::Interest Expense</t>
        </is>
      </c>
      <c r="C84" t="inlineStr">
        <is>
          <t>Model Inputs</t>
        </is>
      </c>
      <c r="D84" t="inlineStr">
        <is>
          <t>'Model Inputs'!D27:W27</t>
        </is>
      </c>
      <c r="E84" s="39">
        <f>20</f>
        <v/>
      </c>
      <c r="F84" s="39" t="n">
        <v>20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is::Depreciation</t>
        </is>
      </c>
      <c r="C85" t="inlineStr">
        <is>
          <t>Model Inputs</t>
        </is>
      </c>
      <c r="D85" t="inlineStr">
        <is>
          <t>'Model Inputs'!C28:W28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is::Depreciation Expense</t>
        </is>
      </c>
      <c r="C86" t="inlineStr">
        <is>
          <t>Model Inputs</t>
        </is>
      </c>
      <c r="D86" t="inlineStr">
        <is>
          <t>'Model Inputs'!C29:W29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bs::Accounts Receivable Days</t>
        </is>
      </c>
      <c r="C87" t="inlineStr">
        <is>
          <t>Model Inputs</t>
        </is>
      </c>
      <c r="D87" t="inlineStr">
        <is>
          <t>'Model Inputs'!C33:W33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bs::Inventory Days</t>
        </is>
      </c>
      <c r="C88" t="inlineStr">
        <is>
          <t>Model Inputs</t>
        </is>
      </c>
      <c r="D88" t="inlineStr">
        <is>
          <t>'Model Inputs'!C34:W34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bs::Accounts Payable Days</t>
        </is>
      </c>
      <c r="C89" t="inlineStr">
        <is>
          <t>Model Inputs</t>
        </is>
      </c>
      <c r="D89" t="inlineStr">
        <is>
          <t>'Model Inputs'!C35:W35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bs::Prepaid Expenses (% of Revenue)</t>
        </is>
      </c>
      <c r="C90" t="inlineStr">
        <is>
          <t>Model Inputs</t>
        </is>
      </c>
      <c r="D90" t="inlineStr">
        <is>
          <t>'Model Inputs'!C36:W36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bs::Deferred Revenue (% of Revenue)</t>
        </is>
      </c>
      <c r="C91" t="inlineStr">
        <is>
          <t>Model Inputs</t>
        </is>
      </c>
      <c r="D91" t="inlineStr">
        <is>
          <t>'Model Inputs'!C37:W37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bs::Short Term Debt (% of LTD)</t>
        </is>
      </c>
      <c r="C92" t="inlineStr">
        <is>
          <t>Model Inputs</t>
        </is>
      </c>
      <c r="D92" t="inlineStr">
        <is>
          <t>'Model Inputs'!C38:W38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bs::Owner's Capital</t>
        </is>
      </c>
      <c r="C93" t="inlineStr">
        <is>
          <t>Model Inputs</t>
        </is>
      </c>
      <c r="D93" t="inlineStr">
        <is>
          <t>'Model Inputs'!C39:W39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bs::Other Equity</t>
        </is>
      </c>
      <c r="C94" t="inlineStr">
        <is>
          <t>Model Inputs</t>
        </is>
      </c>
      <c r="D94" t="inlineStr">
        <is>
          <t>'Model Inputs'!C40:W40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bs::Distributions</t>
        </is>
      </c>
      <c r="C95" t="inlineStr">
        <is>
          <t>Model Inputs</t>
        </is>
      </c>
      <c r="D95" t="inlineStr">
        <is>
          <t>'Model Inputs'!C41:W41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cash::Cash Opening Balance</t>
        </is>
      </c>
      <c r="C96" t="inlineStr">
        <is>
          <t>Model Inputs</t>
        </is>
      </c>
      <c r="D96" t="inlineStr">
        <is>
          <t>'Model Inputs'!C44:W44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cash::Accounts Receivable Opening Balance</t>
        </is>
      </c>
      <c r="C97" t="inlineStr">
        <is>
          <t>Model Inputs</t>
        </is>
      </c>
      <c r="D97" t="inlineStr">
        <is>
          <t>'Model Inputs'!C45:W45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cash::Inventory Opening Balance</t>
        </is>
      </c>
      <c r="C98" t="inlineStr">
        <is>
          <t>Model Inputs</t>
        </is>
      </c>
      <c r="D98" t="inlineStr">
        <is>
          <t>'Model Inputs'!C46:W46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cash::Accounts Payable Opening Balance</t>
        </is>
      </c>
      <c r="C99" t="inlineStr">
        <is>
          <t>Model Inputs</t>
        </is>
      </c>
      <c r="D99" t="inlineStr">
        <is>
          <t>'Model Inputs'!C47:W47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cash::Short Term Debt Opening Balance</t>
        </is>
      </c>
      <c r="C100" t="inlineStr">
        <is>
          <t>Model Inputs</t>
        </is>
      </c>
      <c r="D100" t="inlineStr">
        <is>
          <t>'Model Inputs'!C48:W48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cash::Debt Opening Balance</t>
        </is>
      </c>
      <c r="C101" t="inlineStr">
        <is>
          <t>Model Inputs</t>
        </is>
      </c>
      <c r="D101" t="inlineStr">
        <is>
          <t>'Model Inputs'!C49:W49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cash::Debt Issuance</t>
        </is>
      </c>
      <c r="C102" t="inlineStr">
        <is>
          <t>Model Inputs</t>
        </is>
      </c>
      <c r="D102" t="inlineStr">
        <is>
          <t>'Model Inputs'!C50:W50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cash::Debt Repayment</t>
        </is>
      </c>
      <c r="C103" t="inlineStr">
        <is>
          <t>Model Inputs</t>
        </is>
      </c>
      <c r="D103" t="inlineStr">
        <is>
          <t>'Model Inputs'!C51:W51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cash::Debt Closing Balance</t>
        </is>
      </c>
      <c r="C104" t="inlineStr">
        <is>
          <t>Model Inputs</t>
        </is>
      </c>
      <c r="D104" t="inlineStr">
        <is>
          <t>'Model Inputs'!C52:W52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Model Inputs - cash::Lease Opening Balance</t>
        </is>
      </c>
      <c r="C105" t="inlineStr">
        <is>
          <t>Model Inputs</t>
        </is>
      </c>
      <c r="D105" t="inlineStr">
        <is>
          <t>'Model Inputs'!C53:W53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Formula bridge rows in Model Inputs must stay linked to schedules.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Model Inputs - cash::Lease Principal Repayments</t>
        </is>
      </c>
      <c r="C106" t="inlineStr">
        <is>
          <t>Model Inputs</t>
        </is>
      </c>
      <c r="D106" t="inlineStr">
        <is>
          <t>'Model Inputs'!C54:W54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Formula bridge rows in Model Inputs must stay linked to schedules.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Model Inputs - cash::Lease Net Additions</t>
        </is>
      </c>
      <c r="C107" t="inlineStr">
        <is>
          <t>Model Inputs</t>
        </is>
      </c>
      <c r="D107" t="inlineStr">
        <is>
          <t>'Model Inputs'!C55:W55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Formula bridge rows in Model Inputs must stay linked to schedules.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Model Inputs - cash::Lease Interest Expense</t>
        </is>
      </c>
      <c r="C108" t="inlineStr">
        <is>
          <t>Model Inputs</t>
        </is>
      </c>
      <c r="D108" t="inlineStr">
        <is>
          <t>'Model Inputs'!C56:W56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Formula bridge rows in Model Inputs must stay linked to schedules.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Model Inputs - cash::Lease Closing Balance</t>
        </is>
      </c>
      <c r="C109" t="inlineStr">
        <is>
          <t>Model Inputs</t>
        </is>
      </c>
      <c r="D109" t="inlineStr">
        <is>
          <t>'Model Inputs'!C57:W57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Formula bridge rows in Model Inputs must stay linked to schedules.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Model Inputs - cash::Right-of-Use Asset</t>
        </is>
      </c>
      <c r="C110" t="inlineStr">
        <is>
          <t>Model Inputs</t>
        </is>
      </c>
      <c r="D110" t="inlineStr">
        <is>
          <t>'Model Inputs'!C58:W58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Formula bridge rows in Model Inputs must stay linked to schedules.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Model Inputs - cash::Lease Asset Depreciation</t>
        </is>
      </c>
      <c r="C111" t="inlineStr">
        <is>
          <t>Model Inputs</t>
        </is>
      </c>
      <c r="D111" t="inlineStr">
        <is>
          <t>'Model Inputs'!C59:W59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Formula bridge rows in Model Inputs must stay linked to schedules.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Model Inputs - cash::Capital Expenditures</t>
        </is>
      </c>
      <c r="C112" t="inlineStr">
        <is>
          <t>Model Inputs</t>
        </is>
      </c>
      <c r="D112" t="inlineStr">
        <is>
          <t>'Model Inputs'!C60:W60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Formula bridge rows in Model Inputs must stay linked to schedules.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Model Inputs - cash::PPE Closing Balance</t>
        </is>
      </c>
      <c r="C113" t="inlineStr">
        <is>
          <t>Model Inputs</t>
        </is>
      </c>
      <c r="D113" t="inlineStr">
        <is>
          <t>'Model Inputs'!C61:W61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Formula bridge rows in Model Inputs must stay linked to schedules.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Model Inputs - cash::Accumulated Depreciation</t>
        </is>
      </c>
      <c r="C114" t="inlineStr">
        <is>
          <t>Model Inputs</t>
        </is>
      </c>
      <c r="D114" t="inlineStr">
        <is>
          <t>'Model Inputs'!C62:W62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Formula bridge rows in Model Inputs must stay linked to schedules.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Revenue</t>
        </is>
      </c>
      <c r="C115" t="inlineStr">
        <is>
          <t>FINMO</t>
        </is>
      </c>
      <c r="D115" t="inlineStr">
        <is>
          <t>'FINMO'!C8:W8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Cost of Goods Sold</t>
        </is>
      </c>
      <c r="C116" t="inlineStr">
        <is>
          <t>FINMO</t>
        </is>
      </c>
      <c r="D116" t="inlineStr">
        <is>
          <t>'FINMO'!C9:W9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Gross Profit</t>
        </is>
      </c>
      <c r="C117" t="inlineStr">
        <is>
          <t>FINMO</t>
        </is>
      </c>
      <c r="D117" t="inlineStr">
        <is>
          <t>'FINMO'!C10:W10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Income Statement - Marketing</t>
        </is>
      </c>
      <c r="C118" t="inlineStr">
        <is>
          <t>FINMO</t>
        </is>
      </c>
      <c r="D118" t="inlineStr">
        <is>
          <t>'FINMO'!C11:W11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Income Statement - Research &amp; Development</t>
        </is>
      </c>
      <c r="C119" t="inlineStr">
        <is>
          <t>FINMO</t>
        </is>
      </c>
      <c r="D119" t="inlineStr">
        <is>
          <t>'FINMO'!C12:W12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Income Statement - Lease/Rent</t>
        </is>
      </c>
      <c r="C120" t="inlineStr">
        <is>
          <t>FINMO</t>
        </is>
      </c>
      <c r="D120" t="inlineStr">
        <is>
          <t>'FINMO'!C13:W13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Income Statement - Payroll</t>
        </is>
      </c>
      <c r="C121" t="inlineStr">
        <is>
          <t>FINMO</t>
        </is>
      </c>
      <c r="D121" t="inlineStr">
        <is>
          <t>'FINMO'!C14:W14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Income Statement - General &amp; Administrative</t>
        </is>
      </c>
      <c r="C122" t="inlineStr">
        <is>
          <t>FINMO</t>
        </is>
      </c>
      <c r="D122" t="inlineStr">
        <is>
          <t>'FINMO'!C15:W15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Income Statement - EBITDA</t>
        </is>
      </c>
      <c r="C123" t="inlineStr">
        <is>
          <t>FINMO</t>
        </is>
      </c>
      <c r="D123" t="inlineStr">
        <is>
          <t>'FINMO'!C16:W16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Income Statement - Interest</t>
        </is>
      </c>
      <c r="C124" t="inlineStr">
        <is>
          <t>FINMO</t>
        </is>
      </c>
      <c r="D124" t="inlineStr">
        <is>
          <t>'FINMO'!C17:W17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Income Statement - Depreciation</t>
        </is>
      </c>
      <c r="C125" t="inlineStr">
        <is>
          <t>FINMO</t>
        </is>
      </c>
      <c r="D125" t="inlineStr">
        <is>
          <t>'FINMO'!C18:W18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Income Statement - Taxes</t>
        </is>
      </c>
      <c r="C126" t="inlineStr">
        <is>
          <t>FINMO</t>
        </is>
      </c>
      <c r="D126" t="inlineStr">
        <is>
          <t>'FINMO'!C19:W19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Income Statement - Net Income</t>
        </is>
      </c>
      <c r="C127" t="inlineStr">
        <is>
          <t>FINMO</t>
        </is>
      </c>
      <c r="D127" t="inlineStr">
        <is>
          <t>'FINMO'!C20:W20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Cash</t>
        </is>
      </c>
      <c r="C128" t="inlineStr">
        <is>
          <t>FINMO</t>
        </is>
      </c>
      <c r="D128" t="inlineStr">
        <is>
          <t>'FINMO'!C23:W23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Accounts Receivable</t>
        </is>
      </c>
      <c r="C129" t="inlineStr">
        <is>
          <t>FINMO</t>
        </is>
      </c>
      <c r="D129" t="inlineStr">
        <is>
          <t>'FINMO'!C24:W24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Inventory</t>
        </is>
      </c>
      <c r="C130" t="inlineStr">
        <is>
          <t>FINMO</t>
        </is>
      </c>
      <c r="D130" t="inlineStr">
        <is>
          <t>'FINMO'!C25:W25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Prepaid Expenses</t>
        </is>
      </c>
      <c r="C131" t="inlineStr">
        <is>
          <t>FINMO</t>
        </is>
      </c>
      <c r="D131" t="inlineStr">
        <is>
          <t>'FINMO'!C26:W26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Current Assets</t>
        </is>
      </c>
      <c r="C132" t="inlineStr">
        <is>
          <t>FINMO</t>
        </is>
      </c>
      <c r="D132" t="inlineStr">
        <is>
          <t>'FINMO'!C27:W27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PPE</t>
        </is>
      </c>
      <c r="C133" t="inlineStr">
        <is>
          <t>FINMO</t>
        </is>
      </c>
      <c r="D133" t="inlineStr">
        <is>
          <t>'FINMO'!C28:W28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Right-of-Use Asset (Capital Lease)</t>
        </is>
      </c>
      <c r="C134" t="inlineStr">
        <is>
          <t>FINMO</t>
        </is>
      </c>
      <c r="D134" t="inlineStr">
        <is>
          <t>'FINMO'!C29:W29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Accumulated Depreciation</t>
        </is>
      </c>
      <c r="C135" t="inlineStr">
        <is>
          <t>FINMO</t>
        </is>
      </c>
      <c r="D135" t="inlineStr">
        <is>
          <t>'FINMO'!C30:W30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Total Assets</t>
        </is>
      </c>
      <c r="C136" t="inlineStr">
        <is>
          <t>FINMO</t>
        </is>
      </c>
      <c r="D136" t="inlineStr">
        <is>
          <t>'FINMO'!C31:W31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Accounts Payable</t>
        </is>
      </c>
      <c r="C137" t="inlineStr">
        <is>
          <t>FINMO</t>
        </is>
      </c>
      <c r="D137" t="inlineStr">
        <is>
          <t>'FINMO'!C32:W32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Short Term Debt</t>
        </is>
      </c>
      <c r="C138" t="inlineStr">
        <is>
          <t>FINMO</t>
        </is>
      </c>
      <c r="D138" t="inlineStr">
        <is>
          <t>'FINMO'!C33:W33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Balance Sheet - Deferred Revenue</t>
        </is>
      </c>
      <c r="C139" t="inlineStr">
        <is>
          <t>FINMO</t>
        </is>
      </c>
      <c r="D139" t="inlineStr">
        <is>
          <t>'FINMO'!C34:W34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Balance Sheet - Current Liabilities</t>
        </is>
      </c>
      <c r="C140" t="inlineStr">
        <is>
          <t>FINMO</t>
        </is>
      </c>
      <c r="D140" t="inlineStr">
        <is>
          <t>'FINMO'!C35:W35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Balance Sheet - Long Term Debt</t>
        </is>
      </c>
      <c r="C141" t="inlineStr">
        <is>
          <t>FINMO</t>
        </is>
      </c>
      <c r="D141" t="inlineStr">
        <is>
          <t>'FINMO'!C36:W36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Balance Sheet - Capital Lease Obligation</t>
        </is>
      </c>
      <c r="C142" t="inlineStr">
        <is>
          <t>FINMO</t>
        </is>
      </c>
      <c r="D142" t="inlineStr">
        <is>
          <t>'FINMO'!C37:W37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Balance Sheet - Total Liabilities</t>
        </is>
      </c>
      <c r="C143" t="inlineStr">
        <is>
          <t>FINMO</t>
        </is>
      </c>
      <c r="D143" t="inlineStr">
        <is>
          <t>'FINMO'!C38:W38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Balance Sheet - Owner's Capital</t>
        </is>
      </c>
      <c r="C144" t="inlineStr">
        <is>
          <t>FINMO</t>
        </is>
      </c>
      <c r="D144" t="inlineStr">
        <is>
          <t>'FINMO'!C39:W39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Balance Sheet - Retained Earnings</t>
        </is>
      </c>
      <c r="C145" t="inlineStr">
        <is>
          <t>FINMO</t>
        </is>
      </c>
      <c r="D145" t="inlineStr">
        <is>
          <t>'FINMO'!C40:W40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Balance Sheet - Other Equity</t>
        </is>
      </c>
      <c r="C146" t="inlineStr">
        <is>
          <t>FINMO</t>
        </is>
      </c>
      <c r="D146" t="inlineStr">
        <is>
          <t>'FINMO'!C41:W41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Balance Sheet - Total Equity</t>
        </is>
      </c>
      <c r="C147" t="inlineStr">
        <is>
          <t>FINMO</t>
        </is>
      </c>
      <c r="D147" t="inlineStr">
        <is>
          <t>'FINMO'!C42:W42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Balance Sheet - Total Liabilities &amp; Equity</t>
        </is>
      </c>
      <c r="C148" t="inlineStr">
        <is>
          <t>FINMO</t>
        </is>
      </c>
      <c r="D148" t="inlineStr">
        <is>
          <t>'FINMO'!C43:W43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Beginning Cash</t>
        </is>
      </c>
      <c r="C149" t="inlineStr">
        <is>
          <t>FINMO</t>
        </is>
      </c>
      <c r="D149" t="inlineStr">
        <is>
          <t>'FINMO'!C46:W46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Net Income</t>
        </is>
      </c>
      <c r="C150" t="inlineStr">
        <is>
          <t>FINMO</t>
        </is>
      </c>
      <c r="D150" t="inlineStr">
        <is>
          <t>'FINMO'!C47:W47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Depreciation</t>
        </is>
      </c>
      <c r="C151" t="inlineStr">
        <is>
          <t>FINMO</t>
        </is>
      </c>
      <c r="D151" t="inlineStr">
        <is>
          <t>'FINMO'!C48:W48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Changes in Current Assets</t>
        </is>
      </c>
      <c r="C152" t="inlineStr">
        <is>
          <t>FINMO</t>
        </is>
      </c>
      <c r="D152" t="inlineStr">
        <is>
          <t>'FINMO'!C49:W49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Changes in Current Liabilities</t>
        </is>
      </c>
      <c r="C153" t="inlineStr">
        <is>
          <t>FINMO</t>
        </is>
      </c>
      <c r="D153" t="inlineStr">
        <is>
          <t>'FINMO'!C50:W50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Operating Cash Flow</t>
        </is>
      </c>
      <c r="C154" t="inlineStr">
        <is>
          <t>FINMO</t>
        </is>
      </c>
      <c r="D154" t="inlineStr">
        <is>
          <t>'FINMO'!C51:W51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5">
      <c r="A155" t="inlineStr">
        <is>
          <t>Formula Manifest</t>
        </is>
      </c>
      <c r="B155" t="inlineStr">
        <is>
          <t>FINMO - Cash Flow - Capital Expenditures</t>
        </is>
      </c>
      <c r="C155" t="inlineStr">
        <is>
          <t>FINMO</t>
        </is>
      </c>
      <c r="D155" t="inlineStr">
        <is>
          <t>'FINMO'!C52:W52</t>
        </is>
      </c>
      <c r="E155" s="39">
        <f>21</f>
        <v/>
      </c>
      <c r="F155" s="39" t="n">
        <v>21</v>
      </c>
      <c r="G155" s="39">
        <f>E155-F155</f>
        <v/>
      </c>
      <c r="H155" s="39" t="n">
        <v>0</v>
      </c>
      <c r="I155" s="40">
        <f>IF(G155=0,"OK","FAIL")</f>
        <v/>
      </c>
      <c r="J155" t="inlineStr">
        <is>
          <t>FINMO statement lines must remain formula-driven. Formula presence is verified at export; live edit integrity is covered by the logic and bridge checks above.</t>
        </is>
      </c>
    </row>
    <row r="156">
      <c r="A156" t="inlineStr">
        <is>
          <t>Formula Manifest</t>
        </is>
      </c>
      <c r="B156" t="inlineStr">
        <is>
          <t>FINMO - Cash Flow - Investing Cash Flow</t>
        </is>
      </c>
      <c r="C156" t="inlineStr">
        <is>
          <t>FINMO</t>
        </is>
      </c>
      <c r="D156" t="inlineStr">
        <is>
          <t>'FINMO'!C53:W53</t>
        </is>
      </c>
      <c r="E156" s="39">
        <f>21</f>
        <v/>
      </c>
      <c r="F156" s="39" t="n">
        <v>21</v>
      </c>
      <c r="G156" s="39">
        <f>E156-F156</f>
        <v/>
      </c>
      <c r="H156" s="39" t="n">
        <v>0</v>
      </c>
      <c r="I156" s="40">
        <f>IF(G156=0,"OK","FAIL")</f>
        <v/>
      </c>
      <c r="J156" t="inlineStr">
        <is>
          <t>FINMO statement lines must remain formula-driven. Formula presence is verified at export; live edit integrity is covered by the logic and bridge checks above.</t>
        </is>
      </c>
    </row>
    <row r="157">
      <c r="A157" t="inlineStr">
        <is>
          <t>Formula Manifest</t>
        </is>
      </c>
      <c r="B157" t="inlineStr">
        <is>
          <t>FINMO - Cash Flow - Debt Issuance (New Borrowing)</t>
        </is>
      </c>
      <c r="C157" t="inlineStr">
        <is>
          <t>FINMO</t>
        </is>
      </c>
      <c r="D157" t="inlineStr">
        <is>
          <t>'FINMO'!C54:W54</t>
        </is>
      </c>
      <c r="E157" s="39">
        <f>21</f>
        <v/>
      </c>
      <c r="F157" s="39" t="n">
        <v>21</v>
      </c>
      <c r="G157" s="39">
        <f>E157-F157</f>
        <v/>
      </c>
      <c r="H157" s="39" t="n">
        <v>0</v>
      </c>
      <c r="I157" s="40">
        <f>IF(G157=0,"OK","FAIL")</f>
        <v/>
      </c>
      <c r="J157" t="inlineStr">
        <is>
          <t>FINMO statement lines must remain formula-driven. Formula presence is verified at export; live edit integrity is covered by the logic and bridge checks above.</t>
        </is>
      </c>
    </row>
    <row r="158">
      <c r="A158" t="inlineStr">
        <is>
          <t>Formula Manifest</t>
        </is>
      </c>
      <c r="B158" t="inlineStr">
        <is>
          <t>FINMO - Cash Flow - Debt Repayment</t>
        </is>
      </c>
      <c r="C158" t="inlineStr">
        <is>
          <t>FINMO</t>
        </is>
      </c>
      <c r="D158" t="inlineStr">
        <is>
          <t>'FINMO'!C55:W55</t>
        </is>
      </c>
      <c r="E158" s="39">
        <f>21</f>
        <v/>
      </c>
      <c r="F158" s="39" t="n">
        <v>21</v>
      </c>
      <c r="G158" s="39">
        <f>E158-F158</f>
        <v/>
      </c>
      <c r="H158" s="39" t="n">
        <v>0</v>
      </c>
      <c r="I158" s="40">
        <f>IF(G158=0,"OK","FAIL")</f>
        <v/>
      </c>
      <c r="J158" t="inlineStr">
        <is>
          <t>FINMO statement lines must remain formula-driven. Formula presence is verified at export; live edit integrity is covered by the logic and bridge checks above.</t>
        </is>
      </c>
    </row>
    <row r="159">
      <c r="A159" t="inlineStr">
        <is>
          <t>Formula Manifest</t>
        </is>
      </c>
      <c r="B159" t="inlineStr">
        <is>
          <t>FINMO - Cash Flow - Equity</t>
        </is>
      </c>
      <c r="C159" t="inlineStr">
        <is>
          <t>FINMO</t>
        </is>
      </c>
      <c r="D159" t="inlineStr">
        <is>
          <t>'FINMO'!C56:W56</t>
        </is>
      </c>
      <c r="E159" s="39">
        <f>21</f>
        <v/>
      </c>
      <c r="F159" s="39" t="n">
        <v>21</v>
      </c>
      <c r="G159" s="39">
        <f>E159-F159</f>
        <v/>
      </c>
      <c r="H159" s="39" t="n">
        <v>0</v>
      </c>
      <c r="I159" s="40">
        <f>IF(G159=0,"OK","FAIL")</f>
        <v/>
      </c>
      <c r="J159" t="inlineStr">
        <is>
          <t>FINMO statement lines must remain formula-driven. Formula presence is verified at export; live edit integrity is covered by the logic and bridge checks above.</t>
        </is>
      </c>
    </row>
    <row r="160">
      <c r="A160" t="inlineStr">
        <is>
          <t>Formula Manifest</t>
        </is>
      </c>
      <c r="B160" t="inlineStr">
        <is>
          <t>FINMO - Cash Flow - Distributions</t>
        </is>
      </c>
      <c r="C160" t="inlineStr">
        <is>
          <t>FINMO</t>
        </is>
      </c>
      <c r="D160" t="inlineStr">
        <is>
          <t>'FINMO'!C57:W57</t>
        </is>
      </c>
      <c r="E160" s="39">
        <f>21</f>
        <v/>
      </c>
      <c r="F160" s="39" t="n">
        <v>21</v>
      </c>
      <c r="G160" s="39">
        <f>E160-F160</f>
        <v/>
      </c>
      <c r="H160" s="39" t="n">
        <v>0</v>
      </c>
      <c r="I160" s="40">
        <f>IF(G160=0,"OK","FAIL")</f>
        <v/>
      </c>
      <c r="J160" t="inlineStr">
        <is>
          <t>FINMO statement lines must remain formula-driven. Formula presence is verified at export; live edit integrity is covered by the logic and bridge checks above.</t>
        </is>
      </c>
    </row>
    <row r="161">
      <c r="A161" t="inlineStr">
        <is>
          <t>Formula Manifest</t>
        </is>
      </c>
      <c r="B161" t="inlineStr">
        <is>
          <t>FINMO - Cash Flow - Capital Lease Principal Payments</t>
        </is>
      </c>
      <c r="C161" t="inlineStr">
        <is>
          <t>FINMO</t>
        </is>
      </c>
      <c r="D161" t="inlineStr">
        <is>
          <t>'FINMO'!C58:W58</t>
        </is>
      </c>
      <c r="E161" s="39">
        <f>21</f>
        <v/>
      </c>
      <c r="F161" s="39" t="n">
        <v>21</v>
      </c>
      <c r="G161" s="39">
        <f>E161-F161</f>
        <v/>
      </c>
      <c r="H161" s="39" t="n">
        <v>0</v>
      </c>
      <c r="I161" s="40">
        <f>IF(G161=0,"OK","FAIL")</f>
        <v/>
      </c>
      <c r="J161" t="inlineStr">
        <is>
          <t>FINMO statement lines must remain formula-driven. Formula presence is verified at export; live edit integrity is covered by the logic and bridge checks above.</t>
        </is>
      </c>
    </row>
    <row r="162">
      <c r="A162" t="inlineStr">
        <is>
          <t>Formula Manifest</t>
        </is>
      </c>
      <c r="B162" t="inlineStr">
        <is>
          <t>FINMO - Cash Flow - Financing Cash Flow</t>
        </is>
      </c>
      <c r="C162" t="inlineStr">
        <is>
          <t>FINMO</t>
        </is>
      </c>
      <c r="D162" t="inlineStr">
        <is>
          <t>'FINMO'!C59:W59</t>
        </is>
      </c>
      <c r="E162" s="39">
        <f>21</f>
        <v/>
      </c>
      <c r="F162" s="39" t="n">
        <v>21</v>
      </c>
      <c r="G162" s="39">
        <f>E162-F162</f>
        <v/>
      </c>
      <c r="H162" s="39" t="n">
        <v>0</v>
      </c>
      <c r="I162" s="40">
        <f>IF(G162=0,"OK","FAIL")</f>
        <v/>
      </c>
      <c r="J162" t="inlineStr">
        <is>
          <t>FINMO statement lines must remain formula-driven. Formula presence is verified at export; live edit integrity is covered by the logic and bridge checks above.</t>
        </is>
      </c>
    </row>
    <row r="163">
      <c r="A163" t="inlineStr">
        <is>
          <t>Formula Manifest</t>
        </is>
      </c>
      <c r="B163" t="inlineStr">
        <is>
          <t>FINMO - Cash Flow - Net Cash Flow</t>
        </is>
      </c>
      <c r="C163" t="inlineStr">
        <is>
          <t>FINMO</t>
        </is>
      </c>
      <c r="D163" t="inlineStr">
        <is>
          <t>'FINMO'!C60:W60</t>
        </is>
      </c>
      <c r="E163" s="39">
        <f>21</f>
        <v/>
      </c>
      <c r="F163" s="39" t="n">
        <v>21</v>
      </c>
      <c r="G163" s="39">
        <f>E163-F163</f>
        <v/>
      </c>
      <c r="H163" s="39" t="n">
        <v>0</v>
      </c>
      <c r="I163" s="40">
        <f>IF(G163=0,"OK","FAIL")</f>
        <v/>
      </c>
      <c r="J163" t="inlineStr">
        <is>
          <t>FINMO statement lines must remain formula-driven. Formula presence is verified at export; live edit integrity is covered by the logic and bridge checks above.</t>
        </is>
      </c>
    </row>
    <row r="164">
      <c r="A164" t="inlineStr">
        <is>
          <t>Formula Manifest</t>
        </is>
      </c>
      <c r="B164" t="inlineStr">
        <is>
          <t>FINMO - Cash Flow - Ending Cash</t>
        </is>
      </c>
      <c r="C164" t="inlineStr">
        <is>
          <t>FINMO</t>
        </is>
      </c>
      <c r="D164" t="inlineStr">
        <is>
          <t>'FINMO'!C61:W61</t>
        </is>
      </c>
      <c r="E164" s="39">
        <f>21</f>
        <v/>
      </c>
      <c r="F164" s="39" t="n">
        <v>21</v>
      </c>
      <c r="G164" s="39">
        <f>E164-F164</f>
        <v/>
      </c>
      <c r="H164" s="39" t="n">
        <v>0</v>
      </c>
      <c r="I164" s="40">
        <f>IF(G164=0,"OK","FAIL")</f>
        <v/>
      </c>
      <c r="J164" t="inlineStr">
        <is>
          <t>FINMO statement lines must remain formula-driven. Formula presence is verified at export; live edit integrity is covered by the logic and bridge checks above.</t>
        </is>
      </c>
    </row>
    <row r="166">
      <c r="A166" s="7" t="inlineStr">
        <is>
          <t>Formula Error Scans</t>
        </is>
      </c>
    </row>
    <row r="167">
      <c r="A167" t="inlineStr">
        <is>
          <t>Formula Error Scan</t>
        </is>
      </c>
      <c r="B167" t="inlineStr">
        <is>
          <t>Revenue Drivers formula/error scan</t>
        </is>
      </c>
      <c r="C167" t="inlineStr">
        <is>
          <t>Revenue Drivers</t>
        </is>
      </c>
      <c r="D167" t="inlineStr">
        <is>
          <t>'Revenue Drivers'!C7:W40</t>
        </is>
      </c>
      <c r="E167" s="39">
        <f>SUMPRODUCT(--ISERROR('Revenue Drivers'!C7:W40))</f>
        <v/>
      </c>
      <c r="F167" s="39" t="n">
        <v>0</v>
      </c>
      <c r="G167" s="39">
        <f>E167-F167</f>
        <v/>
      </c>
      <c r="H167" s="39" t="n">
        <v>0</v>
      </c>
      <c r="I167" s="40">
        <f>IF(E167=0,"OK","FAIL")</f>
        <v/>
      </c>
      <c r="J167" t="inlineStr">
        <is>
          <t>Counts Excel error values in the range.</t>
        </is>
      </c>
    </row>
    <row r="168">
      <c r="A168" t="inlineStr">
        <is>
          <t>Formula Error Scan</t>
        </is>
      </c>
      <c r="B168" t="inlineStr">
        <is>
          <t>Payroll Schedule formula/error scan</t>
        </is>
      </c>
      <c r="C168" t="inlineStr">
        <is>
          <t>Payroll Schedule</t>
        </is>
      </c>
      <c r="D168" t="inlineStr">
        <is>
          <t>'Payroll Schedule'!C15:W186</t>
        </is>
      </c>
      <c r="E168" s="39">
        <f>SUMPRODUCT(--ISERROR('Payroll Schedule'!C15:W186))</f>
        <v/>
      </c>
      <c r="F168" s="39" t="n">
        <v>0</v>
      </c>
      <c r="G168" s="39">
        <f>E168-F168</f>
        <v/>
      </c>
      <c r="H168" s="39" t="n">
        <v>0</v>
      </c>
      <c r="I168" s="40">
        <f>IF(E168=0,"OK","FAIL")</f>
        <v/>
      </c>
      <c r="J168" t="inlineStr">
        <is>
          <t>Counts Excel error values in the range.</t>
        </is>
      </c>
    </row>
    <row r="169">
      <c r="A169" t="inlineStr">
        <is>
          <t>Formula Error Scan</t>
        </is>
      </c>
      <c r="B169" t="inlineStr">
        <is>
          <t>Debt Schedule formula/error scan</t>
        </is>
      </c>
      <c r="C169" t="inlineStr">
        <is>
          <t>Debt Schedule</t>
        </is>
      </c>
      <c r="D169" t="inlineStr">
        <is>
          <t>'Debt Schedule'!C7:W26</t>
        </is>
      </c>
      <c r="E169" s="39">
        <f>SUMPRODUCT(--ISERROR('Debt Schedule'!C7:W26))</f>
        <v/>
      </c>
      <c r="F169" s="39" t="n">
        <v>0</v>
      </c>
      <c r="G169" s="39">
        <f>E169-F169</f>
        <v/>
      </c>
      <c r="H169" s="39" t="n">
        <v>0</v>
      </c>
      <c r="I169" s="40">
        <f>IF(E169=0,"OK","FAIL")</f>
        <v/>
      </c>
      <c r="J169" t="inlineStr">
        <is>
          <t>Counts Excel error values in the range.</t>
        </is>
      </c>
    </row>
    <row r="170">
      <c r="A170" t="inlineStr">
        <is>
          <t>Formula Error Scan</t>
        </is>
      </c>
      <c r="B170" t="inlineStr">
        <is>
          <t>CapEx Depreciation formula/error scan</t>
        </is>
      </c>
      <c r="C170" t="inlineStr">
        <is>
          <t>CapEx Depreciation</t>
        </is>
      </c>
      <c r="D170" t="inlineStr">
        <is>
          <t>'CapEx Depreciation'!C7:W14</t>
        </is>
      </c>
      <c r="E170" s="39">
        <f>SUMPRODUCT(--ISERROR('CapEx Depreciation'!C7:W14))</f>
        <v/>
      </c>
      <c r="F170" s="39" t="n">
        <v>0</v>
      </c>
      <c r="G170" s="39">
        <f>E170-F170</f>
        <v/>
      </c>
      <c r="H170" s="39" t="n">
        <v>0</v>
      </c>
      <c r="I170" s="40">
        <f>IF(E170=0,"OK","FAIL")</f>
        <v/>
      </c>
      <c r="J170" t="inlineStr">
        <is>
          <t>Counts Excel error values in the range.</t>
        </is>
      </c>
    </row>
    <row r="171">
      <c r="A171" t="inlineStr">
        <is>
          <t>Formula Error Scan</t>
        </is>
      </c>
      <c r="B171" t="inlineStr">
        <is>
          <t>Cash Equity Schedule formula/error scan</t>
        </is>
      </c>
      <c r="C171" t="inlineStr">
        <is>
          <t>Cash Equity Schedule</t>
        </is>
      </c>
      <c r="D171" t="inlineStr">
        <is>
          <t>'Cash Equity Schedule'!C7:W12</t>
        </is>
      </c>
      <c r="E171" s="39">
        <f>SUMPRODUCT(--ISERROR('Cash Equity Schedule'!C7:W12))</f>
        <v/>
      </c>
      <c r="F171" s="39" t="n">
        <v>0</v>
      </c>
      <c r="G171" s="39">
        <f>E171-F171</f>
        <v/>
      </c>
      <c r="H171" s="39" t="n">
        <v>0</v>
      </c>
      <c r="I171" s="40">
        <f>IF(E171=0,"OK","FAIL")</f>
        <v/>
      </c>
      <c r="J171" t="inlineStr">
        <is>
          <t>Counts Excel error values in the range.</t>
        </is>
      </c>
    </row>
    <row r="172">
      <c r="A172" t="inlineStr">
        <is>
          <t>Formula Error Scan</t>
        </is>
      </c>
      <c r="B172" t="inlineStr">
        <is>
          <t>Model Inputs formula/error scan</t>
        </is>
      </c>
      <c r="C172" t="inlineStr">
        <is>
          <t>Model Inputs</t>
        </is>
      </c>
      <c r="D172" t="inlineStr">
        <is>
          <t>'Model Inputs'!C7:W62</t>
        </is>
      </c>
      <c r="E172" s="39">
        <f>SUMPRODUCT(--ISERROR('Model Inputs'!C7:W62))</f>
        <v/>
      </c>
      <c r="F172" s="39" t="n">
        <v>0</v>
      </c>
      <c r="G172" s="39">
        <f>E172-F172</f>
        <v/>
      </c>
      <c r="H172" s="39" t="n">
        <v>0</v>
      </c>
      <c r="I172" s="40">
        <f>IF(E172=0,"OK","FAIL")</f>
        <v/>
      </c>
      <c r="J172" t="inlineStr">
        <is>
          <t>Counts Excel error values in the range.</t>
        </is>
      </c>
    </row>
    <row r="173">
      <c r="A173" t="inlineStr">
        <is>
          <t>Formula Error Scan</t>
        </is>
      </c>
      <c r="B173" t="inlineStr">
        <is>
          <t>FINMO formula/error scan</t>
        </is>
      </c>
      <c r="C173" t="inlineStr">
        <is>
          <t>FINMO</t>
        </is>
      </c>
      <c r="D173" t="inlineStr">
        <is>
          <t>'FINMO'!C8:W61</t>
        </is>
      </c>
      <c r="E173" s="39">
        <f>SUMPRODUCT(--ISERROR('FINMO'!C8:W61))</f>
        <v/>
      </c>
      <c r="F173" s="39" t="n">
        <v>0</v>
      </c>
      <c r="G173" s="39">
        <f>E173-F173</f>
        <v/>
      </c>
      <c r="H173" s="39" t="n">
        <v>0</v>
      </c>
      <c r="I173" s="40">
        <f>IF(E173=0,"OK","FAIL")</f>
        <v/>
      </c>
      <c r="J173" t="inlineStr">
        <is>
          <t>Counts Excel error values in the range.</t>
        </is>
      </c>
    </row>
    <row r="175">
      <c r="A175" s="7" t="inlineStr">
        <is>
          <t>Persisted Baseline Reconciliation</t>
        </is>
      </c>
    </row>
    <row r="176">
      <c r="A176" t="inlineStr">
        <is>
          <t>Persisted Baseline</t>
        </is>
      </c>
      <c r="B176" t="inlineStr">
        <is>
          <t>Revenue Q20</t>
        </is>
      </c>
      <c r="C176" t="inlineStr">
        <is>
          <t>FINMO vs Audit Source</t>
        </is>
      </c>
      <c r="D176" t="inlineStr">
        <is>
          <t>'FINMO'!W8</t>
        </is>
      </c>
      <c r="E176" s="39">
        <f>'FINMO'!W8</f>
        <v/>
      </c>
      <c r="F176" s="39">
        <f>'Audit Source'!W7</f>
        <v/>
      </c>
      <c r="G176" s="39">
        <f>E176-F176</f>
        <v/>
      </c>
      <c r="H176" s="39" t="n">
        <v>1</v>
      </c>
      <c r="I176" s="40">
        <f>IF(ABS(G176)&lt;=H176,"MATCH","CHANGED")</f>
        <v/>
      </c>
      <c r="J176" t="inlineStr">
        <is>
          <t>CHANGED means assumptions were edited from the persisted run; it is informational and does not fail Model Status.</t>
        </is>
      </c>
    </row>
    <row r="177">
      <c r="A177" t="inlineStr">
        <is>
          <t>Persisted Baseline</t>
        </is>
      </c>
      <c r="B177" t="inlineStr">
        <is>
          <t>Payroll Q20</t>
        </is>
      </c>
      <c r="C177" t="inlineStr">
        <is>
          <t>FINMO vs Audit Source</t>
        </is>
      </c>
      <c r="D177" t="inlineStr">
        <is>
          <t>'FINMO'!W14</t>
        </is>
      </c>
      <c r="E177" s="39">
        <f>'FINMO'!W14</f>
        <v/>
      </c>
      <c r="F177" s="39">
        <f>'Audit Source'!W13</f>
        <v/>
      </c>
      <c r="G177" s="39">
        <f>E177-F177</f>
        <v/>
      </c>
      <c r="H177" s="39" t="n">
        <v>1</v>
      </c>
      <c r="I177" s="40">
        <f>IF(ABS(G177)&lt;=H177,"MATCH","CHANGED")</f>
        <v/>
      </c>
      <c r="J177" t="inlineStr">
        <is>
          <t>CHANGED means assumptions were edited from the persisted run; it is informational and does not fail Model Status.</t>
        </is>
      </c>
    </row>
    <row r="178">
      <c r="A178" t="inlineStr">
        <is>
          <t>Persisted Baseline</t>
        </is>
      </c>
      <c r="B178" t="inlineStr">
        <is>
          <t>Net Income Q20</t>
        </is>
      </c>
      <c r="C178" t="inlineStr">
        <is>
          <t>FINMO vs Audit Source</t>
        </is>
      </c>
      <c r="D178" t="inlineStr">
        <is>
          <t>'FINMO'!W20</t>
        </is>
      </c>
      <c r="E178" s="39">
        <f>'FINMO'!W20</f>
        <v/>
      </c>
      <c r="F178" s="39">
        <f>'Audit Source'!W19</f>
        <v/>
      </c>
      <c r="G178" s="39">
        <f>E178-F178</f>
        <v/>
      </c>
      <c r="H178" s="39" t="n">
        <v>1</v>
      </c>
      <c r="I178" s="40">
        <f>IF(ABS(G178)&lt;=H178,"MATCH","CHANGED")</f>
        <v/>
      </c>
      <c r="J178" t="inlineStr">
        <is>
          <t>CHANGED means assumptions were edited from the persisted run; it is informational and does not fail Model Status.</t>
        </is>
      </c>
    </row>
    <row r="179">
      <c r="A179" t="inlineStr">
        <is>
          <t>Persisted Baseline</t>
        </is>
      </c>
      <c r="B179" t="inlineStr">
        <is>
          <t>Cash Q20</t>
        </is>
      </c>
      <c r="C179" t="inlineStr">
        <is>
          <t>FINMO vs Audit Source</t>
        </is>
      </c>
      <c r="D179" t="inlineStr">
        <is>
          <t>'FINMO'!W23</t>
        </is>
      </c>
      <c r="E179" s="39">
        <f>'FINMO'!W23</f>
        <v/>
      </c>
      <c r="F179" s="39">
        <f>'Audit Source'!W23</f>
        <v/>
      </c>
      <c r="G179" s="39">
        <f>E179-F179</f>
        <v/>
      </c>
      <c r="H179" s="39" t="n">
        <v>1</v>
      </c>
      <c r="I179" s="40">
        <f>IF(ABS(G179)&lt;=H179,"MATCH","CHANGED")</f>
        <v/>
      </c>
      <c r="J179" t="inlineStr">
        <is>
          <t>CHANGED means assumptions were edited from the persisted run; it is informational and does not fail Model Status.</t>
        </is>
      </c>
    </row>
    <row r="180">
      <c r="A180" t="inlineStr">
        <is>
          <t>Persisted Baseline</t>
        </is>
      </c>
      <c r="B180" t="inlineStr">
        <is>
          <t>Total Assets Q20</t>
        </is>
      </c>
      <c r="C180" t="inlineStr">
        <is>
          <t>FINMO vs Audit Source</t>
        </is>
      </c>
      <c r="D180" t="inlineStr">
        <is>
          <t>'FINMO'!W31</t>
        </is>
      </c>
      <c r="E180" s="39">
        <f>'FINMO'!W31</f>
        <v/>
      </c>
      <c r="F180" s="39">
        <f>'Audit Source'!W29</f>
        <v/>
      </c>
      <c r="G180" s="39">
        <f>E180-F180</f>
        <v/>
      </c>
      <c r="H180" s="39" t="n">
        <v>1</v>
      </c>
      <c r="I180" s="40">
        <f>IF(ABS(G180)&lt;=H180,"MATCH","CHANGED")</f>
        <v/>
      </c>
      <c r="J180" t="inlineStr">
        <is>
          <t>CHANGED means assumptions were edited from the persisted run; it is informational and does not fail Model Status.</t>
        </is>
      </c>
    </row>
    <row r="181">
      <c r="A181" t="inlineStr">
        <is>
          <t>Persisted Baseline</t>
        </is>
      </c>
      <c r="B181" t="inlineStr">
        <is>
          <t>Total Liabilities &amp; Equity Q20</t>
        </is>
      </c>
      <c r="C181" t="inlineStr">
        <is>
          <t>FINMO vs Audit Source</t>
        </is>
      </c>
      <c r="D181" t="inlineStr">
        <is>
          <t>'FINMO'!W43</t>
        </is>
      </c>
      <c r="E181" s="39">
        <f>'FINMO'!W43</f>
        <v/>
      </c>
      <c r="F181" s="39">
        <f>'Audit Source'!W41</f>
        <v/>
      </c>
      <c r="G181" s="39">
        <f>E181-F181</f>
        <v/>
      </c>
      <c r="H181" s="39" t="n">
        <v>1</v>
      </c>
      <c r="I181" s="40">
        <f>IF(ABS(G181)&lt;=H181,"MATCH","CHANGED")</f>
        <v/>
      </c>
      <c r="J181" t="inlineStr">
        <is>
          <t>CHANGED means assumptions were edited from the persisted run; it is informational and does not fail Model Status.</t>
        </is>
      </c>
    </row>
    <row r="182">
      <c r="A182" t="inlineStr">
        <is>
          <t>Persisted Baseline</t>
        </is>
      </c>
      <c r="B182" t="inlineStr">
        <is>
          <t>Ending Cash Q20</t>
        </is>
      </c>
      <c r="C182" t="inlineStr">
        <is>
          <t>FINMO vs Audit Source</t>
        </is>
      </c>
      <c r="D182" t="inlineStr">
        <is>
          <t>'FINMO'!W61</t>
        </is>
      </c>
      <c r="E182" s="39">
        <f>'FINMO'!W61</f>
        <v/>
      </c>
      <c r="F182" s="39">
        <f>'Audit Source'!W59</f>
        <v/>
      </c>
      <c r="G182" s="39">
        <f>E182-F182</f>
        <v/>
      </c>
      <c r="H182" s="39" t="n">
        <v>1</v>
      </c>
      <c r="I182" s="40">
        <f>IF(ABS(G182)&lt;=H182,"MATCH","CHANGED")</f>
        <v/>
      </c>
      <c r="J18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166:J166"/>
    <mergeCell ref="A175:J175"/>
    <mergeCell ref="A41:J41"/>
  </mergeCells>
  <conditionalFormatting sqref="I7:I18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Harborview Kitchen &amp; Co.</t>
        </is>
      </c>
    </row>
    <row r="8">
      <c r="A8" s="45" t="inlineStr">
        <is>
          <t>Business Start Date</t>
        </is>
      </c>
      <c r="B8" s="46" t="inlineStr">
        <is>
          <t>8/5/2024</t>
        </is>
      </c>
    </row>
    <row r="9">
      <c r="A9" s="45" t="inlineStr">
        <is>
          <t>NAICS-6</t>
        </is>
      </c>
      <c r="B9" s="46" t="inlineStr">
        <is>
          <t>722511</t>
        </is>
      </c>
    </row>
    <row r="10">
      <c r="A10" s="45" t="inlineStr">
        <is>
          <t>Draft ID</t>
        </is>
      </c>
      <c r="B10" s="46" t="inlineStr">
        <is>
          <t>d583c149399540c596b446eeba1113fe</t>
        </is>
      </c>
    </row>
    <row r="11">
      <c r="A11" s="45" t="inlineStr">
        <is>
          <t>Planning Run ID</t>
        </is>
      </c>
      <c r="B11" s="46" t="inlineStr">
        <is>
          <t>aadf2c9b42514874b77c798a0964260b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14/16</t>
        </is>
      </c>
    </row>
    <row r="15">
      <c r="A15" s="45" t="inlineStr">
        <is>
          <t>Verdict</t>
        </is>
      </c>
      <c r="B15" s="46" t="inlineStr">
        <is>
          <t>FAILED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2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3" t="inlineStr">
        <is>
          <t>X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Harborview Kitchen &amp; Co. Financial Model</dc:title>
  <dc:subject>Client financial model workbook</dc:subject>
  <dcterms:created xsi:type="dcterms:W3CDTF">2026-05-20T06:51:57Z</dcterms:created>
  <dcterms:modified xsi:type="dcterms:W3CDTF">2026-05-20T06:51:58Z</dcterms:modified>
</cp:coreProperties>
</file>