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Schedule'!$A$26:$N$66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Individual IV session</t>
        </is>
      </c>
    </row>
    <row r="8">
      <c r="A8" s="8" t="inlineStr">
        <is>
          <t>Primary line of business / Individual IV session - Capacity</t>
        </is>
      </c>
      <c r="B8" s="8" t="inlineStr">
        <is>
          <t>Source driver</t>
        </is>
      </c>
      <c r="C8" s="9" t="n">
        <v>260</v>
      </c>
      <c r="D8" s="9" t="n">
        <v>293.49069</v>
      </c>
      <c r="E8" s="9" t="n">
        <v>293.49069</v>
      </c>
      <c r="F8" s="9" t="n">
        <v>293.49069</v>
      </c>
      <c r="G8" s="9" t="n">
        <v>293.49069</v>
      </c>
      <c r="H8" s="9" t="n">
        <v>293.49069</v>
      </c>
      <c r="I8" s="9" t="n">
        <v>293.49069</v>
      </c>
      <c r="J8" s="9" t="n">
        <v>293.49069</v>
      </c>
      <c r="K8" s="9" t="n">
        <v>293.49069</v>
      </c>
      <c r="L8" s="9" t="n">
        <v>293.49069</v>
      </c>
      <c r="M8" s="9" t="n">
        <v>293.49069</v>
      </c>
      <c r="N8" s="9" t="n">
        <v>293.49069</v>
      </c>
      <c r="O8" s="9" t="n">
        <v>293.49069</v>
      </c>
      <c r="P8" s="9" t="n">
        <v>293.49069</v>
      </c>
      <c r="Q8" s="9" t="n">
        <v>293.49069</v>
      </c>
      <c r="R8" s="9" t="n">
        <v>293.49069</v>
      </c>
      <c r="S8" s="9" t="n">
        <v>293.49069</v>
      </c>
      <c r="T8" s="9" t="n">
        <v>293.49069</v>
      </c>
      <c r="U8" s="9" t="n">
        <v>293.49069</v>
      </c>
      <c r="V8" s="9" t="n">
        <v>293.49069</v>
      </c>
      <c r="W8" s="9" t="n">
        <v>308.165224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Individual IV session - Unit Price</t>
        </is>
      </c>
      <c r="B9" s="8" t="inlineStr">
        <is>
          <t>Source driver</t>
        </is>
      </c>
      <c r="C9" s="11" t="n">
        <v>150</v>
      </c>
      <c r="D9" s="11" t="n">
        <v>150</v>
      </c>
      <c r="E9" s="11" t="n">
        <v>154</v>
      </c>
      <c r="F9" s="11" t="n">
        <v>158</v>
      </c>
      <c r="G9" s="11" t="n">
        <v>162</v>
      </c>
      <c r="H9" s="11" t="n">
        <v>166</v>
      </c>
      <c r="I9" s="11" t="n">
        <v>170</v>
      </c>
      <c r="J9" s="11" t="n">
        <v>174</v>
      </c>
      <c r="K9" s="11" t="n">
        <v>178</v>
      </c>
      <c r="L9" s="11" t="n">
        <v>182</v>
      </c>
      <c r="M9" s="11" t="n">
        <v>186</v>
      </c>
      <c r="N9" s="11" t="n">
        <v>190</v>
      </c>
      <c r="O9" s="11" t="n">
        <v>192.222222</v>
      </c>
      <c r="P9" s="11" t="n">
        <v>194.444444</v>
      </c>
      <c r="Q9" s="11" t="n">
        <v>196.666667</v>
      </c>
      <c r="R9" s="11" t="n">
        <v>198.888889</v>
      </c>
      <c r="S9" s="11" t="n">
        <v>201.111111</v>
      </c>
      <c r="T9" s="11" t="n">
        <v>203.333333</v>
      </c>
      <c r="U9" s="11" t="n">
        <v>205.555556</v>
      </c>
      <c r="V9" s="11" t="n">
        <v>207.777778</v>
      </c>
      <c r="W9" s="11" t="n">
        <v>210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Individual IV session - Utilization</t>
        </is>
      </c>
      <c r="B10" s="8" t="inlineStr">
        <is>
          <t>Source driver</t>
        </is>
      </c>
      <c r="C10" s="13" t="n">
        <v>0.7</v>
      </c>
      <c r="D10" s="13" t="n">
        <v>0.7</v>
      </c>
      <c r="E10" s="13" t="n">
        <v>0.714</v>
      </c>
      <c r="F10" s="13" t="n">
        <v>0.728</v>
      </c>
      <c r="G10" s="13" t="n">
        <v>0.742</v>
      </c>
      <c r="H10" s="13" t="n">
        <v>0.756</v>
      </c>
      <c r="I10" s="13" t="n">
        <v>0.77</v>
      </c>
      <c r="J10" s="13" t="n">
        <v>0.784</v>
      </c>
      <c r="K10" s="13" t="n">
        <v>0.798</v>
      </c>
      <c r="L10" s="13" t="n">
        <v>0.8120000000000001</v>
      </c>
      <c r="M10" s="13" t="n">
        <v>0.826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Individual IV session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7" t="inlineStr">
        <is>
          <t>Primary line of business / Monthly IV membership</t>
        </is>
      </c>
    </row>
    <row r="14">
      <c r="A14" s="8" t="inlineStr">
        <is>
          <t>Primary line of business / Monthly IV membership - Capacity</t>
        </is>
      </c>
      <c r="B14" s="8" t="inlineStr">
        <is>
          <t>Source driver</t>
        </is>
      </c>
      <c r="C14" s="9" t="n">
        <v>60</v>
      </c>
      <c r="D14" s="9" t="n">
        <v>67.728621</v>
      </c>
      <c r="E14" s="9" t="n">
        <v>67.728621</v>
      </c>
      <c r="F14" s="9" t="n">
        <v>67.728621</v>
      </c>
      <c r="G14" s="9" t="n">
        <v>67.728621</v>
      </c>
      <c r="H14" s="9" t="n">
        <v>67.728621</v>
      </c>
      <c r="I14" s="9" t="n">
        <v>67.728621</v>
      </c>
      <c r="J14" s="9" t="n">
        <v>67.728621</v>
      </c>
      <c r="K14" s="9" t="n">
        <v>67.728621</v>
      </c>
      <c r="L14" s="9" t="n">
        <v>67.728621</v>
      </c>
      <c r="M14" s="9" t="n">
        <v>67.728621</v>
      </c>
      <c r="N14" s="9" t="n">
        <v>67.728621</v>
      </c>
      <c r="O14" s="9" t="n">
        <v>67.728621</v>
      </c>
      <c r="P14" s="9" t="n">
        <v>67.728621</v>
      </c>
      <c r="Q14" s="9" t="n">
        <v>67.728621</v>
      </c>
      <c r="R14" s="9" t="n">
        <v>67.728621</v>
      </c>
      <c r="S14" s="9" t="n">
        <v>67.728621</v>
      </c>
      <c r="T14" s="9" t="n">
        <v>67.728621</v>
      </c>
      <c r="U14" s="9" t="n">
        <v>67.728621</v>
      </c>
      <c r="V14" s="9" t="n">
        <v>67.728621</v>
      </c>
      <c r="W14" s="9" t="n">
        <v>71.11505200000001</v>
      </c>
      <c r="X14" s="10" t="n"/>
      <c r="Y14" s="10" t="n"/>
      <c r="Z14" s="10" t="n"/>
      <c r="AA14" s="10" t="n"/>
      <c r="AB14" s="10" t="n"/>
    </row>
    <row r="15">
      <c r="A15" s="8" t="inlineStr">
        <is>
          <t>Primary line of business / Monthly IV membership - Unit Price</t>
        </is>
      </c>
      <c r="B15" s="8" t="inlineStr">
        <is>
          <t>Source driver</t>
        </is>
      </c>
      <c r="C15" s="11" t="n">
        <v>400</v>
      </c>
      <c r="D15" s="11" t="n">
        <v>150</v>
      </c>
      <c r="E15" s="11" t="n">
        <v>154</v>
      </c>
      <c r="F15" s="11" t="n">
        <v>158</v>
      </c>
      <c r="G15" s="11" t="n">
        <v>162</v>
      </c>
      <c r="H15" s="11" t="n">
        <v>166</v>
      </c>
      <c r="I15" s="11" t="n">
        <v>170</v>
      </c>
      <c r="J15" s="11" t="n">
        <v>174</v>
      </c>
      <c r="K15" s="11" t="n">
        <v>178</v>
      </c>
      <c r="L15" s="11" t="n">
        <v>182</v>
      </c>
      <c r="M15" s="11" t="n">
        <v>186</v>
      </c>
      <c r="N15" s="11" t="n">
        <v>190</v>
      </c>
      <c r="O15" s="11" t="n">
        <v>192.222222</v>
      </c>
      <c r="P15" s="11" t="n">
        <v>194.444444</v>
      </c>
      <c r="Q15" s="11" t="n">
        <v>196.666667</v>
      </c>
      <c r="R15" s="11" t="n">
        <v>198.888889</v>
      </c>
      <c r="S15" s="11" t="n">
        <v>201.111111</v>
      </c>
      <c r="T15" s="11" t="n">
        <v>203.333333</v>
      </c>
      <c r="U15" s="11" t="n">
        <v>205.555556</v>
      </c>
      <c r="V15" s="11" t="n">
        <v>207.777778</v>
      </c>
      <c r="W15" s="11" t="n">
        <v>210</v>
      </c>
      <c r="X15" s="12" t="n"/>
      <c r="Y15" s="12" t="n"/>
      <c r="Z15" s="12" t="n"/>
      <c r="AA15" s="12" t="n"/>
      <c r="AB15" s="12" t="n"/>
    </row>
    <row r="16">
      <c r="A16" s="8" t="inlineStr">
        <is>
          <t>Primary line of business / Monthly IV membership - Utilization</t>
        </is>
      </c>
      <c r="B16" s="8" t="inlineStr">
        <is>
          <t>Source driver</t>
        </is>
      </c>
      <c r="C16" s="13" t="n">
        <v>0.5</v>
      </c>
      <c r="D16" s="13" t="n">
        <v>0.7</v>
      </c>
      <c r="E16" s="13" t="n">
        <v>0.714</v>
      </c>
      <c r="F16" s="13" t="n">
        <v>0.728</v>
      </c>
      <c r="G16" s="13" t="n">
        <v>0.742</v>
      </c>
      <c r="H16" s="13" t="n">
        <v>0.756</v>
      </c>
      <c r="I16" s="13" t="n">
        <v>0.77</v>
      </c>
      <c r="J16" s="13" t="n">
        <v>0.784</v>
      </c>
      <c r="K16" s="13" t="n">
        <v>0.798</v>
      </c>
      <c r="L16" s="13" t="n">
        <v>0.8120000000000001</v>
      </c>
      <c r="M16" s="13" t="n">
        <v>0.826</v>
      </c>
      <c r="N16" s="13" t="n">
        <v>0.84</v>
      </c>
      <c r="O16" s="13" t="n">
        <v>0.84</v>
      </c>
      <c r="P16" s="13" t="n">
        <v>0.84</v>
      </c>
      <c r="Q16" s="13" t="n">
        <v>0.84</v>
      </c>
      <c r="R16" s="13" t="n">
        <v>0.84</v>
      </c>
      <c r="S16" s="13" t="n">
        <v>0.84</v>
      </c>
      <c r="T16" s="13" t="n">
        <v>0.84</v>
      </c>
      <c r="U16" s="13" t="n">
        <v>0.84</v>
      </c>
      <c r="V16" s="13" t="n">
        <v>0.84</v>
      </c>
      <c r="W16" s="13" t="n">
        <v>0.84</v>
      </c>
      <c r="X16" s="14" t="n"/>
      <c r="Y16" s="14" t="n"/>
      <c r="Z16" s="14" t="n"/>
      <c r="AA16" s="14" t="n"/>
      <c r="AB16" s="14" t="n"/>
    </row>
    <row r="17">
      <c r="A17" s="15" t="inlineStr">
        <is>
          <t>Primary line of business / Monthly IV membership - Revenue</t>
        </is>
      </c>
      <c r="B17" s="15" t="inlineStr">
        <is>
          <t>Capacity x Unit Price x Utilization</t>
        </is>
      </c>
      <c r="C17" s="16">
        <f>C14*C15*C16</f>
        <v/>
      </c>
      <c r="D17" s="16">
        <f>D14*D15*D16</f>
        <v/>
      </c>
      <c r="E17" s="16">
        <f>E14*E15*E16</f>
        <v/>
      </c>
      <c r="F17" s="16">
        <f>F14*F15*F16</f>
        <v/>
      </c>
      <c r="G17" s="16">
        <f>G14*G15*G16</f>
        <v/>
      </c>
      <c r="H17" s="16">
        <f>H14*H15*H16</f>
        <v/>
      </c>
      <c r="I17" s="16">
        <f>I14*I15*I16</f>
        <v/>
      </c>
      <c r="J17" s="16">
        <f>J14*J15*J16</f>
        <v/>
      </c>
      <c r="K17" s="16">
        <f>K14*K15*K16</f>
        <v/>
      </c>
      <c r="L17" s="16">
        <f>L14*L15*L16</f>
        <v/>
      </c>
      <c r="M17" s="16">
        <f>M14*M15*M16</f>
        <v/>
      </c>
      <c r="N17" s="16">
        <f>N14*N15*N16</f>
        <v/>
      </c>
      <c r="O17" s="16">
        <f>O14*O15*O16</f>
        <v/>
      </c>
      <c r="P17" s="16">
        <f>P14*P15*P16</f>
        <v/>
      </c>
      <c r="Q17" s="16">
        <f>Q14*Q15*Q16</f>
        <v/>
      </c>
      <c r="R17" s="16">
        <f>R14*R15*R16</f>
        <v/>
      </c>
      <c r="S17" s="16">
        <f>S14*S15*S16</f>
        <v/>
      </c>
      <c r="T17" s="16">
        <f>T14*T15*T16</f>
        <v/>
      </c>
      <c r="U17" s="16">
        <f>U14*U15*U16</f>
        <v/>
      </c>
      <c r="V17" s="16">
        <f>V14*V15*V16</f>
        <v/>
      </c>
      <c r="W17" s="16">
        <f>W14*W15*W16</f>
        <v/>
      </c>
      <c r="X17" s="16">
        <f>SUM(D17:G17)</f>
        <v/>
      </c>
      <c r="Y17" s="16">
        <f>SUM(H17:K17)</f>
        <v/>
      </c>
      <c r="Z17" s="16">
        <f>SUM(L17:O17)</f>
        <v/>
      </c>
      <c r="AA17" s="16">
        <f>SUM(P17:S17)</f>
        <v/>
      </c>
      <c r="AB17" s="16">
        <f>SUM(T17:W17)</f>
        <v/>
      </c>
    </row>
    <row r="19">
      <c r="A19" s="7" t="inlineStr">
        <is>
          <t>Primary line of business / Retail wellness products</t>
        </is>
      </c>
    </row>
    <row r="20">
      <c r="A20" s="8" t="inlineStr">
        <is>
          <t>Primary line of business / Retail wellness products - Capacity</t>
        </is>
      </c>
      <c r="B20" s="8" t="inlineStr">
        <is>
          <t>Source driver</t>
        </is>
      </c>
      <c r="C20" s="9" t="n">
        <v>260</v>
      </c>
      <c r="D20" s="9" t="n">
        <v>293.49069</v>
      </c>
      <c r="E20" s="9" t="n">
        <v>293.49069</v>
      </c>
      <c r="F20" s="9" t="n">
        <v>293.49069</v>
      </c>
      <c r="G20" s="9" t="n">
        <v>293.49069</v>
      </c>
      <c r="H20" s="9" t="n">
        <v>293.49069</v>
      </c>
      <c r="I20" s="9" t="n">
        <v>293.49069</v>
      </c>
      <c r="J20" s="9" t="n">
        <v>293.49069</v>
      </c>
      <c r="K20" s="9" t="n">
        <v>293.49069</v>
      </c>
      <c r="L20" s="9" t="n">
        <v>293.49069</v>
      </c>
      <c r="M20" s="9" t="n">
        <v>293.49069</v>
      </c>
      <c r="N20" s="9" t="n">
        <v>293.49069</v>
      </c>
      <c r="O20" s="9" t="n">
        <v>293.49069</v>
      </c>
      <c r="P20" s="9" t="n">
        <v>293.49069</v>
      </c>
      <c r="Q20" s="9" t="n">
        <v>293.49069</v>
      </c>
      <c r="R20" s="9" t="n">
        <v>293.49069</v>
      </c>
      <c r="S20" s="9" t="n">
        <v>293.49069</v>
      </c>
      <c r="T20" s="9" t="n">
        <v>293.49069</v>
      </c>
      <c r="U20" s="9" t="n">
        <v>293.49069</v>
      </c>
      <c r="V20" s="9" t="n">
        <v>293.49069</v>
      </c>
      <c r="W20" s="9" t="n">
        <v>308.165224</v>
      </c>
      <c r="X20" s="10" t="n"/>
      <c r="Y20" s="10" t="n"/>
      <c r="Z20" s="10" t="n"/>
      <c r="AA20" s="10" t="n"/>
      <c r="AB20" s="10" t="n"/>
    </row>
    <row r="21">
      <c r="A21" s="8" t="inlineStr">
        <is>
          <t>Primary line of business / Retail wellness products - Unit Price</t>
        </is>
      </c>
      <c r="B21" s="8" t="inlineStr">
        <is>
          <t>Source driver</t>
        </is>
      </c>
      <c r="C21" s="11" t="n">
        <v>20</v>
      </c>
      <c r="D21" s="11" t="n">
        <v>150</v>
      </c>
      <c r="E21" s="11" t="n">
        <v>154</v>
      </c>
      <c r="F21" s="11" t="n">
        <v>158</v>
      </c>
      <c r="G21" s="11" t="n">
        <v>162</v>
      </c>
      <c r="H21" s="11" t="n">
        <v>166</v>
      </c>
      <c r="I21" s="11" t="n">
        <v>170</v>
      </c>
      <c r="J21" s="11" t="n">
        <v>174</v>
      </c>
      <c r="K21" s="11" t="n">
        <v>178</v>
      </c>
      <c r="L21" s="11" t="n">
        <v>182</v>
      </c>
      <c r="M21" s="11" t="n">
        <v>186</v>
      </c>
      <c r="N21" s="11" t="n">
        <v>190</v>
      </c>
      <c r="O21" s="11" t="n">
        <v>192.222222</v>
      </c>
      <c r="P21" s="11" t="n">
        <v>194.444444</v>
      </c>
      <c r="Q21" s="11" t="n">
        <v>196.666667</v>
      </c>
      <c r="R21" s="11" t="n">
        <v>198.888889</v>
      </c>
      <c r="S21" s="11" t="n">
        <v>201.111111</v>
      </c>
      <c r="T21" s="11" t="n">
        <v>203.333333</v>
      </c>
      <c r="U21" s="11" t="n">
        <v>205.555556</v>
      </c>
      <c r="V21" s="11" t="n">
        <v>207.777778</v>
      </c>
      <c r="W21" s="11" t="n">
        <v>210</v>
      </c>
      <c r="X21" s="12" t="n"/>
      <c r="Y21" s="12" t="n"/>
      <c r="Z21" s="12" t="n"/>
      <c r="AA21" s="12" t="n"/>
      <c r="AB21" s="12" t="n"/>
    </row>
    <row r="22">
      <c r="A22" s="8" t="inlineStr">
        <is>
          <t>Primary line of business / Retail wellness products - Utilization</t>
        </is>
      </c>
      <c r="B22" s="8" t="inlineStr">
        <is>
          <t>Source driver</t>
        </is>
      </c>
      <c r="C22" s="13" t="n">
        <v>0</v>
      </c>
      <c r="D22" s="13" t="n">
        <v>0.7</v>
      </c>
      <c r="E22" s="13" t="n">
        <v>0.714</v>
      </c>
      <c r="F22" s="13" t="n">
        <v>0.728</v>
      </c>
      <c r="G22" s="13" t="n">
        <v>0.742</v>
      </c>
      <c r="H22" s="13" t="n">
        <v>0.756</v>
      </c>
      <c r="I22" s="13" t="n">
        <v>0.77</v>
      </c>
      <c r="J22" s="13" t="n">
        <v>0.784</v>
      </c>
      <c r="K22" s="13" t="n">
        <v>0.798</v>
      </c>
      <c r="L22" s="13" t="n">
        <v>0.8120000000000001</v>
      </c>
      <c r="M22" s="13" t="n">
        <v>0.826</v>
      </c>
      <c r="N22" s="13" t="n">
        <v>0.84</v>
      </c>
      <c r="O22" s="13" t="n">
        <v>0.84</v>
      </c>
      <c r="P22" s="13" t="n">
        <v>0.84</v>
      </c>
      <c r="Q22" s="13" t="n">
        <v>0.84</v>
      </c>
      <c r="R22" s="13" t="n">
        <v>0.84</v>
      </c>
      <c r="S22" s="13" t="n">
        <v>0.84</v>
      </c>
      <c r="T22" s="13" t="n">
        <v>0.84</v>
      </c>
      <c r="U22" s="13" t="n">
        <v>0.84</v>
      </c>
      <c r="V22" s="13" t="n">
        <v>0.84</v>
      </c>
      <c r="W22" s="13" t="n">
        <v>0.84</v>
      </c>
      <c r="X22" s="14" t="n"/>
      <c r="Y22" s="14" t="n"/>
      <c r="Z22" s="14" t="n"/>
      <c r="AA22" s="14" t="n"/>
      <c r="AB22" s="14" t="n"/>
    </row>
    <row r="23">
      <c r="A23" s="15" t="inlineStr">
        <is>
          <t>Primary line of business / Retail wellness products - Revenue</t>
        </is>
      </c>
      <c r="B23" s="15" t="inlineStr">
        <is>
          <t>Capacity x Unit Price x Utilization</t>
        </is>
      </c>
      <c r="C23" s="16">
        <f>C20*C21*C22</f>
        <v/>
      </c>
      <c r="D23" s="16">
        <f>D20*D21*D22</f>
        <v/>
      </c>
      <c r="E23" s="16">
        <f>E20*E21*E22</f>
        <v/>
      </c>
      <c r="F23" s="16">
        <f>F20*F21*F22</f>
        <v/>
      </c>
      <c r="G23" s="16">
        <f>G20*G21*G22</f>
        <v/>
      </c>
      <c r="H23" s="16">
        <f>H20*H21*H22</f>
        <v/>
      </c>
      <c r="I23" s="16">
        <f>I20*I21*I22</f>
        <v/>
      </c>
      <c r="J23" s="16">
        <f>J20*J21*J22</f>
        <v/>
      </c>
      <c r="K23" s="16">
        <f>K20*K21*K22</f>
        <v/>
      </c>
      <c r="L23" s="16">
        <f>L20*L21*L22</f>
        <v/>
      </c>
      <c r="M23" s="16">
        <f>M20*M21*M22</f>
        <v/>
      </c>
      <c r="N23" s="16">
        <f>N20*N21*N22</f>
        <v/>
      </c>
      <c r="O23" s="16">
        <f>O20*O21*O22</f>
        <v/>
      </c>
      <c r="P23" s="16">
        <f>P20*P21*P22</f>
        <v/>
      </c>
      <c r="Q23" s="16">
        <f>Q20*Q21*Q22</f>
        <v/>
      </c>
      <c r="R23" s="16">
        <f>R20*R21*R22</f>
        <v/>
      </c>
      <c r="S23" s="16">
        <f>S20*S21*S22</f>
        <v/>
      </c>
      <c r="T23" s="16">
        <f>T20*T21*T22</f>
        <v/>
      </c>
      <c r="U23" s="16">
        <f>U20*U21*U22</f>
        <v/>
      </c>
      <c r="V23" s="16">
        <f>V20*V21*V22</f>
        <v/>
      </c>
      <c r="W23" s="16">
        <f>W20*W21*W22</f>
        <v/>
      </c>
      <c r="X23" s="16">
        <f>SUM(D23:G23)</f>
        <v/>
      </c>
      <c r="Y23" s="16">
        <f>SUM(H23:K23)</f>
        <v/>
      </c>
      <c r="Z23" s="16">
        <f>SUM(L23:O23)</f>
        <v/>
      </c>
      <c r="AA23" s="16">
        <f>SUM(P23:S23)</f>
        <v/>
      </c>
      <c r="AB23" s="16">
        <f>SUM(T23:W23)</f>
        <v/>
      </c>
    </row>
    <row r="25">
      <c r="A25" s="17" t="inlineStr">
        <is>
          <t>Total Capacity Units</t>
        </is>
      </c>
      <c r="B25" s="17" t="inlineStr">
        <is>
          <t>All revenue driver capacity units</t>
        </is>
      </c>
      <c r="C25" s="18">
        <f>SUM(C8,C14,C20)</f>
        <v/>
      </c>
      <c r="D25" s="18">
        <f>SUM(D8,D14,D20)</f>
        <v/>
      </c>
      <c r="E25" s="18">
        <f>SUM(E8,E14,E20)</f>
        <v/>
      </c>
      <c r="F25" s="18">
        <f>SUM(F8,F14,F20)</f>
        <v/>
      </c>
      <c r="G25" s="18">
        <f>SUM(G8,G14,G20)</f>
        <v/>
      </c>
      <c r="H25" s="18">
        <f>SUM(H8,H14,H20)</f>
        <v/>
      </c>
      <c r="I25" s="18">
        <f>SUM(I8,I14,I20)</f>
        <v/>
      </c>
      <c r="J25" s="18">
        <f>SUM(J8,J14,J20)</f>
        <v/>
      </c>
      <c r="K25" s="18">
        <f>SUM(K8,K14,K20)</f>
        <v/>
      </c>
      <c r="L25" s="18">
        <f>SUM(L8,L14,L20)</f>
        <v/>
      </c>
      <c r="M25" s="18">
        <f>SUM(M8,M14,M20)</f>
        <v/>
      </c>
      <c r="N25" s="18">
        <f>SUM(N8,N14,N20)</f>
        <v/>
      </c>
      <c r="O25" s="18">
        <f>SUM(O8,O14,O20)</f>
        <v/>
      </c>
      <c r="P25" s="18">
        <f>SUM(P8,P14,P20)</f>
        <v/>
      </c>
      <c r="Q25" s="18">
        <f>SUM(Q8,Q14,Q20)</f>
        <v/>
      </c>
      <c r="R25" s="18">
        <f>SUM(R8,R14,R20)</f>
        <v/>
      </c>
      <c r="S25" s="18">
        <f>SUM(S8,S14,S20)</f>
        <v/>
      </c>
      <c r="T25" s="18">
        <f>SUM(T8,T14,T20)</f>
        <v/>
      </c>
      <c r="U25" s="18">
        <f>SUM(U8,U14,U20)</f>
        <v/>
      </c>
      <c r="V25" s="18">
        <f>SUM(V8,V14,V20)</f>
        <v/>
      </c>
      <c r="W25" s="18">
        <f>SUM(W8,W14,W20)</f>
        <v/>
      </c>
      <c r="X25" s="18">
        <f>SUM(D25:G25)</f>
        <v/>
      </c>
      <c r="Y25" s="18">
        <f>SUM(H25:K25)</f>
        <v/>
      </c>
      <c r="Z25" s="18">
        <f>SUM(L25:O25)</f>
        <v/>
      </c>
      <c r="AA25" s="18">
        <f>SUM(P25:S25)</f>
        <v/>
      </c>
      <c r="AB25" s="18">
        <f>SUM(T25:W25)</f>
        <v/>
      </c>
    </row>
    <row r="26">
      <c r="A26" s="19" t="inlineStr">
        <is>
          <t>Total Revenue</t>
        </is>
      </c>
      <c r="B26" s="19" t="inlineStr">
        <is>
          <t>All revenue products</t>
        </is>
      </c>
      <c r="C26" s="20">
        <f>SUM(C11,C17,C23)</f>
        <v/>
      </c>
      <c r="D26" s="20">
        <f>SUM(D11,D17,D23)</f>
        <v/>
      </c>
      <c r="E26" s="20">
        <f>SUM(E11,E17,E23)</f>
        <v/>
      </c>
      <c r="F26" s="20">
        <f>SUM(F11,F17,F23)</f>
        <v/>
      </c>
      <c r="G26" s="20">
        <f>SUM(G11,G17,G23)</f>
        <v/>
      </c>
      <c r="H26" s="20">
        <f>SUM(H11,H17,H23)</f>
        <v/>
      </c>
      <c r="I26" s="20">
        <f>SUM(I11,I17,I23)</f>
        <v/>
      </c>
      <c r="J26" s="20">
        <f>SUM(J11,J17,J23)</f>
        <v/>
      </c>
      <c r="K26" s="20">
        <f>SUM(K11,K17,K23)</f>
        <v/>
      </c>
      <c r="L26" s="20">
        <f>SUM(L11,L17,L23)</f>
        <v/>
      </c>
      <c r="M26" s="20">
        <f>SUM(M11,M17,M23)</f>
        <v/>
      </c>
      <c r="N26" s="20">
        <f>SUM(N11,N17,N23)</f>
        <v/>
      </c>
      <c r="O26" s="20">
        <f>SUM(O11,O17,O23)</f>
        <v/>
      </c>
      <c r="P26" s="20">
        <f>SUM(P11,P17,P23)</f>
        <v/>
      </c>
      <c r="Q26" s="20">
        <f>SUM(Q11,Q17,Q23)</f>
        <v/>
      </c>
      <c r="R26" s="20">
        <f>SUM(R11,R17,R23)</f>
        <v/>
      </c>
      <c r="S26" s="20">
        <f>SUM(S11,S17,S23)</f>
        <v/>
      </c>
      <c r="T26" s="20">
        <f>SUM(T11,T17,T23)</f>
        <v/>
      </c>
      <c r="U26" s="20">
        <f>SUM(U11,U17,U23)</f>
        <v/>
      </c>
      <c r="V26" s="20">
        <f>SUM(V11,V17,V23)</f>
        <v/>
      </c>
      <c r="W26" s="20">
        <f>SUM(W11,W17,W23)</f>
        <v/>
      </c>
      <c r="X26" s="20">
        <f>SUM(D26:G26)</f>
        <v/>
      </c>
      <c r="Y26" s="20">
        <f>SUM(H26:K26)</f>
        <v/>
      </c>
      <c r="Z26" s="20">
        <f>SUM(L26:O26)</f>
        <v/>
      </c>
      <c r="AA26" s="20">
        <f>SUM(P26:S26)</f>
        <v/>
      </c>
      <c r="AB26" s="20">
        <f>SUM(T26:W26)</f>
        <v/>
      </c>
    </row>
    <row r="28">
      <c r="A28" s="7" t="inlineStr">
        <is>
          <t>Stage Ramp Contract</t>
        </is>
      </c>
    </row>
    <row r="29">
      <c r="A29" s="21" t="inlineStr">
        <is>
          <t>Actual Revenue QoQ Growth</t>
        </is>
      </c>
      <c r="B29" s="21" t="inlineStr">
        <is>
          <t>Total revenue growth from modeled revenue drivers</t>
        </is>
      </c>
      <c r="C29" s="22">
        <f>0</f>
        <v/>
      </c>
      <c r="D29" s="22">
        <f>IFERROR(D26/C26-1,0)</f>
        <v/>
      </c>
      <c r="E29" s="22">
        <f>IFERROR(E26/D26-1,0)</f>
        <v/>
      </c>
      <c r="F29" s="22">
        <f>IFERROR(F26/E26-1,0)</f>
        <v/>
      </c>
      <c r="G29" s="22">
        <f>IFERROR(G26/F26-1,0)</f>
        <v/>
      </c>
      <c r="H29" s="22">
        <f>IFERROR(H26/G26-1,0)</f>
        <v/>
      </c>
      <c r="I29" s="22">
        <f>IFERROR(I26/H26-1,0)</f>
        <v/>
      </c>
      <c r="J29" s="22">
        <f>IFERROR(J26/I26-1,0)</f>
        <v/>
      </c>
      <c r="K29" s="22">
        <f>IFERROR(K26/J26-1,0)</f>
        <v/>
      </c>
      <c r="L29" s="22">
        <f>IFERROR(L26/K26-1,0)</f>
        <v/>
      </c>
      <c r="M29" s="22">
        <f>IFERROR(M26/L26-1,0)</f>
        <v/>
      </c>
      <c r="N29" s="22">
        <f>IFERROR(N26/M26-1,0)</f>
        <v/>
      </c>
      <c r="O29" s="22">
        <f>IFERROR(O26/N26-1,0)</f>
        <v/>
      </c>
      <c r="P29" s="22">
        <f>IFERROR(P26/O26-1,0)</f>
        <v/>
      </c>
      <c r="Q29" s="22">
        <f>IFERROR(Q26/P26-1,0)</f>
        <v/>
      </c>
      <c r="R29" s="22">
        <f>IFERROR(R26/Q26-1,0)</f>
        <v/>
      </c>
      <c r="S29" s="22">
        <f>IFERROR(S26/R26-1,0)</f>
        <v/>
      </c>
      <c r="T29" s="22">
        <f>IFERROR(T26/S26-1,0)</f>
        <v/>
      </c>
      <c r="U29" s="22">
        <f>IFERROR(U26/T26-1,0)</f>
        <v/>
      </c>
      <c r="V29" s="22">
        <f>IFERROR(V26/U26-1,0)</f>
        <v/>
      </c>
      <c r="W29" s="22">
        <f>IFERROR(W26/V26-1,0)</f>
        <v/>
      </c>
      <c r="X29" s="22">
        <f>AVERAGE(D29:G29)</f>
        <v/>
      </c>
      <c r="Y29" s="22">
        <f>AVERAGE(H29:K29)</f>
        <v/>
      </c>
      <c r="Z29" s="22">
        <f>AVERAGE(L29:O29)</f>
        <v/>
      </c>
      <c r="AA29" s="22">
        <f>AVERAGE(P29:S29)</f>
        <v/>
      </c>
      <c r="AB29" s="22">
        <f>AVERAGE(T29:W29)</f>
        <v/>
      </c>
    </row>
    <row r="30">
      <c r="A30" s="8" t="inlineStr">
        <is>
          <t>Stage Ramp Revenue QoQ Target</t>
        </is>
      </c>
      <c r="B30" s="8" t="inlineStr">
        <is>
          <t>GPT-selected stage ramp contract</t>
        </is>
      </c>
      <c r="C30" s="13" t="n">
        <v>0</v>
      </c>
      <c r="D30" s="13" t="n">
        <v>0.02</v>
      </c>
      <c r="E30" s="13" t="n">
        <v>0.02</v>
      </c>
      <c r="F30" s="13" t="n">
        <v>0.02</v>
      </c>
      <c r="G30" s="13" t="n">
        <v>0.02</v>
      </c>
      <c r="H30" s="13" t="n">
        <v>0.02</v>
      </c>
      <c r="I30" s="13" t="n">
        <v>0.02</v>
      </c>
      <c r="J30" s="13" t="n">
        <v>0.02</v>
      </c>
      <c r="K30" s="13" t="n">
        <v>0.02</v>
      </c>
      <c r="L30" s="13" t="n">
        <v>0.02</v>
      </c>
      <c r="M30" s="13" t="n">
        <v>0.02</v>
      </c>
      <c r="N30" s="13" t="n">
        <v>0.02</v>
      </c>
      <c r="O30" s="13" t="n">
        <v>0.02</v>
      </c>
      <c r="P30" s="13" t="n">
        <v>0.02</v>
      </c>
      <c r="Q30" s="13" t="n">
        <v>0.02</v>
      </c>
      <c r="R30" s="13" t="n">
        <v>0.02</v>
      </c>
      <c r="S30" s="13" t="n">
        <v>0.02</v>
      </c>
      <c r="T30" s="13" t="n">
        <v>0.02</v>
      </c>
      <c r="U30" s="13" t="n">
        <v>0.02</v>
      </c>
      <c r="V30" s="13" t="n">
        <v>0.02</v>
      </c>
      <c r="W30" s="13" t="n">
        <v>0.02</v>
      </c>
      <c r="X30" s="14">
        <f>AVERAGE(D30:G30)</f>
        <v/>
      </c>
      <c r="Y30" s="14">
        <f>AVERAGE(H30:K30)</f>
        <v/>
      </c>
      <c r="Z30" s="14">
        <f>AVERAGE(L30:O30)</f>
        <v/>
      </c>
      <c r="AA30" s="14">
        <f>AVERAGE(P30:S30)</f>
        <v/>
      </c>
      <c r="AB30" s="14">
        <f>AVERAGE(T30:W30)</f>
        <v/>
      </c>
    </row>
    <row r="31">
      <c r="A31" s="8" t="inlineStr">
        <is>
          <t>Stage Ramp Revenue QoQ Max</t>
        </is>
      </c>
      <c r="B31" s="8" t="inlineStr">
        <is>
          <t>GPT-selected stage ramp contract</t>
        </is>
      </c>
      <c r="C31" s="13" t="n">
        <v>0</v>
      </c>
      <c r="D31" s="13" t="n">
        <v>0.07000000000000001</v>
      </c>
      <c r="E31" s="13" t="n">
        <v>0.07000000000000001</v>
      </c>
      <c r="F31" s="13" t="n">
        <v>0.07000000000000001</v>
      </c>
      <c r="G31" s="13" t="n">
        <v>0.07000000000000001</v>
      </c>
      <c r="H31" s="13" t="n">
        <v>0.07000000000000001</v>
      </c>
      <c r="I31" s="13" t="n">
        <v>0.07000000000000001</v>
      </c>
      <c r="J31" s="13" t="n">
        <v>0.07000000000000001</v>
      </c>
      <c r="K31" s="13" t="n">
        <v>0.07000000000000001</v>
      </c>
      <c r="L31" s="13" t="n">
        <v>0.07000000000000001</v>
      </c>
      <c r="M31" s="13" t="n">
        <v>0.07000000000000001</v>
      </c>
      <c r="N31" s="13" t="n">
        <v>0.07000000000000001</v>
      </c>
      <c r="O31" s="13" t="n">
        <v>0.07000000000000001</v>
      </c>
      <c r="P31" s="13" t="n">
        <v>0.07000000000000001</v>
      </c>
      <c r="Q31" s="13" t="n">
        <v>0.07000000000000001</v>
      </c>
      <c r="R31" s="13" t="n">
        <v>0.07000000000000001</v>
      </c>
      <c r="S31" s="13" t="n">
        <v>0.07000000000000001</v>
      </c>
      <c r="T31" s="13" t="n">
        <v>0.07000000000000001</v>
      </c>
      <c r="U31" s="13" t="n">
        <v>0.07000000000000001</v>
      </c>
      <c r="V31" s="13" t="n">
        <v>0.07000000000000001</v>
      </c>
      <c r="W31" s="13" t="n">
        <v>0.07000000000000001</v>
      </c>
      <c r="X31" s="14">
        <f>AVERAGE(D31:G31)</f>
        <v/>
      </c>
      <c r="Y31" s="14">
        <f>AVERAGE(H31:K31)</f>
        <v/>
      </c>
      <c r="Z31" s="14">
        <f>AVERAGE(L31:O31)</f>
        <v/>
      </c>
      <c r="AA31" s="14">
        <f>AVERAGE(P31:S31)</f>
        <v/>
      </c>
      <c r="AB31" s="14">
        <f>AVERAGE(T31:W31)</f>
        <v/>
      </c>
    </row>
    <row r="32">
      <c r="A32" s="8" t="inlineStr">
        <is>
          <t>Stage Ramp Revenue QoQ Spike Max</t>
        </is>
      </c>
      <c r="B32" s="8" t="inlineStr">
        <is>
          <t>GPT-selected stage ramp contract</t>
        </is>
      </c>
      <c r="C32" s="13" t="n">
        <v>0</v>
      </c>
      <c r="D32" s="13" t="n">
        <v>0.07000000000000001</v>
      </c>
      <c r="E32" s="13" t="n">
        <v>0.07000000000000001</v>
      </c>
      <c r="F32" s="13" t="n">
        <v>0.07000000000000001</v>
      </c>
      <c r="G32" s="13" t="n">
        <v>0.07000000000000001</v>
      </c>
      <c r="H32" s="13" t="n">
        <v>0.07000000000000001</v>
      </c>
      <c r="I32" s="13" t="n">
        <v>0.07000000000000001</v>
      </c>
      <c r="J32" s="13" t="n">
        <v>0.07000000000000001</v>
      </c>
      <c r="K32" s="13" t="n">
        <v>0.07000000000000001</v>
      </c>
      <c r="L32" s="13" t="n">
        <v>0.07000000000000001</v>
      </c>
      <c r="M32" s="13" t="n">
        <v>0.07000000000000001</v>
      </c>
      <c r="N32" s="13" t="n">
        <v>0.07000000000000001</v>
      </c>
      <c r="O32" s="13" t="n">
        <v>0.07000000000000001</v>
      </c>
      <c r="P32" s="13" t="n">
        <v>0.07000000000000001</v>
      </c>
      <c r="Q32" s="13" t="n">
        <v>0.07000000000000001</v>
      </c>
      <c r="R32" s="13" t="n">
        <v>0.07000000000000001</v>
      </c>
      <c r="S32" s="13" t="n">
        <v>0.07000000000000001</v>
      </c>
      <c r="T32" s="13" t="n">
        <v>0.07000000000000001</v>
      </c>
      <c r="U32" s="13" t="n">
        <v>0.07000000000000001</v>
      </c>
      <c r="V32" s="13" t="n">
        <v>0.07000000000000001</v>
      </c>
      <c r="W32" s="13" t="n">
        <v>0.07000000000000001</v>
      </c>
      <c r="X32" s="14">
        <f>AVERAGE(D32:G32)</f>
        <v/>
      </c>
      <c r="Y32" s="14">
        <f>AVERAGE(H32:K32)</f>
        <v/>
      </c>
      <c r="Z32" s="14">
        <f>AVERAGE(L32:O32)</f>
        <v/>
      </c>
      <c r="AA32" s="14">
        <f>AVERAGE(P32:S32)</f>
        <v/>
      </c>
      <c r="AB32" s="14">
        <f>AVERAGE(T32:W32)</f>
        <v/>
      </c>
    </row>
    <row r="33">
      <c r="A33" s="8" t="inlineStr">
        <is>
          <t>Stage Ramp Utilization Cap</t>
        </is>
      </c>
      <c r="B33" s="8" t="inlineStr">
        <is>
          <t>GPT-selected stage ramp contract</t>
        </is>
      </c>
      <c r="C33" s="13" t="n">
        <v>0</v>
      </c>
      <c r="D33" s="13" t="n">
        <v>0.65</v>
      </c>
      <c r="E33" s="13" t="n">
        <v>0.67</v>
      </c>
      <c r="F33" s="13" t="n">
        <v>0.6899999999999999</v>
      </c>
      <c r="G33" s="13" t="n">
        <v>0.71</v>
      </c>
      <c r="H33" s="13" t="n">
        <v>0.73</v>
      </c>
      <c r="I33" s="13" t="n">
        <v>0.75</v>
      </c>
      <c r="J33" s="13" t="n">
        <v>0.77</v>
      </c>
      <c r="K33" s="13" t="n">
        <v>0.79</v>
      </c>
      <c r="L33" s="13" t="n">
        <v>0.8100000000000001</v>
      </c>
      <c r="M33" s="13" t="n">
        <v>0.83</v>
      </c>
      <c r="N33" s="13" t="n">
        <v>0.85</v>
      </c>
      <c r="O33" s="13" t="n">
        <v>0.85</v>
      </c>
      <c r="P33" s="13" t="n">
        <v>0.85</v>
      </c>
      <c r="Q33" s="13" t="n">
        <v>0.85</v>
      </c>
      <c r="R33" s="13" t="n">
        <v>0.85</v>
      </c>
      <c r="S33" s="13" t="n">
        <v>0.85</v>
      </c>
      <c r="T33" s="13" t="n">
        <v>0.85</v>
      </c>
      <c r="U33" s="13" t="n">
        <v>0.85</v>
      </c>
      <c r="V33" s="13" t="n">
        <v>0.85</v>
      </c>
      <c r="W33" s="13" t="n">
        <v>0.85</v>
      </c>
      <c r="X33" s="14">
        <f>AVERAGE(D33:G33)</f>
        <v/>
      </c>
      <c r="Y33" s="14">
        <f>AVERAGE(H33:K33)</f>
        <v/>
      </c>
      <c r="Z33" s="14">
        <f>AVERAGE(L33:O33)</f>
        <v/>
      </c>
      <c r="AA33" s="14">
        <f>AVERAGE(P33:S33)</f>
        <v/>
      </c>
      <c r="AB33" s="14">
        <f>AVERAGE(T33:W33)</f>
        <v/>
      </c>
    </row>
    <row r="34">
      <c r="A34" s="8" t="inlineStr">
        <is>
          <t>Stage Ramp COGS % Revenue Target</t>
        </is>
      </c>
      <c r="B34" s="8" t="inlineStr">
        <is>
          <t>GPT-selected stage ramp contract</t>
        </is>
      </c>
      <c r="C34" s="13" t="n">
        <v>0</v>
      </c>
      <c r="D34" s="13" t="n">
        <v>0.47</v>
      </c>
      <c r="E34" s="13" t="n">
        <v>0.47</v>
      </c>
      <c r="F34" s="13" t="n">
        <v>0.47</v>
      </c>
      <c r="G34" s="13" t="n">
        <v>0.47</v>
      </c>
      <c r="H34" s="13" t="n">
        <v>0.47</v>
      </c>
      <c r="I34" s="13" t="n">
        <v>0.47</v>
      </c>
      <c r="J34" s="13" t="n">
        <v>0.47</v>
      </c>
      <c r="K34" s="13" t="n">
        <v>0.47</v>
      </c>
      <c r="L34" s="13" t="n">
        <v>0.47</v>
      </c>
      <c r="M34" s="13" t="n">
        <v>0.47</v>
      </c>
      <c r="N34" s="13" t="n">
        <v>0.47</v>
      </c>
      <c r="O34" s="13" t="n">
        <v>0.47</v>
      </c>
      <c r="P34" s="13" t="n">
        <v>0.47</v>
      </c>
      <c r="Q34" s="13" t="n">
        <v>0.47</v>
      </c>
      <c r="R34" s="13" t="n">
        <v>0.47</v>
      </c>
      <c r="S34" s="13" t="n">
        <v>0.47</v>
      </c>
      <c r="T34" s="13" t="n">
        <v>0.47</v>
      </c>
      <c r="U34" s="13" t="n">
        <v>0.47</v>
      </c>
      <c r="V34" s="13" t="n">
        <v>0.47</v>
      </c>
      <c r="W34" s="13" t="n">
        <v>0.47</v>
      </c>
      <c r="X34" s="14">
        <f>AVERAGE(D34:G34)</f>
        <v/>
      </c>
      <c r="Y34" s="14">
        <f>AVERAGE(H34:K34)</f>
        <v/>
      </c>
      <c r="Z34" s="14">
        <f>AVERAGE(L34:O34)</f>
        <v/>
      </c>
      <c r="AA34" s="14">
        <f>AVERAGE(P34:S34)</f>
        <v/>
      </c>
      <c r="AB34" s="14">
        <f>AVERAGE(T34:W34)</f>
        <v/>
      </c>
    </row>
    <row r="35">
      <c r="A35" s="8" t="inlineStr">
        <is>
          <t>Stage Ramp COGS % Revenue Max</t>
        </is>
      </c>
      <c r="B35" s="8" t="inlineStr">
        <is>
          <t>GPT-selected stage ramp contract</t>
        </is>
      </c>
      <c r="C35" s="13" t="n">
        <v>0</v>
      </c>
      <c r="D35" s="13" t="n">
        <v>0.6899999999999999</v>
      </c>
      <c r="E35" s="13" t="n">
        <v>0.6899999999999999</v>
      </c>
      <c r="F35" s="13" t="n">
        <v>0.6899999999999999</v>
      </c>
      <c r="G35" s="13" t="n">
        <v>0.6899999999999999</v>
      </c>
      <c r="H35" s="13" t="n">
        <v>0.6899999999999999</v>
      </c>
      <c r="I35" s="13" t="n">
        <v>0.6899999999999999</v>
      </c>
      <c r="J35" s="13" t="n">
        <v>0.6899999999999999</v>
      </c>
      <c r="K35" s="13" t="n">
        <v>0.6899999999999999</v>
      </c>
      <c r="L35" s="13" t="n">
        <v>0.6899999999999999</v>
      </c>
      <c r="M35" s="13" t="n">
        <v>0.6899999999999999</v>
      </c>
      <c r="N35" s="13" t="n">
        <v>0.6899999999999999</v>
      </c>
      <c r="O35" s="13" t="n">
        <v>0.6899999999999999</v>
      </c>
      <c r="P35" s="13" t="n">
        <v>0.6899999999999999</v>
      </c>
      <c r="Q35" s="13" t="n">
        <v>0.6899999999999999</v>
      </c>
      <c r="R35" s="13" t="n">
        <v>0.6899999999999999</v>
      </c>
      <c r="S35" s="13" t="n">
        <v>0.6899999999999999</v>
      </c>
      <c r="T35" s="13" t="n">
        <v>0.6899999999999999</v>
      </c>
      <c r="U35" s="13" t="n">
        <v>0.6899999999999999</v>
      </c>
      <c r="V35" s="13" t="n">
        <v>0.6899999999999999</v>
      </c>
      <c r="W35" s="13" t="n">
        <v>0.6899999999999999</v>
      </c>
      <c r="X35" s="14">
        <f>AVERAGE(D35:G35)</f>
        <v/>
      </c>
      <c r="Y35" s="14">
        <f>AVERAGE(H35:K35)</f>
        <v/>
      </c>
      <c r="Z35" s="14">
        <f>AVERAGE(L35:O35)</f>
        <v/>
      </c>
      <c r="AA35" s="14">
        <f>AVERAGE(P35:S35)</f>
        <v/>
      </c>
      <c r="AB35" s="14">
        <f>AVERAGE(T35:W35)</f>
        <v/>
      </c>
    </row>
    <row r="36">
      <c r="A36" s="8" t="inlineStr">
        <is>
          <t>Stage Ramp Marketing % Revenue Max</t>
        </is>
      </c>
      <c r="B36" s="8" t="inlineStr">
        <is>
          <t>GPT-selected stage ramp contract</t>
        </is>
      </c>
      <c r="C36" s="13" t="n">
        <v>0</v>
      </c>
      <c r="D36" s="13" t="n">
        <v>0.38</v>
      </c>
      <c r="E36" s="13" t="n">
        <v>0.38</v>
      </c>
      <c r="F36" s="13" t="n">
        <v>0.38</v>
      </c>
      <c r="G36" s="13" t="n">
        <v>0.38</v>
      </c>
      <c r="H36" s="13" t="n">
        <v>0.38</v>
      </c>
      <c r="I36" s="13" t="n">
        <v>0.38</v>
      </c>
      <c r="J36" s="13" t="n">
        <v>0.38</v>
      </c>
      <c r="K36" s="13" t="n">
        <v>0.38</v>
      </c>
      <c r="L36" s="13" t="n">
        <v>0.38</v>
      </c>
      <c r="M36" s="13" t="n">
        <v>0.38</v>
      </c>
      <c r="N36" s="13" t="n">
        <v>0.38</v>
      </c>
      <c r="O36" s="13" t="n">
        <v>0.38</v>
      </c>
      <c r="P36" s="13" t="n">
        <v>0.38</v>
      </c>
      <c r="Q36" s="13" t="n">
        <v>0.38</v>
      </c>
      <c r="R36" s="13" t="n">
        <v>0.38</v>
      </c>
      <c r="S36" s="13" t="n">
        <v>0.38</v>
      </c>
      <c r="T36" s="13" t="n">
        <v>0.38</v>
      </c>
      <c r="U36" s="13" t="n">
        <v>0.38</v>
      </c>
      <c r="V36" s="13" t="n">
        <v>0.38</v>
      </c>
      <c r="W36" s="13" t="n">
        <v>0.38</v>
      </c>
      <c r="X36" s="14">
        <f>AVERAGE(D36:G36)</f>
        <v/>
      </c>
      <c r="Y36" s="14">
        <f>AVERAGE(H36:K36)</f>
        <v/>
      </c>
      <c r="Z36" s="14">
        <f>AVERAGE(L36:O36)</f>
        <v/>
      </c>
      <c r="AA36" s="14">
        <f>AVERAGE(P36:S36)</f>
        <v/>
      </c>
      <c r="AB36" s="14">
        <f>AVERAGE(T36:W36)</f>
        <v/>
      </c>
    </row>
    <row r="37">
      <c r="A37" s="8" t="inlineStr">
        <is>
          <t>Stage Ramp R&amp;D % Revenue Max</t>
        </is>
      </c>
      <c r="B37" s="8" t="inlineStr">
        <is>
          <t>GPT-selected stage ramp contract</t>
        </is>
      </c>
      <c r="C37" s="13" t="n">
        <v>0</v>
      </c>
      <c r="D37" s="13" t="n">
        <v>0.25</v>
      </c>
      <c r="E37" s="13" t="n">
        <v>0.25</v>
      </c>
      <c r="F37" s="13" t="n">
        <v>0.25</v>
      </c>
      <c r="G37" s="13" t="n">
        <v>0.25</v>
      </c>
      <c r="H37" s="13" t="n">
        <v>0.25</v>
      </c>
      <c r="I37" s="13" t="n">
        <v>0.25</v>
      </c>
      <c r="J37" s="13" t="n">
        <v>0.25</v>
      </c>
      <c r="K37" s="13" t="n">
        <v>0.25</v>
      </c>
      <c r="L37" s="13" t="n">
        <v>0.25</v>
      </c>
      <c r="M37" s="13" t="n">
        <v>0.25</v>
      </c>
      <c r="N37" s="13" t="n">
        <v>0.25</v>
      </c>
      <c r="O37" s="13" t="n">
        <v>0.25</v>
      </c>
      <c r="P37" s="13" t="n">
        <v>0.25</v>
      </c>
      <c r="Q37" s="13" t="n">
        <v>0.25</v>
      </c>
      <c r="R37" s="13" t="n">
        <v>0.25</v>
      </c>
      <c r="S37" s="13" t="n">
        <v>0.25</v>
      </c>
      <c r="T37" s="13" t="n">
        <v>0.25</v>
      </c>
      <c r="U37" s="13" t="n">
        <v>0.25</v>
      </c>
      <c r="V37" s="13" t="n">
        <v>0.25</v>
      </c>
      <c r="W37" s="13" t="n">
        <v>0.25</v>
      </c>
      <c r="X37" s="14">
        <f>AVERAGE(D37:G37)</f>
        <v/>
      </c>
      <c r="Y37" s="14">
        <f>AVERAGE(H37:K37)</f>
        <v/>
      </c>
      <c r="Z37" s="14">
        <f>AVERAGE(L37:O37)</f>
        <v/>
      </c>
      <c r="AA37" s="14">
        <f>AVERAGE(P37:S37)</f>
        <v/>
      </c>
      <c r="AB37" s="14">
        <f>AVERAGE(T37:W37)</f>
        <v/>
      </c>
    </row>
    <row r="38">
      <c r="A38" s="8" t="inlineStr">
        <is>
          <t>Stage Ramp G&amp;A % Revenue Max</t>
        </is>
      </c>
      <c r="B38" s="8" t="inlineStr">
        <is>
          <t>GPT-selected stage ramp contract</t>
        </is>
      </c>
      <c r="C38" s="13" t="n">
        <v>0</v>
      </c>
      <c r="D38" s="13" t="n">
        <v>0.38</v>
      </c>
      <c r="E38" s="13" t="n">
        <v>0.38</v>
      </c>
      <c r="F38" s="13" t="n">
        <v>0.38</v>
      </c>
      <c r="G38" s="13" t="n">
        <v>0.38</v>
      </c>
      <c r="H38" s="13" t="n">
        <v>0.38</v>
      </c>
      <c r="I38" s="13" t="n">
        <v>0.38</v>
      </c>
      <c r="J38" s="13" t="n">
        <v>0.38</v>
      </c>
      <c r="K38" s="13" t="n">
        <v>0.38</v>
      </c>
      <c r="L38" s="13" t="n">
        <v>0.38</v>
      </c>
      <c r="M38" s="13" t="n">
        <v>0.38</v>
      </c>
      <c r="N38" s="13" t="n">
        <v>0.38</v>
      </c>
      <c r="O38" s="13" t="n">
        <v>0.38</v>
      </c>
      <c r="P38" s="13" t="n">
        <v>0.38</v>
      </c>
      <c r="Q38" s="13" t="n">
        <v>0.38</v>
      </c>
      <c r="R38" s="13" t="n">
        <v>0.38</v>
      </c>
      <c r="S38" s="13" t="n">
        <v>0.38</v>
      </c>
      <c r="T38" s="13" t="n">
        <v>0.38</v>
      </c>
      <c r="U38" s="13" t="n">
        <v>0.38</v>
      </c>
      <c r="V38" s="13" t="n">
        <v>0.38</v>
      </c>
      <c r="W38" s="13" t="n">
        <v>0.38</v>
      </c>
      <c r="X38" s="14">
        <f>AVERAGE(D38:G38)</f>
        <v/>
      </c>
      <c r="Y38" s="14">
        <f>AVERAGE(H38:K38)</f>
        <v/>
      </c>
      <c r="Z38" s="14">
        <f>AVERAGE(L38:O38)</f>
        <v/>
      </c>
      <c r="AA38" s="14">
        <f>AVERAGE(P38:S38)</f>
        <v/>
      </c>
      <c r="AB38" s="14">
        <f>AVERAGE(T38:W38)</f>
        <v/>
      </c>
    </row>
    <row r="39">
      <c r="A39" s="8" t="inlineStr">
        <is>
          <t>Stage Ramp Lease % Revenue Max</t>
        </is>
      </c>
      <c r="B39" s="8" t="inlineStr">
        <is>
          <t>GPT-selected stage ramp contract</t>
        </is>
      </c>
      <c r="C39" s="13" t="n">
        <v>0</v>
      </c>
      <c r="D39" s="13" t="n">
        <v>0.04</v>
      </c>
      <c r="E39" s="13" t="n">
        <v>0.04</v>
      </c>
      <c r="F39" s="13" t="n">
        <v>0.04</v>
      </c>
      <c r="G39" s="13" t="n">
        <v>0.04</v>
      </c>
      <c r="H39" s="13" t="n">
        <v>0.04</v>
      </c>
      <c r="I39" s="13" t="n">
        <v>0.04</v>
      </c>
      <c r="J39" s="13" t="n">
        <v>0.04</v>
      </c>
      <c r="K39" s="13" t="n">
        <v>0.04</v>
      </c>
      <c r="L39" s="13" t="n">
        <v>0.04</v>
      </c>
      <c r="M39" s="13" t="n">
        <v>0.04</v>
      </c>
      <c r="N39" s="13" t="n">
        <v>0.04</v>
      </c>
      <c r="O39" s="13" t="n">
        <v>0.04</v>
      </c>
      <c r="P39" s="13" t="n">
        <v>0.04</v>
      </c>
      <c r="Q39" s="13" t="n">
        <v>0.04</v>
      </c>
      <c r="R39" s="13" t="n">
        <v>0.04</v>
      </c>
      <c r="S39" s="13" t="n">
        <v>0.04</v>
      </c>
      <c r="T39" s="13" t="n">
        <v>0.04</v>
      </c>
      <c r="U39" s="13" t="n">
        <v>0.04</v>
      </c>
      <c r="V39" s="13" t="n">
        <v>0.04</v>
      </c>
      <c r="W39" s="13" t="n">
        <v>0.04</v>
      </c>
      <c r="X39" s="14">
        <f>AVERAGE(D39:G39)</f>
        <v/>
      </c>
      <c r="Y39" s="14">
        <f>AVERAGE(H39:K39)</f>
        <v/>
      </c>
      <c r="Z39" s="14">
        <f>AVERAGE(L39:O39)</f>
        <v/>
      </c>
      <c r="AA39" s="14">
        <f>AVERAGE(P39:S39)</f>
        <v/>
      </c>
      <c r="AB39" s="14">
        <f>AVERAGE(T39:W39)</f>
        <v/>
      </c>
    </row>
    <row r="40">
      <c r="A40" s="8" t="inlineStr">
        <is>
          <t>Stage Ramp Net Income Margin Floor</t>
        </is>
      </c>
      <c r="B40" s="8" t="inlineStr">
        <is>
          <t>GPT-selected stage ramp contract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0.02</v>
      </c>
      <c r="I40" s="13" t="n">
        <v>0.02</v>
      </c>
      <c r="J40" s="13" t="n">
        <v>0.02</v>
      </c>
      <c r="K40" s="13" t="n">
        <v>0.02</v>
      </c>
      <c r="L40" s="13" t="n">
        <v>0.02</v>
      </c>
      <c r="M40" s="13" t="n">
        <v>0.02</v>
      </c>
      <c r="N40" s="13" t="n">
        <v>0.02</v>
      </c>
      <c r="O40" s="13" t="n">
        <v>0.02</v>
      </c>
      <c r="P40" s="13" t="n">
        <v>0.02</v>
      </c>
      <c r="Q40" s="13" t="n">
        <v>0.02</v>
      </c>
      <c r="R40" s="13" t="n">
        <v>0.02</v>
      </c>
      <c r="S40" s="13" t="n">
        <v>0.02</v>
      </c>
      <c r="T40" s="13" t="n">
        <v>0.02</v>
      </c>
      <c r="U40" s="13" t="n">
        <v>0.02</v>
      </c>
      <c r="V40" s="13" t="n">
        <v>0.02</v>
      </c>
      <c r="W40" s="13" t="n">
        <v>0.02</v>
      </c>
      <c r="X40" s="14">
        <f>AVERAGE(D40:G40)</f>
        <v/>
      </c>
      <c r="Y40" s="14">
        <f>AVERAGE(H40:K40)</f>
        <v/>
      </c>
      <c r="Z40" s="14">
        <f>AVERAGE(L40:O40)</f>
        <v/>
      </c>
      <c r="AA40" s="14">
        <f>AVERAGE(P40:S40)</f>
        <v/>
      </c>
      <c r="AB40" s="14">
        <f>AVERAGE(T40:W40)</f>
        <v/>
      </c>
    </row>
  </sheetData>
  <mergeCells count="5">
    <mergeCell ref="A7:AB7"/>
    <mergeCell ref="A19:AB19"/>
    <mergeCell ref="A28:AB28"/>
    <mergeCell ref="A13:AB13"/>
    <mergeCell ref="A6:A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high</t>
        </is>
      </c>
    </row>
    <row r="9">
      <c r="A9" t="inlineStr">
        <is>
          <t>Wage Positioning Tier</t>
        </is>
      </c>
      <c r="B9" t="inlineStr">
        <is>
          <t>floor</t>
        </is>
      </c>
    </row>
    <row r="10">
      <c r="A10" t="inlineStr">
        <is>
          <t>Wage Positioning Multiplier</t>
        </is>
      </c>
      <c r="B10" t="n">
        <v>1.05</v>
      </c>
    </row>
    <row r="11">
      <c r="A11" t="inlineStr">
        <is>
          <t>Capacity Units per Supporting FTE</t>
        </is>
      </c>
      <c r="B11" t="n">
        <v>654.71</v>
      </c>
    </row>
    <row r="12">
      <c r="A12" t="inlineStr">
        <is>
          <t>Target Payroll % of Revenue</t>
        </is>
      </c>
      <c r="B12" t="n">
        <v>0.4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SUMIFS($G$27:$G$66,$A$27:$A$66,0)</f>
        <v/>
      </c>
      <c r="D15" s="23">
        <f>SUMIFS($G$27:$G$66,$A$27:$A$66,1)</f>
        <v/>
      </c>
      <c r="E15" s="23">
        <f>SUMIFS($G$27:$G$66,$A$27:$A$66,2)</f>
        <v/>
      </c>
      <c r="F15" s="23">
        <f>SUMIFS($G$27:$G$66,$A$27:$A$66,3)</f>
        <v/>
      </c>
      <c r="G15" s="23">
        <f>SUMIFS($G$27:$G$66,$A$27:$A$66,4)</f>
        <v/>
      </c>
      <c r="H15" s="23">
        <f>SUMIFS($G$27:$G$66,$A$27:$A$66,5)</f>
        <v/>
      </c>
      <c r="I15" s="23">
        <f>SUMIFS($G$27:$G$66,$A$27:$A$66,6)</f>
        <v/>
      </c>
      <c r="J15" s="23">
        <f>SUMIFS($G$27:$G$66,$A$27:$A$66,7)</f>
        <v/>
      </c>
      <c r="K15" s="23">
        <f>SUMIFS($G$27:$G$66,$A$27:$A$66,8)</f>
        <v/>
      </c>
      <c r="L15" s="23">
        <f>SUMIFS($G$27:$G$66,$A$27:$A$66,9)</f>
        <v/>
      </c>
      <c r="M15" s="23">
        <f>SUMIFS($G$27:$G$66,$A$27:$A$66,10)</f>
        <v/>
      </c>
      <c r="N15" s="23">
        <f>SUMIFS($G$27:$G$66,$A$27:$A$66,11)</f>
        <v/>
      </c>
      <c r="O15" s="23">
        <f>SUMIFS($G$27:$G$66,$A$27:$A$66,12)</f>
        <v/>
      </c>
      <c r="P15" s="23">
        <f>SUMIFS($G$27:$G$66,$A$27:$A$66,13)</f>
        <v/>
      </c>
      <c r="Q15" s="23">
        <f>SUMIFS($G$27:$G$66,$A$27:$A$66,14)</f>
        <v/>
      </c>
      <c r="R15" s="23">
        <f>SUMIFS($G$27:$G$66,$A$27:$A$66,15)</f>
        <v/>
      </c>
      <c r="S15" s="23">
        <f>SUMIFS($G$27:$G$66,$A$27:$A$66,16)</f>
        <v/>
      </c>
      <c r="T15" s="23">
        <f>SUMIFS($G$27:$G$66,$A$27:$A$66,17)</f>
        <v/>
      </c>
      <c r="U15" s="23">
        <f>SUMIFS($G$27:$G$66,$A$27:$A$66,18)</f>
        <v/>
      </c>
      <c r="V15" s="23">
        <f>SUMIFS($G$27:$G$66,$A$27:$A$66,19)</f>
        <v/>
      </c>
      <c r="W15" s="23">
        <f>SUMIFS($G$27:$G$66,$A$27:$A$66,20)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SUMIFS($H$27:$H$66,$A$27:$A$66,0)</f>
        <v/>
      </c>
      <c r="D16" s="23">
        <f>SUMIFS($H$27:$H$66,$A$27:$A$66,1)</f>
        <v/>
      </c>
      <c r="E16" s="23">
        <f>SUMIFS($H$27:$H$66,$A$27:$A$66,2)</f>
        <v/>
      </c>
      <c r="F16" s="23">
        <f>SUMIFS($H$27:$H$66,$A$27:$A$66,3)</f>
        <v/>
      </c>
      <c r="G16" s="23">
        <f>SUMIFS($H$27:$H$66,$A$27:$A$66,4)</f>
        <v/>
      </c>
      <c r="H16" s="23">
        <f>SUMIFS($H$27:$H$66,$A$27:$A$66,5)</f>
        <v/>
      </c>
      <c r="I16" s="23">
        <f>SUMIFS($H$27:$H$66,$A$27:$A$66,6)</f>
        <v/>
      </c>
      <c r="J16" s="23">
        <f>SUMIFS($H$27:$H$66,$A$27:$A$66,7)</f>
        <v/>
      </c>
      <c r="K16" s="23">
        <f>SUMIFS($H$27:$H$66,$A$27:$A$66,8)</f>
        <v/>
      </c>
      <c r="L16" s="23">
        <f>SUMIFS($H$27:$H$66,$A$27:$A$66,9)</f>
        <v/>
      </c>
      <c r="M16" s="23">
        <f>SUMIFS($H$27:$H$66,$A$27:$A$66,10)</f>
        <v/>
      </c>
      <c r="N16" s="23">
        <f>SUMIFS($H$27:$H$66,$A$27:$A$66,11)</f>
        <v/>
      </c>
      <c r="O16" s="23">
        <f>SUMIFS($H$27:$H$66,$A$27:$A$66,12)</f>
        <v/>
      </c>
      <c r="P16" s="23">
        <f>SUMIFS($H$27:$H$66,$A$27:$A$66,13)</f>
        <v/>
      </c>
      <c r="Q16" s="23">
        <f>SUMIFS($H$27:$H$66,$A$27:$A$66,14)</f>
        <v/>
      </c>
      <c r="R16" s="23">
        <f>SUMIFS($H$27:$H$66,$A$27:$A$66,15)</f>
        <v/>
      </c>
      <c r="S16" s="23">
        <f>SUMIFS($H$27:$H$66,$A$27:$A$66,16)</f>
        <v/>
      </c>
      <c r="T16" s="23">
        <f>SUMIFS($H$27:$H$66,$A$27:$A$66,17)</f>
        <v/>
      </c>
      <c r="U16" s="23">
        <f>SUMIFS($H$27:$H$66,$A$27:$A$66,18)</f>
        <v/>
      </c>
      <c r="V16" s="23">
        <f>SUMIFS($H$27:$H$66,$A$27:$A$66,19)</f>
        <v/>
      </c>
      <c r="W16" s="23">
        <f>SUMIFS($H$27:$H$66,$A$27:$A$66,20)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SUMIFS($M$27:$M$66,$A$27:$A$66,0)</f>
        <v/>
      </c>
      <c r="D17" s="25">
        <f>SUMIFS($M$27:$M$66,$A$27:$A$66,1)</f>
        <v/>
      </c>
      <c r="E17" s="25">
        <f>SUMIFS($M$27:$M$66,$A$27:$A$66,2)</f>
        <v/>
      </c>
      <c r="F17" s="25">
        <f>SUMIFS($M$27:$M$66,$A$27:$A$66,3)</f>
        <v/>
      </c>
      <c r="G17" s="25">
        <f>SUMIFS($M$27:$M$66,$A$27:$A$66,4)</f>
        <v/>
      </c>
      <c r="H17" s="25">
        <f>SUMIFS($M$27:$M$66,$A$27:$A$66,5)</f>
        <v/>
      </c>
      <c r="I17" s="25">
        <f>SUMIFS($M$27:$M$66,$A$27:$A$66,6)</f>
        <v/>
      </c>
      <c r="J17" s="25">
        <f>SUMIFS($M$27:$M$66,$A$27:$A$66,7)</f>
        <v/>
      </c>
      <c r="K17" s="25">
        <f>SUMIFS($M$27:$M$66,$A$27:$A$66,8)</f>
        <v/>
      </c>
      <c r="L17" s="25">
        <f>SUMIFS($M$27:$M$66,$A$27:$A$66,9)</f>
        <v/>
      </c>
      <c r="M17" s="25">
        <f>SUMIFS($M$27:$M$66,$A$27:$A$66,10)</f>
        <v/>
      </c>
      <c r="N17" s="25">
        <f>SUMIFS($M$27:$M$66,$A$27:$A$66,11)</f>
        <v/>
      </c>
      <c r="O17" s="25">
        <f>SUMIFS($M$27:$M$66,$A$27:$A$66,12)</f>
        <v/>
      </c>
      <c r="P17" s="25">
        <f>SUMIFS($M$27:$M$66,$A$27:$A$66,13)</f>
        <v/>
      </c>
      <c r="Q17" s="25">
        <f>SUMIFS($M$27:$M$66,$A$27:$A$66,14)</f>
        <v/>
      </c>
      <c r="R17" s="25">
        <f>SUMIFS($M$27:$M$66,$A$27:$A$66,15)</f>
        <v/>
      </c>
      <c r="S17" s="25">
        <f>SUMIFS($M$27:$M$66,$A$27:$A$66,16)</f>
        <v/>
      </c>
      <c r="T17" s="25">
        <f>SUMIFS($M$27:$M$66,$A$27:$A$66,17)</f>
        <v/>
      </c>
      <c r="U17" s="25">
        <f>SUMIFS($M$27:$M$66,$A$27:$A$66,18)</f>
        <v/>
      </c>
      <c r="V17" s="25">
        <f>SUMIFS($M$27:$M$66,$A$27:$A$66,19)</f>
        <v/>
      </c>
      <c r="W17" s="25">
        <f>SUMIFS($M$27:$M$66,$A$27:$A$66,20)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Drivers'!C26</f>
        <v/>
      </c>
      <c r="D18" s="26">
        <f>'Revenue Drivers'!D26</f>
        <v/>
      </c>
      <c r="E18" s="26">
        <f>'Revenue Drivers'!E26</f>
        <v/>
      </c>
      <c r="F18" s="26">
        <f>'Revenue Drivers'!F26</f>
        <v/>
      </c>
      <c r="G18" s="26">
        <f>'Revenue Drivers'!G26</f>
        <v/>
      </c>
      <c r="H18" s="26">
        <f>'Revenue Drivers'!H26</f>
        <v/>
      </c>
      <c r="I18" s="26">
        <f>'Revenue Drivers'!I26</f>
        <v/>
      </c>
      <c r="J18" s="26">
        <f>'Revenue Drivers'!J26</f>
        <v/>
      </c>
      <c r="K18" s="26">
        <f>'Revenue Drivers'!K26</f>
        <v/>
      </c>
      <c r="L18" s="26">
        <f>'Revenue Drivers'!L26</f>
        <v/>
      </c>
      <c r="M18" s="26">
        <f>'Revenue Drivers'!M26</f>
        <v/>
      </c>
      <c r="N18" s="26">
        <f>'Revenue Drivers'!N26</f>
        <v/>
      </c>
      <c r="O18" s="26">
        <f>'Revenue Drivers'!O26</f>
        <v/>
      </c>
      <c r="P18" s="26">
        <f>'Revenue Drivers'!P26</f>
        <v/>
      </c>
      <c r="Q18" s="26">
        <f>'Revenue Drivers'!Q26</f>
        <v/>
      </c>
      <c r="R18" s="26">
        <f>'Revenue Drivers'!R26</f>
        <v/>
      </c>
      <c r="S18" s="26">
        <f>'Revenue Drivers'!S26</f>
        <v/>
      </c>
      <c r="T18" s="26">
        <f>'Revenue Drivers'!T26</f>
        <v/>
      </c>
      <c r="U18" s="26">
        <f>'Revenue Drivers'!U26</f>
        <v/>
      </c>
      <c r="V18" s="26">
        <f>'Revenue Drivers'!V26</f>
        <v/>
      </c>
      <c r="W18" s="26">
        <f>'Revenue Drivers'!W26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Drivers'!C25</f>
        <v/>
      </c>
      <c r="D19" s="23">
        <f>'Revenue Drivers'!D25</f>
        <v/>
      </c>
      <c r="E19" s="23">
        <f>'Revenue Drivers'!E25</f>
        <v/>
      </c>
      <c r="F19" s="23">
        <f>'Revenue Drivers'!F25</f>
        <v/>
      </c>
      <c r="G19" s="23">
        <f>'Revenue Drivers'!G25</f>
        <v/>
      </c>
      <c r="H19" s="23">
        <f>'Revenue Drivers'!H25</f>
        <v/>
      </c>
      <c r="I19" s="23">
        <f>'Revenue Drivers'!I25</f>
        <v/>
      </c>
      <c r="J19" s="23">
        <f>'Revenue Drivers'!J25</f>
        <v/>
      </c>
      <c r="K19" s="23">
        <f>'Revenue Drivers'!K25</f>
        <v/>
      </c>
      <c r="L19" s="23">
        <f>'Revenue Drivers'!L25</f>
        <v/>
      </c>
      <c r="M19" s="23">
        <f>'Revenue Drivers'!M25</f>
        <v/>
      </c>
      <c r="N19" s="23">
        <f>'Revenue Drivers'!N25</f>
        <v/>
      </c>
      <c r="O19" s="23">
        <f>'Revenue Drivers'!O25</f>
        <v/>
      </c>
      <c r="P19" s="23">
        <f>'Revenue Drivers'!P25</f>
        <v/>
      </c>
      <c r="Q19" s="23">
        <f>'Revenue Drivers'!Q25</f>
        <v/>
      </c>
      <c r="R19" s="23">
        <f>'Revenue Drivers'!R25</f>
        <v/>
      </c>
      <c r="S19" s="23">
        <f>'Revenue Drivers'!S25</f>
        <v/>
      </c>
      <c r="T19" s="23">
        <f>'Revenue Drivers'!T25</f>
        <v/>
      </c>
      <c r="U19" s="23">
        <f>'Revenue Drivers'!U25</f>
        <v/>
      </c>
      <c r="V19" s="23">
        <f>'Revenue Drivers'!V25</f>
        <v/>
      </c>
      <c r="W19" s="23">
        <f>'Revenue Drivers'!W25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Founder and CEO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96750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Founder and CEO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96750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Founder and CEO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96750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Founder and CEO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96750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Founder and CEO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99652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Founder and CEO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99652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Founder and CEO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99652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Founder and CEO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99652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Founder and CEO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102642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Founder and CEO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102642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Founder and CEO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102642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Founder and CEO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102642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Founder and CEO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105721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Founder and CEO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105721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Founder and CEO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105721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Founder and CEO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105721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Founder and CEO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108893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Founder and CEO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108893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Founder and CEO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108893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Founder and CEO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108893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supporting_staff</t>
        </is>
      </c>
      <c r="C47" t="inlineStr">
        <is>
          <t>Registered Nurses</t>
        </is>
      </c>
      <c r="D47" t="inlineStr">
        <is>
          <t>Registered Nurses</t>
        </is>
      </c>
      <c r="E47" s="29" t="n">
        <v>0</v>
      </c>
      <c r="F47" s="29" t="n">
        <v>0</v>
      </c>
      <c r="G47" s="30">
        <f>E47+F47</f>
        <v/>
      </c>
      <c r="H47" s="30">
        <f>(E47+G47)/2</f>
        <v/>
      </c>
      <c r="I47" s="31" t="n">
        <v>87392</v>
      </c>
      <c r="J47" s="32" t="n">
        <v>0.2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oews_title_catalog:oews_median</t>
        </is>
      </c>
    </row>
    <row r="48">
      <c r="A48" t="n">
        <v>2</v>
      </c>
      <c r="B48" t="inlineStr">
        <is>
          <t>supporting_staff</t>
        </is>
      </c>
      <c r="C48" t="inlineStr">
        <is>
          <t>Registered Nurses</t>
        </is>
      </c>
      <c r="D48" t="inlineStr">
        <is>
          <t>Registered Nurses</t>
        </is>
      </c>
      <c r="E48" s="29" t="n">
        <v>0</v>
      </c>
      <c r="F48" s="29" t="n">
        <v>0</v>
      </c>
      <c r="G48" s="30">
        <f>E48+F48</f>
        <v/>
      </c>
      <c r="H48" s="30">
        <f>(E48+G48)/2</f>
        <v/>
      </c>
      <c r="I48" s="31" t="n">
        <v>87392</v>
      </c>
      <c r="J48" s="32" t="n">
        <v>0.2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oews_title_catalog:oews_median</t>
        </is>
      </c>
    </row>
    <row r="49">
      <c r="A49" t="n">
        <v>3</v>
      </c>
      <c r="B49" t="inlineStr">
        <is>
          <t>supporting_staff</t>
        </is>
      </c>
      <c r="C49" t="inlineStr">
        <is>
          <t>Registered Nurses</t>
        </is>
      </c>
      <c r="D49" t="inlineStr">
        <is>
          <t>Registered Nurses</t>
        </is>
      </c>
      <c r="E49" s="29" t="n">
        <v>0</v>
      </c>
      <c r="F49" s="29" t="n">
        <v>0</v>
      </c>
      <c r="G49" s="30">
        <f>E49+F49</f>
        <v/>
      </c>
      <c r="H49" s="30">
        <f>(E49+G49)/2</f>
        <v/>
      </c>
      <c r="I49" s="31" t="n">
        <v>87392</v>
      </c>
      <c r="J49" s="32" t="n">
        <v>0.2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oews_title_catalog:oews_median</t>
        </is>
      </c>
    </row>
    <row r="50">
      <c r="A50" t="n">
        <v>4</v>
      </c>
      <c r="B50" t="inlineStr">
        <is>
          <t>supporting_staff</t>
        </is>
      </c>
      <c r="C50" t="inlineStr">
        <is>
          <t>Registered Nurses</t>
        </is>
      </c>
      <c r="D50" t="inlineStr">
        <is>
          <t>Registered Nurses</t>
        </is>
      </c>
      <c r="E50" s="29" t="n">
        <v>0</v>
      </c>
      <c r="F50" s="29" t="n">
        <v>0</v>
      </c>
      <c r="G50" s="30">
        <f>E50+F50</f>
        <v/>
      </c>
      <c r="H50" s="30">
        <f>(E50+G50)/2</f>
        <v/>
      </c>
      <c r="I50" s="31" t="n">
        <v>87392</v>
      </c>
      <c r="J50" s="32" t="n">
        <v>0.2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oews_title_catalog:oews_median</t>
        </is>
      </c>
    </row>
    <row r="51">
      <c r="A51" t="n">
        <v>5</v>
      </c>
      <c r="B51" t="inlineStr">
        <is>
          <t>supporting_staff</t>
        </is>
      </c>
      <c r="C51" t="inlineStr">
        <is>
          <t>Registered Nurses</t>
        </is>
      </c>
      <c r="D51" t="inlineStr">
        <is>
          <t>Registered Nurses</t>
        </is>
      </c>
      <c r="E51" s="29" t="n">
        <v>0</v>
      </c>
      <c r="F51" s="29" t="n">
        <v>0</v>
      </c>
      <c r="G51" s="30">
        <f>E51+F51</f>
        <v/>
      </c>
      <c r="H51" s="30">
        <f>(E51+G51)/2</f>
        <v/>
      </c>
      <c r="I51" s="31" t="n">
        <v>90013</v>
      </c>
      <c r="J51" s="32" t="n">
        <v>0.2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oews_title_catalog:oews_median</t>
        </is>
      </c>
    </row>
    <row r="52">
      <c r="A52" t="n">
        <v>6</v>
      </c>
      <c r="B52" t="inlineStr">
        <is>
          <t>supporting_staff</t>
        </is>
      </c>
      <c r="C52" t="inlineStr">
        <is>
          <t>Registered Nurses</t>
        </is>
      </c>
      <c r="D52" t="inlineStr">
        <is>
          <t>Registered Nurses</t>
        </is>
      </c>
      <c r="E52" s="29" t="n">
        <v>0</v>
      </c>
      <c r="F52" s="29" t="n">
        <v>0</v>
      </c>
      <c r="G52" s="30">
        <f>E52+F52</f>
        <v/>
      </c>
      <c r="H52" s="30">
        <f>(E52+G52)/2</f>
        <v/>
      </c>
      <c r="I52" s="31" t="n">
        <v>90013</v>
      </c>
      <c r="J52" s="32" t="n">
        <v>0.2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oews_title_catalog:oews_median</t>
        </is>
      </c>
    </row>
    <row r="53">
      <c r="A53" t="n">
        <v>7</v>
      </c>
      <c r="B53" t="inlineStr">
        <is>
          <t>supporting_staff</t>
        </is>
      </c>
      <c r="C53" t="inlineStr">
        <is>
          <t>Registered Nurses</t>
        </is>
      </c>
      <c r="D53" t="inlineStr">
        <is>
          <t>Registered Nurses</t>
        </is>
      </c>
      <c r="E53" s="29" t="n">
        <v>0</v>
      </c>
      <c r="F53" s="29" t="n">
        <v>0</v>
      </c>
      <c r="G53" s="30">
        <f>E53+F53</f>
        <v/>
      </c>
      <c r="H53" s="30">
        <f>(E53+G53)/2</f>
        <v/>
      </c>
      <c r="I53" s="31" t="n">
        <v>90013</v>
      </c>
      <c r="J53" s="32" t="n">
        <v>0.2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oews_title_catalog:oews_median</t>
        </is>
      </c>
    </row>
    <row r="54">
      <c r="A54" t="n">
        <v>8</v>
      </c>
      <c r="B54" t="inlineStr">
        <is>
          <t>supporting_staff</t>
        </is>
      </c>
      <c r="C54" t="inlineStr">
        <is>
          <t>Registered Nurses</t>
        </is>
      </c>
      <c r="D54" t="inlineStr">
        <is>
          <t>Registered Nurses</t>
        </is>
      </c>
      <c r="E54" s="29" t="n">
        <v>0</v>
      </c>
      <c r="F54" s="29" t="n">
        <v>0</v>
      </c>
      <c r="G54" s="30">
        <f>E54+F54</f>
        <v/>
      </c>
      <c r="H54" s="30">
        <f>(E54+G54)/2</f>
        <v/>
      </c>
      <c r="I54" s="31" t="n">
        <v>90013</v>
      </c>
      <c r="J54" s="32" t="n">
        <v>0.2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oews_title_catalog:oews_median</t>
        </is>
      </c>
    </row>
    <row r="55">
      <c r="A55" t="n">
        <v>9</v>
      </c>
      <c r="B55" t="inlineStr">
        <is>
          <t>supporting_staff</t>
        </is>
      </c>
      <c r="C55" t="inlineStr">
        <is>
          <t>Registered Nurses</t>
        </is>
      </c>
      <c r="D55" t="inlineStr">
        <is>
          <t>Registered Nurses</t>
        </is>
      </c>
      <c r="E55" s="29" t="n">
        <v>0</v>
      </c>
      <c r="F55" s="29" t="n">
        <v>0</v>
      </c>
      <c r="G55" s="30">
        <f>E55+F55</f>
        <v/>
      </c>
      <c r="H55" s="30">
        <f>(E55+G55)/2</f>
        <v/>
      </c>
      <c r="I55" s="31" t="n">
        <v>92714</v>
      </c>
      <c r="J55" s="32" t="n">
        <v>0.2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oews_title_catalog:oews_median</t>
        </is>
      </c>
    </row>
    <row r="56">
      <c r="A56" t="n">
        <v>10</v>
      </c>
      <c r="B56" t="inlineStr">
        <is>
          <t>supporting_staff</t>
        </is>
      </c>
      <c r="C56" t="inlineStr">
        <is>
          <t>Registered Nurses</t>
        </is>
      </c>
      <c r="D56" t="inlineStr">
        <is>
          <t>Registered Nurses</t>
        </is>
      </c>
      <c r="E56" s="29" t="n">
        <v>0</v>
      </c>
      <c r="F56" s="29" t="n">
        <v>0</v>
      </c>
      <c r="G56" s="30">
        <f>E56+F56</f>
        <v/>
      </c>
      <c r="H56" s="30">
        <f>(E56+G56)/2</f>
        <v/>
      </c>
      <c r="I56" s="31" t="n">
        <v>92714</v>
      </c>
      <c r="J56" s="32" t="n">
        <v>0.2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oews_title_catalog:oews_median</t>
        </is>
      </c>
    </row>
    <row r="57">
      <c r="A57" t="n">
        <v>11</v>
      </c>
      <c r="B57" t="inlineStr">
        <is>
          <t>supporting_staff</t>
        </is>
      </c>
      <c r="C57" t="inlineStr">
        <is>
          <t>Registered Nurses</t>
        </is>
      </c>
      <c r="D57" t="inlineStr">
        <is>
          <t>Registered Nurses</t>
        </is>
      </c>
      <c r="E57" s="29" t="n">
        <v>0</v>
      </c>
      <c r="F57" s="29" t="n">
        <v>0</v>
      </c>
      <c r="G57" s="30">
        <f>E57+F57</f>
        <v/>
      </c>
      <c r="H57" s="30">
        <f>(E57+G57)/2</f>
        <v/>
      </c>
      <c r="I57" s="31" t="n">
        <v>92714</v>
      </c>
      <c r="J57" s="32" t="n">
        <v>0.2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oews_title_catalog:oews_median</t>
        </is>
      </c>
    </row>
    <row r="58">
      <c r="A58" t="n">
        <v>12</v>
      </c>
      <c r="B58" t="inlineStr">
        <is>
          <t>supporting_staff</t>
        </is>
      </c>
      <c r="C58" t="inlineStr">
        <is>
          <t>Registered Nurses</t>
        </is>
      </c>
      <c r="D58" t="inlineStr">
        <is>
          <t>Registered Nurses</t>
        </is>
      </c>
      <c r="E58" s="29" t="n">
        <v>0</v>
      </c>
      <c r="F58" s="29" t="n">
        <v>0</v>
      </c>
      <c r="G58" s="30">
        <f>E58+F58</f>
        <v/>
      </c>
      <c r="H58" s="30">
        <f>(E58+G58)/2</f>
        <v/>
      </c>
      <c r="I58" s="31" t="n">
        <v>92714</v>
      </c>
      <c r="J58" s="32" t="n">
        <v>0.2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oews_title_catalog:oews_median</t>
        </is>
      </c>
    </row>
    <row r="59">
      <c r="A59" t="n">
        <v>13</v>
      </c>
      <c r="B59" t="inlineStr">
        <is>
          <t>supporting_staff</t>
        </is>
      </c>
      <c r="C59" t="inlineStr">
        <is>
          <t>Registered Nurses</t>
        </is>
      </c>
      <c r="D59" t="inlineStr">
        <is>
          <t>Registered Nurses</t>
        </is>
      </c>
      <c r="E59" s="29" t="n">
        <v>0</v>
      </c>
      <c r="F59" s="29" t="n">
        <v>0</v>
      </c>
      <c r="G59" s="30">
        <f>E59+F59</f>
        <v/>
      </c>
      <c r="H59" s="30">
        <f>(E59+G59)/2</f>
        <v/>
      </c>
      <c r="I59" s="31" t="n">
        <v>95495</v>
      </c>
      <c r="J59" s="32" t="n">
        <v>0.2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oews_title_catalog:oews_median</t>
        </is>
      </c>
    </row>
    <row r="60">
      <c r="A60" t="n">
        <v>14</v>
      </c>
      <c r="B60" t="inlineStr">
        <is>
          <t>supporting_staff</t>
        </is>
      </c>
      <c r="C60" t="inlineStr">
        <is>
          <t>Registered Nurses</t>
        </is>
      </c>
      <c r="D60" t="inlineStr">
        <is>
          <t>Registered Nurses</t>
        </is>
      </c>
      <c r="E60" s="29" t="n">
        <v>0</v>
      </c>
      <c r="F60" s="29" t="n">
        <v>0</v>
      </c>
      <c r="G60" s="30">
        <f>E60+F60</f>
        <v/>
      </c>
      <c r="H60" s="30">
        <f>(E60+G60)/2</f>
        <v/>
      </c>
      <c r="I60" s="31" t="n">
        <v>95495</v>
      </c>
      <c r="J60" s="32" t="n">
        <v>0.2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oews_title_catalog:oews_median</t>
        </is>
      </c>
    </row>
    <row r="61">
      <c r="A61" t="n">
        <v>15</v>
      </c>
      <c r="B61" t="inlineStr">
        <is>
          <t>supporting_staff</t>
        </is>
      </c>
      <c r="C61" t="inlineStr">
        <is>
          <t>Registered Nurses</t>
        </is>
      </c>
      <c r="D61" t="inlineStr">
        <is>
          <t>Registered Nurses</t>
        </is>
      </c>
      <c r="E61" s="29" t="n">
        <v>0</v>
      </c>
      <c r="F61" s="29" t="n">
        <v>0</v>
      </c>
      <c r="G61" s="30">
        <f>E61+F61</f>
        <v/>
      </c>
      <c r="H61" s="30">
        <f>(E61+G61)/2</f>
        <v/>
      </c>
      <c r="I61" s="31" t="n">
        <v>95495</v>
      </c>
      <c r="J61" s="32" t="n">
        <v>0.2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oews_title_catalog:oews_median</t>
        </is>
      </c>
    </row>
    <row r="62">
      <c r="A62" t="n">
        <v>16</v>
      </c>
      <c r="B62" t="inlineStr">
        <is>
          <t>supporting_staff</t>
        </is>
      </c>
      <c r="C62" t="inlineStr">
        <is>
          <t>Registered Nurses</t>
        </is>
      </c>
      <c r="D62" t="inlineStr">
        <is>
          <t>Registered Nurses</t>
        </is>
      </c>
      <c r="E62" s="29" t="n">
        <v>0</v>
      </c>
      <c r="F62" s="29" t="n">
        <v>0</v>
      </c>
      <c r="G62" s="30">
        <f>E62+F62</f>
        <v/>
      </c>
      <c r="H62" s="30">
        <f>(E62+G62)/2</f>
        <v/>
      </c>
      <c r="I62" s="31" t="n">
        <v>95495</v>
      </c>
      <c r="J62" s="32" t="n">
        <v>0.2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oews_title_catalog:oews_median</t>
        </is>
      </c>
    </row>
    <row r="63">
      <c r="A63" t="n">
        <v>17</v>
      </c>
      <c r="B63" t="inlineStr">
        <is>
          <t>supporting_staff</t>
        </is>
      </c>
      <c r="C63" t="inlineStr">
        <is>
          <t>Registered Nurses</t>
        </is>
      </c>
      <c r="D63" t="inlineStr">
        <is>
          <t>Registered Nurses</t>
        </is>
      </c>
      <c r="E63" s="29" t="n">
        <v>0</v>
      </c>
      <c r="F63" s="29" t="n">
        <v>0</v>
      </c>
      <c r="G63" s="30">
        <f>E63+F63</f>
        <v/>
      </c>
      <c r="H63" s="30">
        <f>(E63+G63)/2</f>
        <v/>
      </c>
      <c r="I63" s="31" t="n">
        <v>98360</v>
      </c>
      <c r="J63" s="32" t="n">
        <v>0.2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oews_title_catalog:oews_median</t>
        </is>
      </c>
    </row>
    <row r="64">
      <c r="A64" t="n">
        <v>18</v>
      </c>
      <c r="B64" t="inlineStr">
        <is>
          <t>supporting_staff</t>
        </is>
      </c>
      <c r="C64" t="inlineStr">
        <is>
          <t>Registered Nurses</t>
        </is>
      </c>
      <c r="D64" t="inlineStr">
        <is>
          <t>Registered Nurses</t>
        </is>
      </c>
      <c r="E64" s="29" t="n">
        <v>0</v>
      </c>
      <c r="F64" s="29" t="n">
        <v>0</v>
      </c>
      <c r="G64" s="30">
        <f>E64+F64</f>
        <v/>
      </c>
      <c r="H64" s="30">
        <f>(E64+G64)/2</f>
        <v/>
      </c>
      <c r="I64" s="31" t="n">
        <v>98360</v>
      </c>
      <c r="J64" s="32" t="n">
        <v>0.2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oews_title_catalog:oews_median</t>
        </is>
      </c>
    </row>
    <row r="65">
      <c r="A65" t="n">
        <v>19</v>
      </c>
      <c r="B65" t="inlineStr">
        <is>
          <t>supporting_staff</t>
        </is>
      </c>
      <c r="C65" t="inlineStr">
        <is>
          <t>Registered Nurses</t>
        </is>
      </c>
      <c r="D65" t="inlineStr">
        <is>
          <t>Registered Nurses</t>
        </is>
      </c>
      <c r="E65" s="29" t="n">
        <v>0</v>
      </c>
      <c r="F65" s="29" t="n">
        <v>0</v>
      </c>
      <c r="G65" s="30">
        <f>E65+F65</f>
        <v/>
      </c>
      <c r="H65" s="30">
        <f>(E65+G65)/2</f>
        <v/>
      </c>
      <c r="I65" s="31" t="n">
        <v>98360</v>
      </c>
      <c r="J65" s="32" t="n">
        <v>0.2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oews_title_catalog:oews_median</t>
        </is>
      </c>
    </row>
    <row r="66">
      <c r="A66" t="n">
        <v>20</v>
      </c>
      <c r="B66" t="inlineStr">
        <is>
          <t>supporting_staff</t>
        </is>
      </c>
      <c r="C66" t="inlineStr">
        <is>
          <t>Registered Nurses</t>
        </is>
      </c>
      <c r="D66" t="inlineStr">
        <is>
          <t>Registered Nurses</t>
        </is>
      </c>
      <c r="E66" s="29" t="n">
        <v>0</v>
      </c>
      <c r="F66" s="29" t="n">
        <v>0.1</v>
      </c>
      <c r="G66" s="30">
        <f>E66+F66</f>
        <v/>
      </c>
      <c r="H66" s="30">
        <f>(E66+G66)/2</f>
        <v/>
      </c>
      <c r="I66" s="31" t="n">
        <v>98360</v>
      </c>
      <c r="J66" s="32" t="n">
        <v>0.2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oews_title_catalog:oews_median</t>
        </is>
      </c>
    </row>
  </sheetData>
  <autoFilter ref="A26:N6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</v>
      </c>
      <c r="D12" s="13" t="n">
        <v>0.024375</v>
      </c>
      <c r="E12" s="13" t="n">
        <v>0.024375</v>
      </c>
      <c r="F12" s="13" t="n">
        <v>0.024375</v>
      </c>
      <c r="G12" s="13" t="n">
        <v>0.024375</v>
      </c>
      <c r="H12" s="13" t="n">
        <v>0.024375</v>
      </c>
      <c r="I12" s="13" t="n">
        <v>0.024375</v>
      </c>
      <c r="J12" s="13" t="n">
        <v>0.024375</v>
      </c>
      <c r="K12" s="13" t="n">
        <v>0.024375</v>
      </c>
      <c r="L12" s="13" t="n">
        <v>0.024375</v>
      </c>
      <c r="M12" s="13" t="n">
        <v>0.024375</v>
      </c>
      <c r="N12" s="13" t="n">
        <v>0.024375</v>
      </c>
      <c r="O12" s="13" t="n">
        <v>0.024375</v>
      </c>
      <c r="P12" s="13" t="n">
        <v>0.024375</v>
      </c>
      <c r="Q12" s="13" t="n">
        <v>0.024375</v>
      </c>
      <c r="R12" s="13" t="n">
        <v>0.024375</v>
      </c>
      <c r="S12" s="13" t="n">
        <v>0.024375</v>
      </c>
      <c r="T12" s="13" t="n">
        <v>0.024375</v>
      </c>
      <c r="U12" s="13" t="n">
        <v>0.024375</v>
      </c>
      <c r="V12" s="13" t="n">
        <v>0.024375</v>
      </c>
      <c r="W12" s="13" t="n">
        <v>0.024375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12000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70.98</v>
      </c>
      <c r="E8" s="35" t="n">
        <v>71.378837</v>
      </c>
      <c r="F8" s="35" t="n">
        <v>71.75892899999999</v>
      </c>
      <c r="G8" s="35" t="n">
        <v>72.120092</v>
      </c>
      <c r="H8" s="35" t="n">
        <v>72.462013</v>
      </c>
      <c r="I8" s="35" t="n">
        <v>72.784541</v>
      </c>
      <c r="J8" s="35" t="n">
        <v>73.08747099999999</v>
      </c>
      <c r="K8" s="35" t="n">
        <v>73.370538</v>
      </c>
      <c r="L8" s="35" t="n">
        <v>73.633572</v>
      </c>
      <c r="M8" s="35" t="n">
        <v>73.87641499999999</v>
      </c>
      <c r="N8" s="35" t="n">
        <v>74.098857</v>
      </c>
      <c r="O8" s="35" t="n">
        <v>74.300702</v>
      </c>
      <c r="P8" s="35" t="n">
        <v>74.481773</v>
      </c>
      <c r="Q8" s="35" t="n">
        <v>74.641835</v>
      </c>
      <c r="R8" s="35" t="n">
        <v>74.780818</v>
      </c>
      <c r="S8" s="35" t="n">
        <v>74.898448</v>
      </c>
      <c r="T8" s="35" t="n">
        <v>74.994692</v>
      </c>
      <c r="U8" s="35" t="n">
        <v>75.069312</v>
      </c>
      <c r="V8" s="35" t="n">
        <v>75.12216100000001</v>
      </c>
      <c r="W8" s="35" t="n">
        <v>675.153103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0.000296</v>
      </c>
      <c r="E10" s="13" t="n">
        <v>0.00059</v>
      </c>
      <c r="F10" s="13" t="n">
        <v>0.000882</v>
      </c>
      <c r="G10" s="13" t="n">
        <v>0.001174</v>
      </c>
      <c r="H10" s="13" t="n">
        <v>0.001464</v>
      </c>
      <c r="I10" s="13" t="n">
        <v>0.001753</v>
      </c>
      <c r="J10" s="13" t="n">
        <v>0.002042</v>
      </c>
      <c r="K10" s="13" t="n">
        <v>0.00233</v>
      </c>
      <c r="L10" s="13" t="n">
        <v>0.002617</v>
      </c>
      <c r="M10" s="13" t="n">
        <v>0.002904</v>
      </c>
      <c r="N10" s="13" t="n">
        <v>0.003191</v>
      </c>
      <c r="O10" s="13" t="n">
        <v>0.003478</v>
      </c>
      <c r="P10" s="13" t="n">
        <v>0.003766</v>
      </c>
      <c r="Q10" s="13" t="n">
        <v>0.004053</v>
      </c>
      <c r="R10" s="13" t="n">
        <v>0.004342</v>
      </c>
      <c r="S10" s="13" t="n">
        <v>0.00463</v>
      </c>
      <c r="T10" s="13" t="n">
        <v>0.00492</v>
      </c>
      <c r="U10" s="13" t="n">
        <v>0.005211</v>
      </c>
      <c r="V10" s="13" t="n">
        <v>0.005503</v>
      </c>
      <c r="W10" s="13" t="n">
        <v>0.008158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15</v>
      </c>
      <c r="E7" s="9" t="n">
        <v>15</v>
      </c>
      <c r="F7" s="9" t="n">
        <v>15</v>
      </c>
      <c r="G7" s="9" t="n">
        <v>15</v>
      </c>
      <c r="H7" s="9" t="n">
        <v>15</v>
      </c>
      <c r="I7" s="9" t="n">
        <v>15</v>
      </c>
      <c r="J7" s="9" t="n">
        <v>15</v>
      </c>
      <c r="K7" s="9" t="n">
        <v>15</v>
      </c>
      <c r="L7" s="9" t="n">
        <v>15</v>
      </c>
      <c r="M7" s="9" t="n">
        <v>15</v>
      </c>
      <c r="N7" s="9" t="n">
        <v>15</v>
      </c>
      <c r="O7" s="9" t="n">
        <v>15</v>
      </c>
      <c r="P7" s="9" t="n">
        <v>15</v>
      </c>
      <c r="Q7" s="9" t="n">
        <v>15</v>
      </c>
      <c r="R7" s="9" t="n">
        <v>15</v>
      </c>
      <c r="S7" s="9" t="n">
        <v>15</v>
      </c>
      <c r="T7" s="9" t="n">
        <v>15</v>
      </c>
      <c r="U7" s="9" t="n">
        <v>15</v>
      </c>
      <c r="V7" s="9" t="n">
        <v>15</v>
      </c>
      <c r="W7" s="9" t="n">
        <v>15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10</v>
      </c>
      <c r="E8" s="9" t="n">
        <v>10</v>
      </c>
      <c r="F8" s="9" t="n">
        <v>10</v>
      </c>
      <c r="G8" s="9" t="n">
        <v>10</v>
      </c>
      <c r="H8" s="9" t="n">
        <v>10</v>
      </c>
      <c r="I8" s="9" t="n">
        <v>10</v>
      </c>
      <c r="J8" s="9" t="n">
        <v>10</v>
      </c>
      <c r="K8" s="9" t="n">
        <v>10</v>
      </c>
      <c r="L8" s="9" t="n">
        <v>10</v>
      </c>
      <c r="M8" s="9" t="n">
        <v>10</v>
      </c>
      <c r="N8" s="9" t="n">
        <v>10</v>
      </c>
      <c r="O8" s="9" t="n">
        <v>10</v>
      </c>
      <c r="P8" s="9" t="n">
        <v>10</v>
      </c>
      <c r="Q8" s="9" t="n">
        <v>10</v>
      </c>
      <c r="R8" s="9" t="n">
        <v>10</v>
      </c>
      <c r="S8" s="9" t="n">
        <v>10</v>
      </c>
      <c r="T8" s="9" t="n">
        <v>10</v>
      </c>
      <c r="U8" s="9" t="n">
        <v>10</v>
      </c>
      <c r="V8" s="9" t="n">
        <v>10</v>
      </c>
      <c r="W8" s="9" t="n">
        <v>10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0.05</v>
      </c>
      <c r="E10" s="13" t="n">
        <v>0.05</v>
      </c>
      <c r="F10" s="13" t="n">
        <v>0.05</v>
      </c>
      <c r="G10" s="13" t="n">
        <v>0.05</v>
      </c>
      <c r="H10" s="13" t="n">
        <v>0.05</v>
      </c>
      <c r="I10" s="13" t="n">
        <v>0.05</v>
      </c>
      <c r="J10" s="13" t="n">
        <v>0.05</v>
      </c>
      <c r="K10" s="13" t="n">
        <v>0.05</v>
      </c>
      <c r="L10" s="13" t="n">
        <v>0.05</v>
      </c>
      <c r="M10" s="13" t="n">
        <v>0.05</v>
      </c>
      <c r="N10" s="13" t="n">
        <v>0.05</v>
      </c>
      <c r="O10" s="13" t="n">
        <v>0.05</v>
      </c>
      <c r="P10" s="13" t="n">
        <v>0.05</v>
      </c>
      <c r="Q10" s="13" t="n">
        <v>0.05</v>
      </c>
      <c r="R10" s="13" t="n">
        <v>0.05</v>
      </c>
      <c r="S10" s="13" t="n">
        <v>0.05</v>
      </c>
      <c r="T10" s="13" t="n">
        <v>0.05</v>
      </c>
      <c r="U10" s="13" t="n">
        <v>0.05</v>
      </c>
      <c r="V10" s="13" t="n">
        <v>0.05</v>
      </c>
      <c r="W10" s="13" t="n">
        <v>0.05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10000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3000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1200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20000</v>
      </c>
      <c r="D7" s="11" t="n">
        <v>84858</v>
      </c>
      <c r="E7" s="11" t="n">
        <v>114346</v>
      </c>
      <c r="F7" s="11" t="n">
        <v>141217</v>
      </c>
      <c r="G7" s="11" t="n">
        <v>165562</v>
      </c>
      <c r="H7" s="11" t="n">
        <v>188001</v>
      </c>
      <c r="I7" s="11" t="n">
        <v>207086</v>
      </c>
      <c r="J7" s="11" t="n">
        <v>222769</v>
      </c>
      <c r="K7" s="11" t="n">
        <v>234867</v>
      </c>
      <c r="L7" s="11" t="n">
        <v>244170</v>
      </c>
      <c r="M7" s="11" t="n">
        <v>249196</v>
      </c>
      <c r="N7" s="11" t="n">
        <v>250013</v>
      </c>
      <c r="O7" s="11" t="n">
        <v>250013</v>
      </c>
      <c r="P7" s="11" t="n">
        <v>250013</v>
      </c>
      <c r="Q7" s="11" t="n">
        <v>250013</v>
      </c>
      <c r="R7" s="11" t="n">
        <v>250013</v>
      </c>
      <c r="S7" s="11" t="n">
        <v>250013</v>
      </c>
      <c r="T7" s="11" t="n">
        <v>250013</v>
      </c>
      <c r="U7" s="11" t="n">
        <v>250013</v>
      </c>
      <c r="V7" s="11" t="n">
        <v>250013</v>
      </c>
      <c r="W7" s="11" t="n">
        <v>250013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135</v>
      </c>
      <c r="T9" s="11" t="n">
        <v>6481</v>
      </c>
      <c r="U9" s="11" t="n">
        <v>8197</v>
      </c>
      <c r="V9" s="11" t="n">
        <v>9534</v>
      </c>
      <c r="W9" s="11" t="n">
        <v>7611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3600</v>
      </c>
      <c r="D12" s="11" t="n">
        <v>3600</v>
      </c>
      <c r="E12" s="11" t="n">
        <v>3600</v>
      </c>
      <c r="F12" s="11" t="n">
        <v>3600</v>
      </c>
      <c r="G12" s="11" t="n">
        <v>3600</v>
      </c>
      <c r="H12" s="11" t="n">
        <v>3600</v>
      </c>
      <c r="I12" s="11" t="n">
        <v>3600</v>
      </c>
      <c r="J12" s="11" t="n">
        <v>3600</v>
      </c>
      <c r="K12" s="11" t="n">
        <v>3600</v>
      </c>
      <c r="L12" s="11" t="n">
        <v>3600</v>
      </c>
      <c r="M12" s="11" t="n">
        <v>3600</v>
      </c>
      <c r="N12" s="11" t="n">
        <v>3600</v>
      </c>
      <c r="O12" s="11" t="n">
        <v>3600</v>
      </c>
      <c r="P12" s="11" t="n">
        <v>3600</v>
      </c>
      <c r="Q12" s="11" t="n">
        <v>3600</v>
      </c>
      <c r="R12" s="11" t="n">
        <v>3600</v>
      </c>
      <c r="S12" s="11" t="n">
        <v>3600</v>
      </c>
      <c r="T12" s="11" t="n">
        <v>3600</v>
      </c>
      <c r="U12" s="11" t="n">
        <v>3600</v>
      </c>
      <c r="V12" s="11" t="n">
        <v>3600</v>
      </c>
      <c r="W12" s="11" t="n">
        <v>3600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6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Individual IV session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Individual IV session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Individual IV session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Individual IV session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8" t="inlineStr">
        <is>
          <t>Primary line of business / Monthly IV membership - Capacity</t>
        </is>
      </c>
      <c r="B11" s="8" t="inlineStr">
        <is>
          <t>Revenue Drivers schedule</t>
        </is>
      </c>
      <c r="C11" s="10">
        <f>'Revenue Drivers'!C14</f>
        <v/>
      </c>
      <c r="D11" s="10">
        <f>'Revenue Drivers'!D14</f>
        <v/>
      </c>
      <c r="E11" s="10">
        <f>'Revenue Drivers'!E14</f>
        <v/>
      </c>
      <c r="F11" s="10">
        <f>'Revenue Drivers'!F14</f>
        <v/>
      </c>
      <c r="G11" s="10">
        <f>'Revenue Drivers'!G14</f>
        <v/>
      </c>
      <c r="H11" s="10">
        <f>'Revenue Drivers'!H14</f>
        <v/>
      </c>
      <c r="I11" s="10">
        <f>'Revenue Drivers'!I14</f>
        <v/>
      </c>
      <c r="J11" s="10">
        <f>'Revenue Drivers'!J14</f>
        <v/>
      </c>
      <c r="K11" s="10">
        <f>'Revenue Drivers'!K14</f>
        <v/>
      </c>
      <c r="L11" s="10">
        <f>'Revenue Drivers'!L14</f>
        <v/>
      </c>
      <c r="M11" s="10">
        <f>'Revenue Drivers'!M14</f>
        <v/>
      </c>
      <c r="N11" s="10">
        <f>'Revenue Drivers'!N14</f>
        <v/>
      </c>
      <c r="O11" s="10">
        <f>'Revenue Drivers'!O14</f>
        <v/>
      </c>
      <c r="P11" s="10">
        <f>'Revenue Drivers'!P14</f>
        <v/>
      </c>
      <c r="Q11" s="10">
        <f>'Revenue Drivers'!Q14</f>
        <v/>
      </c>
      <c r="R11" s="10">
        <f>'Revenue Drivers'!R14</f>
        <v/>
      </c>
      <c r="S11" s="10">
        <f>'Revenue Drivers'!S14</f>
        <v/>
      </c>
      <c r="T11" s="10">
        <f>'Revenue Drivers'!T14</f>
        <v/>
      </c>
      <c r="U11" s="10">
        <f>'Revenue Drivers'!U14</f>
        <v/>
      </c>
      <c r="V11" s="10">
        <f>'Revenue Drivers'!V14</f>
        <v/>
      </c>
      <c r="W11" s="10">
        <f>'Revenue Drivers'!W14</f>
        <v/>
      </c>
      <c r="X11" s="10">
        <f>SUM(D11:G11)</f>
        <v/>
      </c>
      <c r="Y11" s="10">
        <f>SUM(H11:K11)</f>
        <v/>
      </c>
      <c r="Z11" s="10">
        <f>SUM(L11:O11)</f>
        <v/>
      </c>
      <c r="AA11" s="10">
        <f>SUM(P11:S11)</f>
        <v/>
      </c>
      <c r="AB11" s="10">
        <f>SUM(T11:W11)</f>
        <v/>
      </c>
    </row>
    <row r="12">
      <c r="A12" s="8" t="inlineStr">
        <is>
          <t>Primary line of business / Monthly IV membership - Unit Price</t>
        </is>
      </c>
      <c r="B12" s="8" t="inlineStr">
        <is>
          <t>Revenue Drivers schedule</t>
        </is>
      </c>
      <c r="C12" s="12">
        <f>'Revenue Drivers'!C15</f>
        <v/>
      </c>
      <c r="D12" s="12">
        <f>'Revenue Drivers'!D15</f>
        <v/>
      </c>
      <c r="E12" s="12">
        <f>'Revenue Drivers'!E15</f>
        <v/>
      </c>
      <c r="F12" s="12">
        <f>'Revenue Drivers'!F15</f>
        <v/>
      </c>
      <c r="G12" s="12">
        <f>'Revenue Drivers'!G15</f>
        <v/>
      </c>
      <c r="H12" s="12">
        <f>'Revenue Drivers'!H15</f>
        <v/>
      </c>
      <c r="I12" s="12">
        <f>'Revenue Drivers'!I15</f>
        <v/>
      </c>
      <c r="J12" s="12">
        <f>'Revenue Drivers'!J15</f>
        <v/>
      </c>
      <c r="K12" s="12">
        <f>'Revenue Drivers'!K15</f>
        <v/>
      </c>
      <c r="L12" s="12">
        <f>'Revenue Drivers'!L15</f>
        <v/>
      </c>
      <c r="M12" s="12">
        <f>'Revenue Drivers'!M15</f>
        <v/>
      </c>
      <c r="N12" s="12">
        <f>'Revenue Drivers'!N15</f>
        <v/>
      </c>
      <c r="O12" s="12">
        <f>'Revenue Drivers'!O15</f>
        <v/>
      </c>
      <c r="P12" s="12">
        <f>'Revenue Drivers'!P15</f>
        <v/>
      </c>
      <c r="Q12" s="12">
        <f>'Revenue Drivers'!Q15</f>
        <v/>
      </c>
      <c r="R12" s="12">
        <f>'Revenue Drivers'!R15</f>
        <v/>
      </c>
      <c r="S12" s="12">
        <f>'Revenue Drivers'!S15</f>
        <v/>
      </c>
      <c r="T12" s="12">
        <f>'Revenue Drivers'!T15</f>
        <v/>
      </c>
      <c r="U12" s="12">
        <f>'Revenue Drivers'!U15</f>
        <v/>
      </c>
      <c r="V12" s="12">
        <f>'Revenue Drivers'!V15</f>
        <v/>
      </c>
      <c r="W12" s="12">
        <f>'Revenue Drivers'!W15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Primary line of business / Monthly IV membership - Utilization</t>
        </is>
      </c>
      <c r="B13" s="8" t="inlineStr">
        <is>
          <t>Revenue Drivers schedule</t>
        </is>
      </c>
      <c r="C13" s="14">
        <f>'Revenue Drivers'!C16</f>
        <v/>
      </c>
      <c r="D13" s="14">
        <f>'Revenue Drivers'!D16</f>
        <v/>
      </c>
      <c r="E13" s="14">
        <f>'Revenue Drivers'!E16</f>
        <v/>
      </c>
      <c r="F13" s="14">
        <f>'Revenue Drivers'!F16</f>
        <v/>
      </c>
      <c r="G13" s="14">
        <f>'Revenue Drivers'!G16</f>
        <v/>
      </c>
      <c r="H13" s="14">
        <f>'Revenue Drivers'!H16</f>
        <v/>
      </c>
      <c r="I13" s="14">
        <f>'Revenue Drivers'!I16</f>
        <v/>
      </c>
      <c r="J13" s="14">
        <f>'Revenue Drivers'!J16</f>
        <v/>
      </c>
      <c r="K13" s="14">
        <f>'Revenue Drivers'!K16</f>
        <v/>
      </c>
      <c r="L13" s="14">
        <f>'Revenue Drivers'!L16</f>
        <v/>
      </c>
      <c r="M13" s="14">
        <f>'Revenue Drivers'!M16</f>
        <v/>
      </c>
      <c r="N13" s="14">
        <f>'Revenue Drivers'!N16</f>
        <v/>
      </c>
      <c r="O13" s="14">
        <f>'Revenue Drivers'!O16</f>
        <v/>
      </c>
      <c r="P13" s="14">
        <f>'Revenue Drivers'!P16</f>
        <v/>
      </c>
      <c r="Q13" s="14">
        <f>'Revenue Drivers'!Q16</f>
        <v/>
      </c>
      <c r="R13" s="14">
        <f>'Revenue Drivers'!R16</f>
        <v/>
      </c>
      <c r="S13" s="14">
        <f>'Revenue Drivers'!S16</f>
        <v/>
      </c>
      <c r="T13" s="14">
        <f>'Revenue Drivers'!T16</f>
        <v/>
      </c>
      <c r="U13" s="14">
        <f>'Revenue Drivers'!U16</f>
        <v/>
      </c>
      <c r="V13" s="14">
        <f>'Revenue Drivers'!V16</f>
        <v/>
      </c>
      <c r="W13" s="14">
        <f>'Revenue Drivers'!W16</f>
        <v/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Primary line of business / Monthly IV membership - Revenue</t>
        </is>
      </c>
      <c r="B14" s="8" t="inlineStr">
        <is>
          <t>Revenue Drivers schedule</t>
        </is>
      </c>
      <c r="C14" s="12">
        <f>'Revenue Drivers'!C17</f>
        <v/>
      </c>
      <c r="D14" s="12">
        <f>'Revenue Drivers'!D17</f>
        <v/>
      </c>
      <c r="E14" s="12">
        <f>'Revenue Drivers'!E17</f>
        <v/>
      </c>
      <c r="F14" s="12">
        <f>'Revenue Drivers'!F17</f>
        <v/>
      </c>
      <c r="G14" s="12">
        <f>'Revenue Drivers'!G17</f>
        <v/>
      </c>
      <c r="H14" s="12">
        <f>'Revenue Drivers'!H17</f>
        <v/>
      </c>
      <c r="I14" s="12">
        <f>'Revenue Drivers'!I17</f>
        <v/>
      </c>
      <c r="J14" s="12">
        <f>'Revenue Drivers'!J17</f>
        <v/>
      </c>
      <c r="K14" s="12">
        <f>'Revenue Drivers'!K17</f>
        <v/>
      </c>
      <c r="L14" s="12">
        <f>'Revenue Drivers'!L17</f>
        <v/>
      </c>
      <c r="M14" s="12">
        <f>'Revenue Drivers'!M17</f>
        <v/>
      </c>
      <c r="N14" s="12">
        <f>'Revenue Drivers'!N17</f>
        <v/>
      </c>
      <c r="O14" s="12">
        <f>'Revenue Drivers'!O17</f>
        <v/>
      </c>
      <c r="P14" s="12">
        <f>'Revenue Drivers'!P17</f>
        <v/>
      </c>
      <c r="Q14" s="12">
        <f>'Revenue Drivers'!Q17</f>
        <v/>
      </c>
      <c r="R14" s="12">
        <f>'Revenue Drivers'!R17</f>
        <v/>
      </c>
      <c r="S14" s="12">
        <f>'Revenue Drivers'!S17</f>
        <v/>
      </c>
      <c r="T14" s="12">
        <f>'Revenue Drivers'!T17</f>
        <v/>
      </c>
      <c r="U14" s="12">
        <f>'Revenue Drivers'!U17</f>
        <v/>
      </c>
      <c r="V14" s="12">
        <f>'Revenue Drivers'!V17</f>
        <v/>
      </c>
      <c r="W14" s="12">
        <f>'Revenue Drivers'!W17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Primary line of business / Retail wellness products - Capacity</t>
        </is>
      </c>
      <c r="B15" s="8" t="inlineStr">
        <is>
          <t>Revenue Drivers schedule</t>
        </is>
      </c>
      <c r="C15" s="10">
        <f>'Revenue Drivers'!C20</f>
        <v/>
      </c>
      <c r="D15" s="10">
        <f>'Revenue Drivers'!D20</f>
        <v/>
      </c>
      <c r="E15" s="10">
        <f>'Revenue Drivers'!E20</f>
        <v/>
      </c>
      <c r="F15" s="10">
        <f>'Revenue Drivers'!F20</f>
        <v/>
      </c>
      <c r="G15" s="10">
        <f>'Revenue Drivers'!G20</f>
        <v/>
      </c>
      <c r="H15" s="10">
        <f>'Revenue Drivers'!H20</f>
        <v/>
      </c>
      <c r="I15" s="10">
        <f>'Revenue Drivers'!I20</f>
        <v/>
      </c>
      <c r="J15" s="10">
        <f>'Revenue Drivers'!J20</f>
        <v/>
      </c>
      <c r="K15" s="10">
        <f>'Revenue Drivers'!K20</f>
        <v/>
      </c>
      <c r="L15" s="10">
        <f>'Revenue Drivers'!L20</f>
        <v/>
      </c>
      <c r="M15" s="10">
        <f>'Revenue Drivers'!M20</f>
        <v/>
      </c>
      <c r="N15" s="10">
        <f>'Revenue Drivers'!N20</f>
        <v/>
      </c>
      <c r="O15" s="10">
        <f>'Revenue Drivers'!O20</f>
        <v/>
      </c>
      <c r="P15" s="10">
        <f>'Revenue Drivers'!P20</f>
        <v/>
      </c>
      <c r="Q15" s="10">
        <f>'Revenue Drivers'!Q20</f>
        <v/>
      </c>
      <c r="R15" s="10">
        <f>'Revenue Drivers'!R20</f>
        <v/>
      </c>
      <c r="S15" s="10">
        <f>'Revenue Drivers'!S20</f>
        <v/>
      </c>
      <c r="T15" s="10">
        <f>'Revenue Drivers'!T20</f>
        <v/>
      </c>
      <c r="U15" s="10">
        <f>'Revenue Drivers'!U20</f>
        <v/>
      </c>
      <c r="V15" s="10">
        <f>'Revenue Drivers'!V20</f>
        <v/>
      </c>
      <c r="W15" s="10">
        <f>'Revenue Drivers'!W20</f>
        <v/>
      </c>
      <c r="X15" s="10">
        <f>SUM(D15:G15)</f>
        <v/>
      </c>
      <c r="Y15" s="10">
        <f>SUM(H15:K15)</f>
        <v/>
      </c>
      <c r="Z15" s="10">
        <f>SUM(L15:O15)</f>
        <v/>
      </c>
      <c r="AA15" s="10">
        <f>SUM(P15:S15)</f>
        <v/>
      </c>
      <c r="AB15" s="10">
        <f>SUM(T15:W15)</f>
        <v/>
      </c>
    </row>
    <row r="16">
      <c r="A16" s="8" t="inlineStr">
        <is>
          <t>Primary line of business / Retail wellness products - Unit Price</t>
        </is>
      </c>
      <c r="B16" s="8" t="inlineStr">
        <is>
          <t>Revenue Drivers schedule</t>
        </is>
      </c>
      <c r="C16" s="12">
        <f>'Revenue Drivers'!C21</f>
        <v/>
      </c>
      <c r="D16" s="12">
        <f>'Revenue Drivers'!D21</f>
        <v/>
      </c>
      <c r="E16" s="12">
        <f>'Revenue Drivers'!E21</f>
        <v/>
      </c>
      <c r="F16" s="12">
        <f>'Revenue Drivers'!F21</f>
        <v/>
      </c>
      <c r="G16" s="12">
        <f>'Revenue Drivers'!G21</f>
        <v/>
      </c>
      <c r="H16" s="12">
        <f>'Revenue Drivers'!H21</f>
        <v/>
      </c>
      <c r="I16" s="12">
        <f>'Revenue Drivers'!I21</f>
        <v/>
      </c>
      <c r="J16" s="12">
        <f>'Revenue Drivers'!J21</f>
        <v/>
      </c>
      <c r="K16" s="12">
        <f>'Revenue Drivers'!K21</f>
        <v/>
      </c>
      <c r="L16" s="12">
        <f>'Revenue Drivers'!L21</f>
        <v/>
      </c>
      <c r="M16" s="12">
        <f>'Revenue Drivers'!M21</f>
        <v/>
      </c>
      <c r="N16" s="12">
        <f>'Revenue Drivers'!N21</f>
        <v/>
      </c>
      <c r="O16" s="12">
        <f>'Revenue Drivers'!O21</f>
        <v/>
      </c>
      <c r="P16" s="12">
        <f>'Revenue Drivers'!P21</f>
        <v/>
      </c>
      <c r="Q16" s="12">
        <f>'Revenue Drivers'!Q21</f>
        <v/>
      </c>
      <c r="R16" s="12">
        <f>'Revenue Drivers'!R21</f>
        <v/>
      </c>
      <c r="S16" s="12">
        <f>'Revenue Drivers'!S21</f>
        <v/>
      </c>
      <c r="T16" s="12">
        <f>'Revenue Drivers'!T21</f>
        <v/>
      </c>
      <c r="U16" s="12">
        <f>'Revenue Drivers'!U21</f>
        <v/>
      </c>
      <c r="V16" s="12">
        <f>'Revenue Drivers'!V21</f>
        <v/>
      </c>
      <c r="W16" s="12">
        <f>'Revenue Drivers'!W21</f>
        <v/>
      </c>
      <c r="X16" s="12">
        <f>SUM(D16:G16)</f>
        <v/>
      </c>
      <c r="Y16" s="12">
        <f>SUM(H16:K16)</f>
        <v/>
      </c>
      <c r="Z16" s="12">
        <f>SUM(L16:O16)</f>
        <v/>
      </c>
      <c r="AA16" s="12">
        <f>SUM(P16:S16)</f>
        <v/>
      </c>
      <c r="AB16" s="12">
        <f>SUM(T16:W16)</f>
        <v/>
      </c>
    </row>
    <row r="17">
      <c r="A17" s="8" t="inlineStr">
        <is>
          <t>Primary line of business / Retail wellness products - Utilization</t>
        </is>
      </c>
      <c r="B17" s="8" t="inlineStr">
        <is>
          <t>Revenue Drivers schedule</t>
        </is>
      </c>
      <c r="C17" s="14">
        <f>'Revenue Drivers'!C22</f>
        <v/>
      </c>
      <c r="D17" s="14">
        <f>'Revenue Drivers'!D22</f>
        <v/>
      </c>
      <c r="E17" s="14">
        <f>'Revenue Drivers'!E22</f>
        <v/>
      </c>
      <c r="F17" s="14">
        <f>'Revenue Drivers'!F22</f>
        <v/>
      </c>
      <c r="G17" s="14">
        <f>'Revenue Drivers'!G22</f>
        <v/>
      </c>
      <c r="H17" s="14">
        <f>'Revenue Drivers'!H22</f>
        <v/>
      </c>
      <c r="I17" s="14">
        <f>'Revenue Drivers'!I22</f>
        <v/>
      </c>
      <c r="J17" s="14">
        <f>'Revenue Drivers'!J22</f>
        <v/>
      </c>
      <c r="K17" s="14">
        <f>'Revenue Drivers'!K22</f>
        <v/>
      </c>
      <c r="L17" s="14">
        <f>'Revenue Drivers'!L22</f>
        <v/>
      </c>
      <c r="M17" s="14">
        <f>'Revenue Drivers'!M22</f>
        <v/>
      </c>
      <c r="N17" s="14">
        <f>'Revenue Drivers'!N22</f>
        <v/>
      </c>
      <c r="O17" s="14">
        <f>'Revenue Drivers'!O22</f>
        <v/>
      </c>
      <c r="P17" s="14">
        <f>'Revenue Drivers'!P22</f>
        <v/>
      </c>
      <c r="Q17" s="14">
        <f>'Revenue Drivers'!Q22</f>
        <v/>
      </c>
      <c r="R17" s="14">
        <f>'Revenue Drivers'!R22</f>
        <v/>
      </c>
      <c r="S17" s="14">
        <f>'Revenue Drivers'!S22</f>
        <v/>
      </c>
      <c r="T17" s="14">
        <f>'Revenue Drivers'!T22</f>
        <v/>
      </c>
      <c r="U17" s="14">
        <f>'Revenue Drivers'!U22</f>
        <v/>
      </c>
      <c r="V17" s="14">
        <f>'Revenue Drivers'!V22</f>
        <v/>
      </c>
      <c r="W17" s="14">
        <f>'Revenue Drivers'!W22</f>
        <v/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8" t="inlineStr">
        <is>
          <t>Primary line of business / Retail wellness products - Revenue</t>
        </is>
      </c>
      <c r="B18" s="8" t="inlineStr">
        <is>
          <t>Revenue Drivers schedule</t>
        </is>
      </c>
      <c r="C18" s="12">
        <f>'Revenue Drivers'!C23</f>
        <v/>
      </c>
      <c r="D18" s="12">
        <f>'Revenue Drivers'!D23</f>
        <v/>
      </c>
      <c r="E18" s="12">
        <f>'Revenue Drivers'!E23</f>
        <v/>
      </c>
      <c r="F18" s="12">
        <f>'Revenue Drivers'!F23</f>
        <v/>
      </c>
      <c r="G18" s="12">
        <f>'Revenue Drivers'!G23</f>
        <v/>
      </c>
      <c r="H18" s="12">
        <f>'Revenue Drivers'!H23</f>
        <v/>
      </c>
      <c r="I18" s="12">
        <f>'Revenue Drivers'!I23</f>
        <v/>
      </c>
      <c r="J18" s="12">
        <f>'Revenue Drivers'!J23</f>
        <v/>
      </c>
      <c r="K18" s="12">
        <f>'Revenue Drivers'!K23</f>
        <v/>
      </c>
      <c r="L18" s="12">
        <f>'Revenue Drivers'!L23</f>
        <v/>
      </c>
      <c r="M18" s="12">
        <f>'Revenue Drivers'!M23</f>
        <v/>
      </c>
      <c r="N18" s="12">
        <f>'Revenue Drivers'!N23</f>
        <v/>
      </c>
      <c r="O18" s="12">
        <f>'Revenue Drivers'!O23</f>
        <v/>
      </c>
      <c r="P18" s="12">
        <f>'Revenue Drivers'!P23</f>
        <v/>
      </c>
      <c r="Q18" s="12">
        <f>'Revenue Drivers'!Q23</f>
        <v/>
      </c>
      <c r="R18" s="12">
        <f>'Revenue Drivers'!R23</f>
        <v/>
      </c>
      <c r="S18" s="12">
        <f>'Revenue Drivers'!S23</f>
        <v/>
      </c>
      <c r="T18" s="12">
        <f>'Revenue Drivers'!T23</f>
        <v/>
      </c>
      <c r="U18" s="12">
        <f>'Revenue Drivers'!U23</f>
        <v/>
      </c>
      <c r="V18" s="12">
        <f>'Revenue Drivers'!V23</f>
        <v/>
      </c>
      <c r="W18" s="12">
        <f>'Revenue Drivers'!W23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19" t="inlineStr">
        <is>
          <t>Revenue</t>
        </is>
      </c>
      <c r="B19" s="19" t="inlineStr">
        <is>
          <t>Revenue Drivers schedule</t>
        </is>
      </c>
      <c r="C19" s="20">
        <f>'Revenue Drivers'!C26</f>
        <v/>
      </c>
      <c r="D19" s="20">
        <f>'Revenue Drivers'!D26</f>
        <v/>
      </c>
      <c r="E19" s="20">
        <f>'Revenue Drivers'!E26</f>
        <v/>
      </c>
      <c r="F19" s="20">
        <f>'Revenue Drivers'!F26</f>
        <v/>
      </c>
      <c r="G19" s="20">
        <f>'Revenue Drivers'!G26</f>
        <v/>
      </c>
      <c r="H19" s="20">
        <f>'Revenue Drivers'!H26</f>
        <v/>
      </c>
      <c r="I19" s="20">
        <f>'Revenue Drivers'!I26</f>
        <v/>
      </c>
      <c r="J19" s="20">
        <f>'Revenue Drivers'!J26</f>
        <v/>
      </c>
      <c r="K19" s="20">
        <f>'Revenue Drivers'!K26</f>
        <v/>
      </c>
      <c r="L19" s="20">
        <f>'Revenue Drivers'!L26</f>
        <v/>
      </c>
      <c r="M19" s="20">
        <f>'Revenue Drivers'!M26</f>
        <v/>
      </c>
      <c r="N19" s="20">
        <f>'Revenue Drivers'!N26</f>
        <v/>
      </c>
      <c r="O19" s="20">
        <f>'Revenue Drivers'!O26</f>
        <v/>
      </c>
      <c r="P19" s="20">
        <f>'Revenue Drivers'!P26</f>
        <v/>
      </c>
      <c r="Q19" s="20">
        <f>'Revenue Drivers'!Q26</f>
        <v/>
      </c>
      <c r="R19" s="20">
        <f>'Revenue Drivers'!R26</f>
        <v/>
      </c>
      <c r="S19" s="20">
        <f>'Revenue Drivers'!S26</f>
        <v/>
      </c>
      <c r="T19" s="20">
        <f>'Revenue Drivers'!T26</f>
        <v/>
      </c>
      <c r="U19" s="20">
        <f>'Revenue Drivers'!U26</f>
        <v/>
      </c>
      <c r="V19" s="20">
        <f>'Revenue Drivers'!V26</f>
        <v/>
      </c>
      <c r="W19" s="20">
        <f>'Revenue Drivers'!W26</f>
        <v/>
      </c>
      <c r="X19" s="20">
        <f>SUM(D19:G19)</f>
        <v/>
      </c>
      <c r="Y19" s="20">
        <f>SUM(H19:K19)</f>
        <v/>
      </c>
      <c r="Z19" s="20">
        <f>SUM(L19:O19)</f>
        <v/>
      </c>
      <c r="AA19" s="20">
        <f>SUM(P19:S19)</f>
        <v/>
      </c>
      <c r="AB19" s="20">
        <f>SUM(T19:W19)</f>
        <v/>
      </c>
    </row>
    <row r="20">
      <c r="A20" s="8" t="inlineStr">
        <is>
          <t>Cost of Goods Sold</t>
        </is>
      </c>
      <c r="B20" s="8" t="inlineStr">
        <is>
          <t>Direct model driver</t>
        </is>
      </c>
      <c r="C20" s="14" t="n">
        <v>0.32</v>
      </c>
      <c r="D20" s="14" t="n">
        <v>0.48</v>
      </c>
      <c r="E20" s="14" t="n">
        <v>0.474</v>
      </c>
      <c r="F20" s="14" t="n">
        <v>0.468</v>
      </c>
      <c r="G20" s="14" t="n">
        <v>0.462</v>
      </c>
      <c r="H20" s="14" t="n">
        <v>0.456</v>
      </c>
      <c r="I20" s="14" t="n">
        <v>0.45</v>
      </c>
      <c r="J20" s="14" t="n">
        <v>0.444</v>
      </c>
      <c r="K20" s="14" t="n">
        <v>0.438</v>
      </c>
      <c r="L20" s="14" t="n">
        <v>0.432</v>
      </c>
      <c r="M20" s="14" t="n">
        <v>0.426</v>
      </c>
      <c r="N20" s="14" t="n">
        <v>0.42</v>
      </c>
      <c r="O20" s="14" t="n">
        <v>0.4177777777777777</v>
      </c>
      <c r="P20" s="14" t="n">
        <v>0.4155555555555556</v>
      </c>
      <c r="Q20" s="14" t="n">
        <v>0.4133333333333333</v>
      </c>
      <c r="R20" s="14" t="n">
        <v>0.4111111111111111</v>
      </c>
      <c r="S20" s="14" t="n">
        <v>0.4088888888888889</v>
      </c>
      <c r="T20" s="14" t="n">
        <v>0.4066666666666667</v>
      </c>
      <c r="U20" s="14" t="n">
        <v>0.4044444444444444</v>
      </c>
      <c r="V20" s="14" t="n">
        <v>0.4022222222222223</v>
      </c>
      <c r="W20" s="14" t="n">
        <v>0.4</v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Marketing</t>
        </is>
      </c>
      <c r="B21" s="8" t="inlineStr">
        <is>
          <t>Direct model driver</t>
        </is>
      </c>
      <c r="C21" s="14" t="n">
        <v>0.22</v>
      </c>
      <c r="D21" s="14" t="n">
        <v>0.24</v>
      </c>
      <c r="E21" s="14" t="n">
        <v>0.228</v>
      </c>
      <c r="F21" s="14" t="n">
        <v>0.216</v>
      </c>
      <c r="G21" s="14" t="n">
        <v>0.204</v>
      </c>
      <c r="H21" s="14" t="n">
        <v>0.192</v>
      </c>
      <c r="I21" s="14" t="n">
        <v>0.18</v>
      </c>
      <c r="J21" s="14" t="n">
        <v>0.168</v>
      </c>
      <c r="K21" s="14" t="n">
        <v>0.156</v>
      </c>
      <c r="L21" s="14" t="n">
        <v>0.144</v>
      </c>
      <c r="M21" s="14" t="n">
        <v>0.132</v>
      </c>
      <c r="N21" s="14" t="n">
        <v>0.12</v>
      </c>
      <c r="O21" s="14" t="n">
        <v>0.1155555555555556</v>
      </c>
      <c r="P21" s="14" t="n">
        <v>0.1111111111111111</v>
      </c>
      <c r="Q21" s="14" t="n">
        <v>0.1066666666666667</v>
      </c>
      <c r="R21" s="14" t="n">
        <v>0.1022222222222222</v>
      </c>
      <c r="S21" s="14" t="n">
        <v>0.09777777777777777</v>
      </c>
      <c r="T21" s="14" t="n">
        <v>0.09333333333333332</v>
      </c>
      <c r="U21" s="14" t="n">
        <v>0.08888888888888889</v>
      </c>
      <c r="V21" s="14" t="n">
        <v>0.08444444444444445</v>
      </c>
      <c r="W21" s="14" t="n">
        <v>0.08</v>
      </c>
      <c r="X21" s="14">
        <f>SUM(D21:G21)</f>
        <v/>
      </c>
      <c r="Y21" s="14">
        <f>SUM(H21:K21)</f>
        <v/>
      </c>
      <c r="Z21" s="14">
        <f>SUM(L21:O21)</f>
        <v/>
      </c>
      <c r="AA21" s="14">
        <f>SUM(P21:S21)</f>
        <v/>
      </c>
      <c r="AB21" s="14">
        <f>SUM(T21:W21)</f>
        <v/>
      </c>
    </row>
    <row r="22">
      <c r="A22" s="8" t="inlineStr">
        <is>
          <t>Research &amp; Development</t>
        </is>
      </c>
      <c r="B22" s="8" t="inlineStr">
        <is>
          <t>Direct model driver</t>
        </is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3">
      <c r="A23" s="34" t="inlineStr">
        <is>
          <t>Lease</t>
        </is>
      </c>
      <c r="B23" s="34" t="inlineStr">
        <is>
          <t>Cash Equity Schedule output</t>
        </is>
      </c>
      <c r="C23" s="35">
        <f>'Cash Equity Schedule'!C12</f>
        <v/>
      </c>
      <c r="D23" s="35">
        <f>'Cash Equity Schedule'!D12</f>
        <v/>
      </c>
      <c r="E23" s="35">
        <f>'Cash Equity Schedule'!E12</f>
        <v/>
      </c>
      <c r="F23" s="35">
        <f>'Cash Equity Schedule'!F12</f>
        <v/>
      </c>
      <c r="G23" s="35">
        <f>'Cash Equity Schedule'!G12</f>
        <v/>
      </c>
      <c r="H23" s="35">
        <f>'Cash Equity Schedule'!H12</f>
        <v/>
      </c>
      <c r="I23" s="35">
        <f>'Cash Equity Schedule'!I12</f>
        <v/>
      </c>
      <c r="J23" s="35">
        <f>'Cash Equity Schedule'!J12</f>
        <v/>
      </c>
      <c r="K23" s="35">
        <f>'Cash Equity Schedule'!K12</f>
        <v/>
      </c>
      <c r="L23" s="35">
        <f>'Cash Equity Schedule'!L12</f>
        <v/>
      </c>
      <c r="M23" s="35">
        <f>'Cash Equity Schedule'!M12</f>
        <v/>
      </c>
      <c r="N23" s="35">
        <f>'Cash Equity Schedule'!N12</f>
        <v/>
      </c>
      <c r="O23" s="35">
        <f>'Cash Equity Schedule'!O12</f>
        <v/>
      </c>
      <c r="P23" s="35">
        <f>'Cash Equity Schedule'!P12</f>
        <v/>
      </c>
      <c r="Q23" s="35">
        <f>'Cash Equity Schedule'!Q12</f>
        <v/>
      </c>
      <c r="R23" s="35">
        <f>'Cash Equity Schedule'!R12</f>
        <v/>
      </c>
      <c r="S23" s="35">
        <f>'Cash Equity Schedule'!S12</f>
        <v/>
      </c>
      <c r="T23" s="35">
        <f>'Cash Equity Schedule'!T12</f>
        <v/>
      </c>
      <c r="U23" s="35">
        <f>'Cash Equity Schedule'!U12</f>
        <v/>
      </c>
      <c r="V23" s="35">
        <f>'Cash Equity Schedule'!V12</f>
        <v/>
      </c>
      <c r="W23" s="35">
        <f>'Cash Equity Schedule'!W12</f>
        <v/>
      </c>
      <c r="X23" s="35">
        <f>SUM(D23:G23)</f>
        <v/>
      </c>
      <c r="Y23" s="35">
        <f>SUM(H23:K23)</f>
        <v/>
      </c>
      <c r="Z23" s="35">
        <f>SUM(L23:O23)</f>
        <v/>
      </c>
      <c r="AA23" s="35">
        <f>SUM(P23:S23)</f>
        <v/>
      </c>
      <c r="AB23" s="35">
        <f>SUM(T23:W23)</f>
        <v/>
      </c>
    </row>
    <row r="24">
      <c r="A24" s="34" t="inlineStr">
        <is>
          <t>Payroll</t>
        </is>
      </c>
      <c r="B24" s="34" t="inlineStr">
        <is>
          <t>Payroll Schedule output</t>
        </is>
      </c>
      <c r="C24" s="35" t="n">
        <v>27200</v>
      </c>
      <c r="D24" s="35">
        <f>'Payroll Schedule'!D17</f>
        <v/>
      </c>
      <c r="E24" s="35">
        <f>'Payroll Schedule'!E17</f>
        <v/>
      </c>
      <c r="F24" s="35">
        <f>'Payroll Schedule'!F17</f>
        <v/>
      </c>
      <c r="G24" s="35">
        <f>'Payroll Schedule'!G17</f>
        <v/>
      </c>
      <c r="H24" s="35">
        <f>'Payroll Schedule'!H17</f>
        <v/>
      </c>
      <c r="I24" s="35">
        <f>'Payroll Schedule'!I17</f>
        <v/>
      </c>
      <c r="J24" s="35">
        <f>'Payroll Schedule'!J17</f>
        <v/>
      </c>
      <c r="K24" s="35">
        <f>'Payroll Schedule'!K17</f>
        <v/>
      </c>
      <c r="L24" s="35">
        <f>'Payroll Schedule'!L17</f>
        <v/>
      </c>
      <c r="M24" s="35">
        <f>'Payroll Schedule'!M17</f>
        <v/>
      </c>
      <c r="N24" s="35">
        <f>'Payroll Schedule'!N17</f>
        <v/>
      </c>
      <c r="O24" s="35">
        <f>'Payroll Schedule'!O17</f>
        <v/>
      </c>
      <c r="P24" s="35">
        <f>'Payroll Schedule'!P17</f>
        <v/>
      </c>
      <c r="Q24" s="35">
        <f>'Payroll Schedule'!Q17</f>
        <v/>
      </c>
      <c r="R24" s="35">
        <f>'Payroll Schedule'!R17</f>
        <v/>
      </c>
      <c r="S24" s="35">
        <f>'Payroll Schedule'!S17</f>
        <v/>
      </c>
      <c r="T24" s="35">
        <f>'Payroll Schedule'!T17</f>
        <v/>
      </c>
      <c r="U24" s="35">
        <f>'Payroll Schedule'!U17</f>
        <v/>
      </c>
      <c r="V24" s="35">
        <f>'Payroll Schedule'!V17</f>
        <v/>
      </c>
      <c r="W24" s="35">
        <f>'Payroll Schedule'!W17</f>
        <v/>
      </c>
      <c r="X24" s="35">
        <f>SUM(D24:G24)</f>
        <v/>
      </c>
      <c r="Y24" s="35">
        <f>SUM(H24:K24)</f>
        <v/>
      </c>
      <c r="Z24" s="35">
        <f>SUM(L24:O24)</f>
        <v/>
      </c>
      <c r="AA24" s="35">
        <f>SUM(P24:S24)</f>
        <v/>
      </c>
      <c r="AB24" s="35">
        <f>SUM(T24:W24)</f>
        <v/>
      </c>
    </row>
    <row r="25">
      <c r="A25" s="8" t="inlineStr">
        <is>
          <t>General &amp; Administrative</t>
        </is>
      </c>
      <c r="B25" s="8" t="inlineStr">
        <is>
          <t>Direct model driver</t>
        </is>
      </c>
      <c r="C25" s="14" t="n">
        <v>0.005407</v>
      </c>
      <c r="D25" s="14" t="n">
        <v>0.24</v>
      </c>
      <c r="E25" s="14" t="n">
        <v>0.228</v>
      </c>
      <c r="F25" s="14" t="n">
        <v>0.216</v>
      </c>
      <c r="G25" s="14" t="n">
        <v>0.204</v>
      </c>
      <c r="H25" s="14" t="n">
        <v>0.192</v>
      </c>
      <c r="I25" s="14" t="n">
        <v>0.18</v>
      </c>
      <c r="J25" s="14" t="n">
        <v>0.168</v>
      </c>
      <c r="K25" s="14" t="n">
        <v>0.156</v>
      </c>
      <c r="L25" s="14" t="n">
        <v>0.144</v>
      </c>
      <c r="M25" s="14" t="n">
        <v>0.132</v>
      </c>
      <c r="N25" s="14" t="n">
        <v>0.12</v>
      </c>
      <c r="O25" s="14" t="n">
        <v>0.1155555555555556</v>
      </c>
      <c r="P25" s="14" t="n">
        <v>0.1111111111111111</v>
      </c>
      <c r="Q25" s="14" t="n">
        <v>0.1066666666666667</v>
      </c>
      <c r="R25" s="14" t="n">
        <v>0.1022222222222222</v>
      </c>
      <c r="S25" s="14" t="n">
        <v>0.09777777777777777</v>
      </c>
      <c r="T25" s="14" t="n">
        <v>0.09333333333333332</v>
      </c>
      <c r="U25" s="14" t="n">
        <v>0.08888888888888889</v>
      </c>
      <c r="V25" s="14" t="n">
        <v>0.08444444444444445</v>
      </c>
      <c r="W25" s="14" t="n">
        <v>0.08</v>
      </c>
      <c r="X25" s="14">
        <f>SUM(D25:G25)</f>
        <v/>
      </c>
      <c r="Y25" s="14">
        <f>SUM(H25:K25)</f>
        <v/>
      </c>
      <c r="Z25" s="14">
        <f>SUM(L25:O25)</f>
        <v/>
      </c>
      <c r="AA25" s="14">
        <f>SUM(P25:S25)</f>
        <v/>
      </c>
      <c r="AB25" s="14">
        <f>SUM(T25:W25)</f>
        <v/>
      </c>
    </row>
    <row r="26">
      <c r="A26" s="34" t="inlineStr">
        <is>
          <t>Interest Rate</t>
        </is>
      </c>
      <c r="B26" s="34" t="inlineStr">
        <is>
          <t>Debt Schedule output</t>
        </is>
      </c>
      <c r="C26" s="36">
        <f>'Debt Schedule'!C12</f>
        <v/>
      </c>
      <c r="D26" s="36">
        <f>'Debt Schedule'!D12</f>
        <v/>
      </c>
      <c r="E26" s="36">
        <f>'Debt Schedule'!E12</f>
        <v/>
      </c>
      <c r="F26" s="36">
        <f>'Debt Schedule'!F12</f>
        <v/>
      </c>
      <c r="G26" s="36">
        <f>'Debt Schedule'!G12</f>
        <v/>
      </c>
      <c r="H26" s="36">
        <f>'Debt Schedule'!H12</f>
        <v/>
      </c>
      <c r="I26" s="36">
        <f>'Debt Schedule'!I12</f>
        <v/>
      </c>
      <c r="J26" s="36">
        <f>'Debt Schedule'!J12</f>
        <v/>
      </c>
      <c r="K26" s="36">
        <f>'Debt Schedule'!K12</f>
        <v/>
      </c>
      <c r="L26" s="36">
        <f>'Debt Schedule'!L12</f>
        <v/>
      </c>
      <c r="M26" s="36">
        <f>'Debt Schedule'!M12</f>
        <v/>
      </c>
      <c r="N26" s="36">
        <f>'Debt Schedule'!N12</f>
        <v/>
      </c>
      <c r="O26" s="36">
        <f>'Debt Schedule'!O12</f>
        <v/>
      </c>
      <c r="P26" s="36">
        <f>'Debt Schedule'!P12</f>
        <v/>
      </c>
      <c r="Q26" s="36">
        <f>'Debt Schedule'!Q12</f>
        <v/>
      </c>
      <c r="R26" s="36">
        <f>'Debt Schedule'!R12</f>
        <v/>
      </c>
      <c r="S26" s="36">
        <f>'Debt Schedule'!S12</f>
        <v/>
      </c>
      <c r="T26" s="36">
        <f>'Debt Schedule'!T12</f>
        <v/>
      </c>
      <c r="U26" s="36">
        <f>'Debt Schedule'!U12</f>
        <v/>
      </c>
      <c r="V26" s="36">
        <f>'Debt Schedule'!V12</f>
        <v/>
      </c>
      <c r="W26" s="36">
        <f>'Debt Schedule'!W12</f>
        <v/>
      </c>
      <c r="X26" s="36">
        <f>SUM(D26:G26)</f>
        <v/>
      </c>
      <c r="Y26" s="36">
        <f>SUM(H26:K26)</f>
        <v/>
      </c>
      <c r="Z26" s="36">
        <f>SUM(L26:O26)</f>
        <v/>
      </c>
      <c r="AA26" s="36">
        <f>SUM(P26:S26)</f>
        <v/>
      </c>
      <c r="AB26" s="36">
        <f>SUM(T26:W26)</f>
        <v/>
      </c>
    </row>
    <row r="27">
      <c r="A27" s="34" t="inlineStr">
        <is>
          <t>Interest Expense</t>
        </is>
      </c>
      <c r="B27" s="34" t="inlineStr">
        <is>
          <t>Debt Schedule output</t>
        </is>
      </c>
      <c r="C27" s="35" t="n">
        <v>0</v>
      </c>
      <c r="D27" s="35">
        <f>'Debt Schedule'!D13</f>
        <v/>
      </c>
      <c r="E27" s="35">
        <f>'Debt Schedule'!E13</f>
        <v/>
      </c>
      <c r="F27" s="35">
        <f>'Debt Schedule'!F13</f>
        <v/>
      </c>
      <c r="G27" s="35">
        <f>'Debt Schedule'!G13</f>
        <v/>
      </c>
      <c r="H27" s="35">
        <f>'Debt Schedule'!H13</f>
        <v/>
      </c>
      <c r="I27" s="35">
        <f>'Debt Schedule'!I13</f>
        <v/>
      </c>
      <c r="J27" s="35">
        <f>'Debt Schedule'!J13</f>
        <v/>
      </c>
      <c r="K27" s="35">
        <f>'Debt Schedule'!K13</f>
        <v/>
      </c>
      <c r="L27" s="35">
        <f>'Debt Schedule'!L13</f>
        <v/>
      </c>
      <c r="M27" s="35">
        <f>'Debt Schedule'!M13</f>
        <v/>
      </c>
      <c r="N27" s="35">
        <f>'Debt Schedule'!N13</f>
        <v/>
      </c>
      <c r="O27" s="35">
        <f>'Debt Schedule'!O13</f>
        <v/>
      </c>
      <c r="P27" s="35">
        <f>'Debt Schedule'!P13</f>
        <v/>
      </c>
      <c r="Q27" s="35">
        <f>'Debt Schedule'!Q13</f>
        <v/>
      </c>
      <c r="R27" s="35">
        <f>'Debt Schedule'!R13</f>
        <v/>
      </c>
      <c r="S27" s="35">
        <f>'Debt Schedule'!S13</f>
        <v/>
      </c>
      <c r="T27" s="35">
        <f>'Debt Schedule'!T13</f>
        <v/>
      </c>
      <c r="U27" s="35">
        <f>'Debt Schedule'!U13</f>
        <v/>
      </c>
      <c r="V27" s="35">
        <f>'Debt Schedule'!V13</f>
        <v/>
      </c>
      <c r="W27" s="35">
        <f>'Debt Schedule'!W13</f>
        <v/>
      </c>
      <c r="X27" s="35">
        <f>SUM(D27:G27)</f>
        <v/>
      </c>
      <c r="Y27" s="35">
        <f>SUM(H27:K27)</f>
        <v/>
      </c>
      <c r="Z27" s="35">
        <f>SUM(L27:O27)</f>
        <v/>
      </c>
      <c r="AA27" s="35">
        <f>SUM(P27:S27)</f>
        <v/>
      </c>
      <c r="AB27" s="35">
        <f>SUM(T27:W27)</f>
        <v/>
      </c>
    </row>
    <row r="28">
      <c r="A28" s="8" t="inlineStr">
        <is>
          <t>Depreciation</t>
        </is>
      </c>
      <c r="B28" s="8" t="inlineStr">
        <is>
          <t>CapEx Depreciation output</t>
        </is>
      </c>
      <c r="C28" s="14">
        <f>'CapEx Depreciation'!C10</f>
        <v/>
      </c>
      <c r="D28" s="14">
        <f>'CapEx Depreciation'!D10</f>
        <v/>
      </c>
      <c r="E28" s="14">
        <f>'CapEx Depreciation'!E10</f>
        <v/>
      </c>
      <c r="F28" s="14">
        <f>'CapEx Depreciation'!F10</f>
        <v/>
      </c>
      <c r="G28" s="14">
        <f>'CapEx Depreciation'!G10</f>
        <v/>
      </c>
      <c r="H28" s="14">
        <f>'CapEx Depreciation'!H10</f>
        <v/>
      </c>
      <c r="I28" s="14">
        <f>'CapEx Depreciation'!I10</f>
        <v/>
      </c>
      <c r="J28" s="14">
        <f>'CapEx Depreciation'!J10</f>
        <v/>
      </c>
      <c r="K28" s="14">
        <f>'CapEx Depreciation'!K10</f>
        <v/>
      </c>
      <c r="L28" s="14">
        <f>'CapEx Depreciation'!L10</f>
        <v/>
      </c>
      <c r="M28" s="14">
        <f>'CapEx Depreciation'!M10</f>
        <v/>
      </c>
      <c r="N28" s="14">
        <f>'CapEx Depreciation'!N10</f>
        <v/>
      </c>
      <c r="O28" s="14">
        <f>'CapEx Depreciation'!O10</f>
        <v/>
      </c>
      <c r="P28" s="14">
        <f>'CapEx Depreciation'!P10</f>
        <v/>
      </c>
      <c r="Q28" s="14">
        <f>'CapEx Depreciation'!Q10</f>
        <v/>
      </c>
      <c r="R28" s="14">
        <f>'CapEx Depreciation'!R10</f>
        <v/>
      </c>
      <c r="S28" s="14">
        <f>'CapEx Depreciation'!S10</f>
        <v/>
      </c>
      <c r="T28" s="14">
        <f>'CapEx Depreciation'!T10</f>
        <v/>
      </c>
      <c r="U28" s="14">
        <f>'CapEx Depreciation'!U10</f>
        <v/>
      </c>
      <c r="V28" s="14">
        <f>'CapEx Depreciation'!V10</f>
        <v/>
      </c>
      <c r="W28" s="14">
        <f>'CapEx Depreciation'!W10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Depreciation Expense</t>
        </is>
      </c>
      <c r="B29" s="8" t="inlineStr">
        <is>
          <t>CapEx Depreciation output</t>
        </is>
      </c>
      <c r="C29" s="12">
        <f>'CapEx Depreciation'!C11</f>
        <v/>
      </c>
      <c r="D29" s="12">
        <f>'CapEx Depreciation'!D11</f>
        <v/>
      </c>
      <c r="E29" s="12">
        <f>'CapEx Depreciation'!E11</f>
        <v/>
      </c>
      <c r="F29" s="12">
        <f>'CapEx Depreciation'!F11</f>
        <v/>
      </c>
      <c r="G29" s="12">
        <f>'CapEx Depreciation'!G11</f>
        <v/>
      </c>
      <c r="H29" s="12">
        <f>'CapEx Depreciation'!H11</f>
        <v/>
      </c>
      <c r="I29" s="12">
        <f>'CapEx Depreciation'!I11</f>
        <v/>
      </c>
      <c r="J29" s="12">
        <f>'CapEx Depreciation'!J11</f>
        <v/>
      </c>
      <c r="K29" s="12">
        <f>'CapEx Depreciation'!K11</f>
        <v/>
      </c>
      <c r="L29" s="12">
        <f>'CapEx Depreciation'!L11</f>
        <v/>
      </c>
      <c r="M29" s="12">
        <f>'CapEx Depreciation'!M11</f>
        <v/>
      </c>
      <c r="N29" s="12">
        <f>'CapEx Depreciation'!N11</f>
        <v/>
      </c>
      <c r="O29" s="12">
        <f>'CapEx Depreciation'!O11</f>
        <v/>
      </c>
      <c r="P29" s="12">
        <f>'CapEx Depreciation'!P11</f>
        <v/>
      </c>
      <c r="Q29" s="12">
        <f>'CapEx Depreciation'!Q11</f>
        <v/>
      </c>
      <c r="R29" s="12">
        <f>'CapEx Depreciation'!R11</f>
        <v/>
      </c>
      <c r="S29" s="12">
        <f>'CapEx Depreciation'!S11</f>
        <v/>
      </c>
      <c r="T29" s="12">
        <f>'CapEx Depreciation'!T11</f>
        <v/>
      </c>
      <c r="U29" s="12">
        <f>'CapEx Depreciation'!U11</f>
        <v/>
      </c>
      <c r="V29" s="12">
        <f>'CapEx Depreciation'!V11</f>
        <v/>
      </c>
      <c r="W29" s="12">
        <f>'CapEx Depreciation'!W11</f>
        <v/>
      </c>
      <c r="X29" s="12">
        <f>SUM(D29:G29)</f>
        <v/>
      </c>
      <c r="Y29" s="12">
        <f>SUM(H29:K29)</f>
        <v/>
      </c>
      <c r="Z29" s="12">
        <f>SUM(L29:O29)</f>
        <v/>
      </c>
      <c r="AA29" s="12">
        <f>SUM(P29:S29)</f>
        <v/>
      </c>
      <c r="AB29" s="12">
        <f>SUM(T29:W29)</f>
        <v/>
      </c>
    </row>
    <row r="30">
      <c r="A30" s="8" t="inlineStr">
        <is>
          <t>Taxes</t>
        </is>
      </c>
      <c r="B30" s="8" t="inlineStr">
        <is>
          <t>Direct model driver</t>
        </is>
      </c>
      <c r="C30" s="14" t="n">
        <v>0.189164</v>
      </c>
      <c r="D30" s="14" t="n">
        <v>0.189164</v>
      </c>
      <c r="E30" s="14" t="n">
        <v>0.189164</v>
      </c>
      <c r="F30" s="14" t="n">
        <v>0.189164</v>
      </c>
      <c r="G30" s="14" t="n">
        <v>0.189164</v>
      </c>
      <c r="H30" s="14" t="n">
        <v>0.189164</v>
      </c>
      <c r="I30" s="14" t="n">
        <v>0.189164</v>
      </c>
      <c r="J30" s="14" t="n">
        <v>0.189164</v>
      </c>
      <c r="K30" s="14" t="n">
        <v>0.189164</v>
      </c>
      <c r="L30" s="14" t="n">
        <v>0.189164</v>
      </c>
      <c r="M30" s="14" t="n">
        <v>0.189164</v>
      </c>
      <c r="N30" s="14" t="n">
        <v>0.189164</v>
      </c>
      <c r="O30" s="14" t="n">
        <v>0.189164</v>
      </c>
      <c r="P30" s="14" t="n">
        <v>0.189164</v>
      </c>
      <c r="Q30" s="14" t="n">
        <v>0.189164</v>
      </c>
      <c r="R30" s="14" t="n">
        <v>0.189164</v>
      </c>
      <c r="S30" s="14" t="n">
        <v>0.189164</v>
      </c>
      <c r="T30" s="14" t="n">
        <v>0.189164</v>
      </c>
      <c r="U30" s="14" t="n">
        <v>0.189164</v>
      </c>
      <c r="V30" s="14" t="n">
        <v>0.189164</v>
      </c>
      <c r="W30" s="14" t="n">
        <v>0.189164</v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2">
      <c r="A32" s="7" t="inlineStr">
        <is>
          <t>Balance Sheet Inputs</t>
        </is>
      </c>
    </row>
    <row r="33">
      <c r="A33" s="8" t="inlineStr">
        <is>
          <t>Accounts Receivable Days</t>
        </is>
      </c>
      <c r="B33" s="8" t="inlineStr">
        <is>
          <t>Working Capital schedule</t>
        </is>
      </c>
      <c r="C33" s="10">
        <f>'Working Capital'!C7</f>
        <v/>
      </c>
      <c r="D33" s="10">
        <f>'Working Capital'!D7</f>
        <v/>
      </c>
      <c r="E33" s="10">
        <f>'Working Capital'!E7</f>
        <v/>
      </c>
      <c r="F33" s="10">
        <f>'Working Capital'!F7</f>
        <v/>
      </c>
      <c r="G33" s="10">
        <f>'Working Capital'!G7</f>
        <v/>
      </c>
      <c r="H33" s="10">
        <f>'Working Capital'!H7</f>
        <v/>
      </c>
      <c r="I33" s="10">
        <f>'Working Capital'!I7</f>
        <v/>
      </c>
      <c r="J33" s="10">
        <f>'Working Capital'!J7</f>
        <v/>
      </c>
      <c r="K33" s="10">
        <f>'Working Capital'!K7</f>
        <v/>
      </c>
      <c r="L33" s="10">
        <f>'Working Capital'!L7</f>
        <v/>
      </c>
      <c r="M33" s="10">
        <f>'Working Capital'!M7</f>
        <v/>
      </c>
      <c r="N33" s="10">
        <f>'Working Capital'!N7</f>
        <v/>
      </c>
      <c r="O33" s="10">
        <f>'Working Capital'!O7</f>
        <v/>
      </c>
      <c r="P33" s="10">
        <f>'Working Capital'!P7</f>
        <v/>
      </c>
      <c r="Q33" s="10">
        <f>'Working Capital'!Q7</f>
        <v/>
      </c>
      <c r="R33" s="10">
        <f>'Working Capital'!R7</f>
        <v/>
      </c>
      <c r="S33" s="10">
        <f>'Working Capital'!S7</f>
        <v/>
      </c>
      <c r="T33" s="10">
        <f>'Working Capital'!T7</f>
        <v/>
      </c>
      <c r="U33" s="10">
        <f>'Working Capital'!U7</f>
        <v/>
      </c>
      <c r="V33" s="10">
        <f>'Working Capital'!V7</f>
        <v/>
      </c>
      <c r="W33" s="10">
        <f>'Working Capital'!W7</f>
        <v/>
      </c>
      <c r="X33" s="10">
        <f>SUM(D33:G33)</f>
        <v/>
      </c>
      <c r="Y33" s="10">
        <f>SUM(H33:K33)</f>
        <v/>
      </c>
      <c r="Z33" s="10">
        <f>SUM(L33:O33)</f>
        <v/>
      </c>
      <c r="AA33" s="10">
        <f>SUM(P33:S33)</f>
        <v/>
      </c>
      <c r="AB33" s="10">
        <f>SUM(T33:W33)</f>
        <v/>
      </c>
    </row>
    <row r="34">
      <c r="A34" s="8" t="inlineStr">
        <is>
          <t>Inventory Days</t>
        </is>
      </c>
      <c r="B34" s="8" t="inlineStr">
        <is>
          <t>Working Capital schedule</t>
        </is>
      </c>
      <c r="C34" s="10">
        <f>'Working Capital'!C8</f>
        <v/>
      </c>
      <c r="D34" s="10">
        <f>'Working Capital'!D8</f>
        <v/>
      </c>
      <c r="E34" s="10">
        <f>'Working Capital'!E8</f>
        <v/>
      </c>
      <c r="F34" s="10">
        <f>'Working Capital'!F8</f>
        <v/>
      </c>
      <c r="G34" s="10">
        <f>'Working Capital'!G8</f>
        <v/>
      </c>
      <c r="H34" s="10">
        <f>'Working Capital'!H8</f>
        <v/>
      </c>
      <c r="I34" s="10">
        <f>'Working Capital'!I8</f>
        <v/>
      </c>
      <c r="J34" s="10">
        <f>'Working Capital'!J8</f>
        <v/>
      </c>
      <c r="K34" s="10">
        <f>'Working Capital'!K8</f>
        <v/>
      </c>
      <c r="L34" s="10">
        <f>'Working Capital'!L8</f>
        <v/>
      </c>
      <c r="M34" s="10">
        <f>'Working Capital'!M8</f>
        <v/>
      </c>
      <c r="N34" s="10">
        <f>'Working Capital'!N8</f>
        <v/>
      </c>
      <c r="O34" s="10">
        <f>'Working Capital'!O8</f>
        <v/>
      </c>
      <c r="P34" s="10">
        <f>'Working Capital'!P8</f>
        <v/>
      </c>
      <c r="Q34" s="10">
        <f>'Working Capital'!Q8</f>
        <v/>
      </c>
      <c r="R34" s="10">
        <f>'Working Capital'!R8</f>
        <v/>
      </c>
      <c r="S34" s="10">
        <f>'Working Capital'!S8</f>
        <v/>
      </c>
      <c r="T34" s="10">
        <f>'Working Capital'!T8</f>
        <v/>
      </c>
      <c r="U34" s="10">
        <f>'Working Capital'!U8</f>
        <v/>
      </c>
      <c r="V34" s="10">
        <f>'Working Capital'!V8</f>
        <v/>
      </c>
      <c r="W34" s="10">
        <f>'Working Capital'!W8</f>
        <v/>
      </c>
      <c r="X34" s="10">
        <f>SUM(D34:G34)</f>
        <v/>
      </c>
      <c r="Y34" s="10">
        <f>SUM(H34:K34)</f>
        <v/>
      </c>
      <c r="Z34" s="10">
        <f>SUM(L34:O34)</f>
        <v/>
      </c>
      <c r="AA34" s="10">
        <f>SUM(P34:S34)</f>
        <v/>
      </c>
      <c r="AB34" s="10">
        <f>SUM(T34:W34)</f>
        <v/>
      </c>
    </row>
    <row r="35">
      <c r="A35" s="8" t="inlineStr">
        <is>
          <t>Accounts Payable Days</t>
        </is>
      </c>
      <c r="B35" s="8" t="inlineStr">
        <is>
          <t>Working Capital schedule</t>
        </is>
      </c>
      <c r="C35" s="10">
        <f>'Working Capital'!C9</f>
        <v/>
      </c>
      <c r="D35" s="10">
        <f>'Working Capital'!D9</f>
        <v/>
      </c>
      <c r="E35" s="10">
        <f>'Working Capital'!E9</f>
        <v/>
      </c>
      <c r="F35" s="10">
        <f>'Working Capital'!F9</f>
        <v/>
      </c>
      <c r="G35" s="10">
        <f>'Working Capital'!G9</f>
        <v/>
      </c>
      <c r="H35" s="10">
        <f>'Working Capital'!H9</f>
        <v/>
      </c>
      <c r="I35" s="10">
        <f>'Working Capital'!I9</f>
        <v/>
      </c>
      <c r="J35" s="10">
        <f>'Working Capital'!J9</f>
        <v/>
      </c>
      <c r="K35" s="10">
        <f>'Working Capital'!K9</f>
        <v/>
      </c>
      <c r="L35" s="10">
        <f>'Working Capital'!L9</f>
        <v/>
      </c>
      <c r="M35" s="10">
        <f>'Working Capital'!M9</f>
        <v/>
      </c>
      <c r="N35" s="10">
        <f>'Working Capital'!N9</f>
        <v/>
      </c>
      <c r="O35" s="10">
        <f>'Working Capital'!O9</f>
        <v/>
      </c>
      <c r="P35" s="10">
        <f>'Working Capital'!P9</f>
        <v/>
      </c>
      <c r="Q35" s="10">
        <f>'Working Capital'!Q9</f>
        <v/>
      </c>
      <c r="R35" s="10">
        <f>'Working Capital'!R9</f>
        <v/>
      </c>
      <c r="S35" s="10">
        <f>'Working Capital'!S9</f>
        <v/>
      </c>
      <c r="T35" s="10">
        <f>'Working Capital'!T9</f>
        <v/>
      </c>
      <c r="U35" s="10">
        <f>'Working Capital'!U9</f>
        <v/>
      </c>
      <c r="V35" s="10">
        <f>'Working Capital'!V9</f>
        <v/>
      </c>
      <c r="W35" s="10">
        <f>'Working Capital'!W9</f>
        <v/>
      </c>
      <c r="X35" s="10">
        <f>SUM(D35:G35)</f>
        <v/>
      </c>
      <c r="Y35" s="10">
        <f>SUM(H35:K35)</f>
        <v/>
      </c>
      <c r="Z35" s="10">
        <f>SUM(L35:O35)</f>
        <v/>
      </c>
      <c r="AA35" s="10">
        <f>SUM(P35:S35)</f>
        <v/>
      </c>
      <c r="AB35" s="10">
        <f>SUM(T35:W35)</f>
        <v/>
      </c>
    </row>
    <row r="36">
      <c r="A36" s="8" t="inlineStr">
        <is>
          <t>Prepaid Expenses (% of Revenue)</t>
        </is>
      </c>
      <c r="B36" s="8" t="inlineStr">
        <is>
          <t>Working Capital schedule</t>
        </is>
      </c>
      <c r="C36" s="14">
        <f>'Working Capital'!C10</f>
        <v/>
      </c>
      <c r="D36" s="14">
        <f>'Working Capital'!D10</f>
        <v/>
      </c>
      <c r="E36" s="14">
        <f>'Working Capital'!E10</f>
        <v/>
      </c>
      <c r="F36" s="14">
        <f>'Working Capital'!F10</f>
        <v/>
      </c>
      <c r="G36" s="14">
        <f>'Working Capital'!G10</f>
        <v/>
      </c>
      <c r="H36" s="14">
        <f>'Working Capital'!H10</f>
        <v/>
      </c>
      <c r="I36" s="14">
        <f>'Working Capital'!I10</f>
        <v/>
      </c>
      <c r="J36" s="14">
        <f>'Working Capital'!J10</f>
        <v/>
      </c>
      <c r="K36" s="14">
        <f>'Working Capital'!K10</f>
        <v/>
      </c>
      <c r="L36" s="14">
        <f>'Working Capital'!L10</f>
        <v/>
      </c>
      <c r="M36" s="14">
        <f>'Working Capital'!M10</f>
        <v/>
      </c>
      <c r="N36" s="14">
        <f>'Working Capital'!N10</f>
        <v/>
      </c>
      <c r="O36" s="14">
        <f>'Working Capital'!O10</f>
        <v/>
      </c>
      <c r="P36" s="14">
        <f>'Working Capital'!P10</f>
        <v/>
      </c>
      <c r="Q36" s="14">
        <f>'Working Capital'!Q10</f>
        <v/>
      </c>
      <c r="R36" s="14">
        <f>'Working Capital'!R10</f>
        <v/>
      </c>
      <c r="S36" s="14">
        <f>'Working Capital'!S10</f>
        <v/>
      </c>
      <c r="T36" s="14">
        <f>'Working Capital'!T10</f>
        <v/>
      </c>
      <c r="U36" s="14">
        <f>'Working Capital'!U10</f>
        <v/>
      </c>
      <c r="V36" s="14">
        <f>'Working Capital'!V10</f>
        <v/>
      </c>
      <c r="W36" s="14">
        <f>'Working Capital'!W10</f>
        <v/>
      </c>
      <c r="X36" s="14">
        <f>SUM(D36:G36)</f>
        <v/>
      </c>
      <c r="Y36" s="14">
        <f>SUM(H36:K36)</f>
        <v/>
      </c>
      <c r="Z36" s="14">
        <f>SUM(L36:O36)</f>
        <v/>
      </c>
      <c r="AA36" s="14">
        <f>SUM(P36:S36)</f>
        <v/>
      </c>
      <c r="AB36" s="14">
        <f>SUM(T36:W36)</f>
        <v/>
      </c>
    </row>
    <row r="37">
      <c r="A37" s="8" t="inlineStr">
        <is>
          <t>Deferred Revenue (% of Revenue)</t>
        </is>
      </c>
      <c r="B37" s="8" t="inlineStr">
        <is>
          <t>Working Capital schedule</t>
        </is>
      </c>
      <c r="C37" s="14">
        <f>'Working Capital'!C11</f>
        <v/>
      </c>
      <c r="D37" s="14">
        <f>'Working Capital'!D11</f>
        <v/>
      </c>
      <c r="E37" s="14">
        <f>'Working Capital'!E11</f>
        <v/>
      </c>
      <c r="F37" s="14">
        <f>'Working Capital'!F11</f>
        <v/>
      </c>
      <c r="G37" s="14">
        <f>'Working Capital'!G11</f>
        <v/>
      </c>
      <c r="H37" s="14">
        <f>'Working Capital'!H11</f>
        <v/>
      </c>
      <c r="I37" s="14">
        <f>'Working Capital'!I11</f>
        <v/>
      </c>
      <c r="J37" s="14">
        <f>'Working Capital'!J11</f>
        <v/>
      </c>
      <c r="K37" s="14">
        <f>'Working Capital'!K11</f>
        <v/>
      </c>
      <c r="L37" s="14">
        <f>'Working Capital'!L11</f>
        <v/>
      </c>
      <c r="M37" s="14">
        <f>'Working Capital'!M11</f>
        <v/>
      </c>
      <c r="N37" s="14">
        <f>'Working Capital'!N11</f>
        <v/>
      </c>
      <c r="O37" s="14">
        <f>'Working Capital'!O11</f>
        <v/>
      </c>
      <c r="P37" s="14">
        <f>'Working Capital'!P11</f>
        <v/>
      </c>
      <c r="Q37" s="14">
        <f>'Working Capital'!Q11</f>
        <v/>
      </c>
      <c r="R37" s="14">
        <f>'Working Capital'!R11</f>
        <v/>
      </c>
      <c r="S37" s="14">
        <f>'Working Capital'!S11</f>
        <v/>
      </c>
      <c r="T37" s="14">
        <f>'Working Capital'!T11</f>
        <v/>
      </c>
      <c r="U37" s="14">
        <f>'Working Capital'!U11</f>
        <v/>
      </c>
      <c r="V37" s="14">
        <f>'Working Capital'!V11</f>
        <v/>
      </c>
      <c r="W37" s="14">
        <f>'Working Capital'!W11</f>
        <v/>
      </c>
      <c r="X37" s="14">
        <f>SUM(D37:G37)</f>
        <v/>
      </c>
      <c r="Y37" s="14">
        <f>SUM(H37:K37)</f>
        <v/>
      </c>
      <c r="Z37" s="14">
        <f>SUM(L37:O37)</f>
        <v/>
      </c>
      <c r="AA37" s="14">
        <f>SUM(P37:S37)</f>
        <v/>
      </c>
      <c r="AB37" s="14">
        <f>SUM(T37:W37)</f>
        <v/>
      </c>
    </row>
    <row r="38">
      <c r="A38" s="8" t="inlineStr">
        <is>
          <t>Short Term Debt (% of LTD)</t>
        </is>
      </c>
      <c r="B38" s="8" t="inlineStr">
        <is>
          <t>Working Capital schedule</t>
        </is>
      </c>
      <c r="C38" s="14">
        <f>'Working Capital'!C12</f>
        <v/>
      </c>
      <c r="D38" s="14">
        <f>'Working Capital'!D12</f>
        <v/>
      </c>
      <c r="E38" s="14">
        <f>'Working Capital'!E12</f>
        <v/>
      </c>
      <c r="F38" s="14">
        <f>'Working Capital'!F12</f>
        <v/>
      </c>
      <c r="G38" s="14">
        <f>'Working Capital'!G12</f>
        <v/>
      </c>
      <c r="H38" s="14">
        <f>'Working Capital'!H12</f>
        <v/>
      </c>
      <c r="I38" s="14">
        <f>'Working Capital'!I12</f>
        <v/>
      </c>
      <c r="J38" s="14">
        <f>'Working Capital'!J12</f>
        <v/>
      </c>
      <c r="K38" s="14">
        <f>'Working Capital'!K12</f>
        <v/>
      </c>
      <c r="L38" s="14">
        <f>'Working Capital'!L12</f>
        <v/>
      </c>
      <c r="M38" s="14">
        <f>'Working Capital'!M12</f>
        <v/>
      </c>
      <c r="N38" s="14">
        <f>'Working Capital'!N12</f>
        <v/>
      </c>
      <c r="O38" s="14">
        <f>'Working Capital'!O12</f>
        <v/>
      </c>
      <c r="P38" s="14">
        <f>'Working Capital'!P12</f>
        <v/>
      </c>
      <c r="Q38" s="14">
        <f>'Working Capital'!Q12</f>
        <v/>
      </c>
      <c r="R38" s="14">
        <f>'Working Capital'!R12</f>
        <v/>
      </c>
      <c r="S38" s="14">
        <f>'Working Capital'!S12</f>
        <v/>
      </c>
      <c r="T38" s="14">
        <f>'Working Capital'!T12</f>
        <v/>
      </c>
      <c r="U38" s="14">
        <f>'Working Capital'!U12</f>
        <v/>
      </c>
      <c r="V38" s="14">
        <f>'Working Capital'!V12</f>
        <v/>
      </c>
      <c r="W38" s="14">
        <f>'Working Capital'!W12</f>
        <v/>
      </c>
      <c r="X38" s="14">
        <f>SUM(D38:G38)</f>
        <v/>
      </c>
      <c r="Y38" s="14">
        <f>SUM(H38:K38)</f>
        <v/>
      </c>
      <c r="Z38" s="14">
        <f>SUM(L38:O38)</f>
        <v/>
      </c>
      <c r="AA38" s="14">
        <f>SUM(P38:S38)</f>
        <v/>
      </c>
      <c r="AB38" s="14">
        <f>SUM(T38:W38)</f>
        <v/>
      </c>
    </row>
    <row r="39">
      <c r="A39" s="34" t="inlineStr">
        <is>
          <t>Owner's Capital</t>
        </is>
      </c>
      <c r="B39" s="34" t="inlineStr">
        <is>
          <t>Cash Equity Schedule schedule</t>
        </is>
      </c>
      <c r="C39" s="35">
        <f>'Cash Equity Schedule'!C7</f>
        <v/>
      </c>
      <c r="D39" s="35">
        <f>'Cash Equity Schedule'!D7</f>
        <v/>
      </c>
      <c r="E39" s="35">
        <f>'Cash Equity Schedule'!E7</f>
        <v/>
      </c>
      <c r="F39" s="35">
        <f>'Cash Equity Schedule'!F7</f>
        <v/>
      </c>
      <c r="G39" s="35">
        <f>'Cash Equity Schedule'!G7</f>
        <v/>
      </c>
      <c r="H39" s="35">
        <f>'Cash Equity Schedule'!H7</f>
        <v/>
      </c>
      <c r="I39" s="35">
        <f>'Cash Equity Schedule'!I7</f>
        <v/>
      </c>
      <c r="J39" s="35">
        <f>'Cash Equity Schedule'!J7</f>
        <v/>
      </c>
      <c r="K39" s="35">
        <f>'Cash Equity Schedule'!K7</f>
        <v/>
      </c>
      <c r="L39" s="35">
        <f>'Cash Equity Schedule'!L7</f>
        <v/>
      </c>
      <c r="M39" s="35">
        <f>'Cash Equity Schedule'!M7</f>
        <v/>
      </c>
      <c r="N39" s="35">
        <f>'Cash Equity Schedule'!N7</f>
        <v/>
      </c>
      <c r="O39" s="35">
        <f>'Cash Equity Schedule'!O7</f>
        <v/>
      </c>
      <c r="P39" s="35">
        <f>'Cash Equity Schedule'!P7</f>
        <v/>
      </c>
      <c r="Q39" s="35">
        <f>'Cash Equity Schedule'!Q7</f>
        <v/>
      </c>
      <c r="R39" s="35">
        <f>'Cash Equity Schedule'!R7</f>
        <v/>
      </c>
      <c r="S39" s="35">
        <f>'Cash Equity Schedule'!S7</f>
        <v/>
      </c>
      <c r="T39" s="35">
        <f>'Cash Equity Schedule'!T7</f>
        <v/>
      </c>
      <c r="U39" s="35">
        <f>'Cash Equity Schedule'!U7</f>
        <v/>
      </c>
      <c r="V39" s="35">
        <f>'Cash Equity Schedule'!V7</f>
        <v/>
      </c>
      <c r="W39" s="35">
        <f>'Cash Equity Schedule'!W7</f>
        <v/>
      </c>
      <c r="X39" s="35">
        <f>G39</f>
        <v/>
      </c>
      <c r="Y39" s="35">
        <f>K39</f>
        <v/>
      </c>
      <c r="Z39" s="35">
        <f>O39</f>
        <v/>
      </c>
      <c r="AA39" s="35">
        <f>S39</f>
        <v/>
      </c>
      <c r="AB39" s="35">
        <f>W39</f>
        <v/>
      </c>
    </row>
    <row r="40">
      <c r="A40" s="34" t="inlineStr">
        <is>
          <t>Other Equity</t>
        </is>
      </c>
      <c r="B40" s="34" t="inlineStr">
        <is>
          <t>Cash Equity Schedule schedule</t>
        </is>
      </c>
      <c r="C40" s="35">
        <f>'Cash Equity Schedule'!C8</f>
        <v/>
      </c>
      <c r="D40" s="35">
        <f>'Cash Equity Schedule'!D8</f>
        <v/>
      </c>
      <c r="E40" s="35">
        <f>'Cash Equity Schedule'!E8</f>
        <v/>
      </c>
      <c r="F40" s="35">
        <f>'Cash Equity Schedule'!F8</f>
        <v/>
      </c>
      <c r="G40" s="35">
        <f>'Cash Equity Schedule'!G8</f>
        <v/>
      </c>
      <c r="H40" s="35">
        <f>'Cash Equity Schedule'!H8</f>
        <v/>
      </c>
      <c r="I40" s="35">
        <f>'Cash Equity Schedule'!I8</f>
        <v/>
      </c>
      <c r="J40" s="35">
        <f>'Cash Equity Schedule'!J8</f>
        <v/>
      </c>
      <c r="K40" s="35">
        <f>'Cash Equity Schedule'!K8</f>
        <v/>
      </c>
      <c r="L40" s="35">
        <f>'Cash Equity Schedule'!L8</f>
        <v/>
      </c>
      <c r="M40" s="35">
        <f>'Cash Equity Schedule'!M8</f>
        <v/>
      </c>
      <c r="N40" s="35">
        <f>'Cash Equity Schedule'!N8</f>
        <v/>
      </c>
      <c r="O40" s="35">
        <f>'Cash Equity Schedule'!O8</f>
        <v/>
      </c>
      <c r="P40" s="35">
        <f>'Cash Equity Schedule'!P8</f>
        <v/>
      </c>
      <c r="Q40" s="35">
        <f>'Cash Equity Schedule'!Q8</f>
        <v/>
      </c>
      <c r="R40" s="35">
        <f>'Cash Equity Schedule'!R8</f>
        <v/>
      </c>
      <c r="S40" s="35">
        <f>'Cash Equity Schedule'!S8</f>
        <v/>
      </c>
      <c r="T40" s="35">
        <f>'Cash Equity Schedule'!T8</f>
        <v/>
      </c>
      <c r="U40" s="35">
        <f>'Cash Equity Schedule'!U8</f>
        <v/>
      </c>
      <c r="V40" s="35">
        <f>'Cash Equity Schedule'!V8</f>
        <v/>
      </c>
      <c r="W40" s="35">
        <f>'Cash Equity Schedule'!W8</f>
        <v/>
      </c>
      <c r="X40" s="35">
        <f>G40</f>
        <v/>
      </c>
      <c r="Y40" s="35">
        <f>K40</f>
        <v/>
      </c>
      <c r="Z40" s="35">
        <f>O40</f>
        <v/>
      </c>
      <c r="AA40" s="35">
        <f>S40</f>
        <v/>
      </c>
      <c r="AB40" s="35">
        <f>W40</f>
        <v/>
      </c>
    </row>
    <row r="41">
      <c r="A41" s="34" t="inlineStr">
        <is>
          <t>Distributions</t>
        </is>
      </c>
      <c r="B41" s="34" t="inlineStr">
        <is>
          <t>Cash Equity Schedule schedule</t>
        </is>
      </c>
      <c r="C41" s="35">
        <f>'Cash Equity Schedule'!C9</f>
        <v/>
      </c>
      <c r="D41" s="35">
        <f>'Cash Equity Schedule'!D9</f>
        <v/>
      </c>
      <c r="E41" s="35">
        <f>'Cash Equity Schedule'!E9</f>
        <v/>
      </c>
      <c r="F41" s="35">
        <f>'Cash Equity Schedule'!F9</f>
        <v/>
      </c>
      <c r="G41" s="35">
        <f>'Cash Equity Schedule'!G9</f>
        <v/>
      </c>
      <c r="H41" s="35">
        <f>'Cash Equity Schedule'!H9</f>
        <v/>
      </c>
      <c r="I41" s="35">
        <f>'Cash Equity Schedule'!I9</f>
        <v/>
      </c>
      <c r="J41" s="35">
        <f>'Cash Equity Schedule'!J9</f>
        <v/>
      </c>
      <c r="K41" s="35">
        <f>'Cash Equity Schedule'!K9</f>
        <v/>
      </c>
      <c r="L41" s="35">
        <f>'Cash Equity Schedule'!L9</f>
        <v/>
      </c>
      <c r="M41" s="35">
        <f>'Cash Equity Schedule'!M9</f>
        <v/>
      </c>
      <c r="N41" s="35">
        <f>'Cash Equity Schedule'!N9</f>
        <v/>
      </c>
      <c r="O41" s="35">
        <f>'Cash Equity Schedule'!O9</f>
        <v/>
      </c>
      <c r="P41" s="35">
        <f>'Cash Equity Schedule'!P9</f>
        <v/>
      </c>
      <c r="Q41" s="35">
        <f>'Cash Equity Schedule'!Q9</f>
        <v/>
      </c>
      <c r="R41" s="35">
        <f>'Cash Equity Schedule'!R9</f>
        <v/>
      </c>
      <c r="S41" s="35">
        <f>'Cash Equity Schedule'!S9</f>
        <v/>
      </c>
      <c r="T41" s="35">
        <f>'Cash Equity Schedule'!T9</f>
        <v/>
      </c>
      <c r="U41" s="35">
        <f>'Cash Equity Schedule'!U9</f>
        <v/>
      </c>
      <c r="V41" s="35">
        <f>'Cash Equity Schedule'!V9</f>
        <v/>
      </c>
      <c r="W41" s="35">
        <f>'Cash Equity Schedule'!W9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3">
      <c r="A43" s="7" t="inlineStr">
        <is>
          <t>Cash Flow and Schedule Inputs</t>
        </is>
      </c>
    </row>
    <row r="44">
      <c r="A44" s="8" t="inlineStr">
        <is>
          <t>Cash Opening Balance</t>
        </is>
      </c>
      <c r="B44" s="8" t="inlineStr">
        <is>
          <t>Working Capital schedule</t>
        </is>
      </c>
      <c r="C44" s="12">
        <f>'Working Capital'!C15</f>
        <v/>
      </c>
      <c r="D44" s="12">
        <f>'Working Capital'!D15</f>
        <v/>
      </c>
      <c r="E44" s="12">
        <f>'Working Capital'!E15</f>
        <v/>
      </c>
      <c r="F44" s="12">
        <f>'Working Capital'!F15</f>
        <v/>
      </c>
      <c r="G44" s="12">
        <f>'Working Capital'!G15</f>
        <v/>
      </c>
      <c r="H44" s="12">
        <f>'Working Capital'!H15</f>
        <v/>
      </c>
      <c r="I44" s="12">
        <f>'Working Capital'!I15</f>
        <v/>
      </c>
      <c r="J44" s="12">
        <f>'Working Capital'!J15</f>
        <v/>
      </c>
      <c r="K44" s="12">
        <f>'Working Capital'!K15</f>
        <v/>
      </c>
      <c r="L44" s="12">
        <f>'Working Capital'!L15</f>
        <v/>
      </c>
      <c r="M44" s="12">
        <f>'Working Capital'!M15</f>
        <v/>
      </c>
      <c r="N44" s="12">
        <f>'Working Capital'!N15</f>
        <v/>
      </c>
      <c r="O44" s="12">
        <f>'Working Capital'!O15</f>
        <v/>
      </c>
      <c r="P44" s="12">
        <f>'Working Capital'!P15</f>
        <v/>
      </c>
      <c r="Q44" s="12">
        <f>'Working Capital'!Q15</f>
        <v/>
      </c>
      <c r="R44" s="12">
        <f>'Working Capital'!R15</f>
        <v/>
      </c>
      <c r="S44" s="12">
        <f>'Working Capital'!S15</f>
        <v/>
      </c>
      <c r="T44" s="12">
        <f>'Working Capital'!T15</f>
        <v/>
      </c>
      <c r="U44" s="12">
        <f>'Working Capital'!U15</f>
        <v/>
      </c>
      <c r="V44" s="12">
        <f>'Working Capital'!V15</f>
        <v/>
      </c>
      <c r="W44" s="12">
        <f>'Working Capital'!W15</f>
        <v/>
      </c>
      <c r="X44" s="12">
        <f>G44</f>
        <v/>
      </c>
      <c r="Y44" s="12">
        <f>K44</f>
        <v/>
      </c>
      <c r="Z44" s="12">
        <f>O44</f>
        <v/>
      </c>
      <c r="AA44" s="12">
        <f>S44</f>
        <v/>
      </c>
      <c r="AB44" s="12">
        <f>W44</f>
        <v/>
      </c>
    </row>
    <row r="45">
      <c r="A45" s="8" t="inlineStr">
        <is>
          <t>Accounts Receivable Opening Balance</t>
        </is>
      </c>
      <c r="B45" s="8" t="inlineStr">
        <is>
          <t>Working Capital schedule</t>
        </is>
      </c>
      <c r="C45" s="12">
        <f>'Working Capital'!C16</f>
        <v/>
      </c>
      <c r="D45" s="12">
        <f>'Working Capital'!D16</f>
        <v/>
      </c>
      <c r="E45" s="12">
        <f>'Working Capital'!E16</f>
        <v/>
      </c>
      <c r="F45" s="12">
        <f>'Working Capital'!F16</f>
        <v/>
      </c>
      <c r="G45" s="12">
        <f>'Working Capital'!G16</f>
        <v/>
      </c>
      <c r="H45" s="12">
        <f>'Working Capital'!H16</f>
        <v/>
      </c>
      <c r="I45" s="12">
        <f>'Working Capital'!I16</f>
        <v/>
      </c>
      <c r="J45" s="12">
        <f>'Working Capital'!J16</f>
        <v/>
      </c>
      <c r="K45" s="12">
        <f>'Working Capital'!K16</f>
        <v/>
      </c>
      <c r="L45" s="12">
        <f>'Working Capital'!L16</f>
        <v/>
      </c>
      <c r="M45" s="12">
        <f>'Working Capital'!M16</f>
        <v/>
      </c>
      <c r="N45" s="12">
        <f>'Working Capital'!N16</f>
        <v/>
      </c>
      <c r="O45" s="12">
        <f>'Working Capital'!O16</f>
        <v/>
      </c>
      <c r="P45" s="12">
        <f>'Working Capital'!P16</f>
        <v/>
      </c>
      <c r="Q45" s="12">
        <f>'Working Capital'!Q16</f>
        <v/>
      </c>
      <c r="R45" s="12">
        <f>'Working Capital'!R16</f>
        <v/>
      </c>
      <c r="S45" s="12">
        <f>'Working Capital'!S16</f>
        <v/>
      </c>
      <c r="T45" s="12">
        <f>'Working Capital'!T16</f>
        <v/>
      </c>
      <c r="U45" s="12">
        <f>'Working Capital'!U16</f>
        <v/>
      </c>
      <c r="V45" s="12">
        <f>'Working Capital'!V16</f>
        <v/>
      </c>
      <c r="W45" s="12">
        <f>'Working Capital'!W16</f>
        <v/>
      </c>
      <c r="X45" s="12">
        <f>G45</f>
        <v/>
      </c>
      <c r="Y45" s="12">
        <f>K45</f>
        <v/>
      </c>
      <c r="Z45" s="12">
        <f>O45</f>
        <v/>
      </c>
      <c r="AA45" s="12">
        <f>S45</f>
        <v/>
      </c>
      <c r="AB45" s="12">
        <f>W45</f>
        <v/>
      </c>
    </row>
    <row r="46">
      <c r="A46" s="8" t="inlineStr">
        <is>
          <t>Inventory Opening Balance</t>
        </is>
      </c>
      <c r="B46" s="8" t="inlineStr">
        <is>
          <t>Working Capital schedule</t>
        </is>
      </c>
      <c r="C46" s="12">
        <f>'Working Capital'!C17</f>
        <v/>
      </c>
      <c r="D46" s="12">
        <f>'Working Capital'!D17</f>
        <v/>
      </c>
      <c r="E46" s="12">
        <f>'Working Capital'!E17</f>
        <v/>
      </c>
      <c r="F46" s="12">
        <f>'Working Capital'!F17</f>
        <v/>
      </c>
      <c r="G46" s="12">
        <f>'Working Capital'!G17</f>
        <v/>
      </c>
      <c r="H46" s="12">
        <f>'Working Capital'!H17</f>
        <v/>
      </c>
      <c r="I46" s="12">
        <f>'Working Capital'!I17</f>
        <v/>
      </c>
      <c r="J46" s="12">
        <f>'Working Capital'!J17</f>
        <v/>
      </c>
      <c r="K46" s="12">
        <f>'Working Capital'!K17</f>
        <v/>
      </c>
      <c r="L46" s="12">
        <f>'Working Capital'!L17</f>
        <v/>
      </c>
      <c r="M46" s="12">
        <f>'Working Capital'!M17</f>
        <v/>
      </c>
      <c r="N46" s="12">
        <f>'Working Capital'!N17</f>
        <v/>
      </c>
      <c r="O46" s="12">
        <f>'Working Capital'!O17</f>
        <v/>
      </c>
      <c r="P46" s="12">
        <f>'Working Capital'!P17</f>
        <v/>
      </c>
      <c r="Q46" s="12">
        <f>'Working Capital'!Q17</f>
        <v/>
      </c>
      <c r="R46" s="12">
        <f>'Working Capital'!R17</f>
        <v/>
      </c>
      <c r="S46" s="12">
        <f>'Working Capital'!S17</f>
        <v/>
      </c>
      <c r="T46" s="12">
        <f>'Working Capital'!T17</f>
        <v/>
      </c>
      <c r="U46" s="12">
        <f>'Working Capital'!U17</f>
        <v/>
      </c>
      <c r="V46" s="12">
        <f>'Working Capital'!V17</f>
        <v/>
      </c>
      <c r="W46" s="12">
        <f>'Working Capital'!W17</f>
        <v/>
      </c>
      <c r="X46" s="12">
        <f>G46</f>
        <v/>
      </c>
      <c r="Y46" s="12">
        <f>K46</f>
        <v/>
      </c>
      <c r="Z46" s="12">
        <f>O46</f>
        <v/>
      </c>
      <c r="AA46" s="12">
        <f>S46</f>
        <v/>
      </c>
      <c r="AB46" s="12">
        <f>W46</f>
        <v/>
      </c>
    </row>
    <row r="47">
      <c r="A47" s="8" t="inlineStr">
        <is>
          <t>Accounts Payable Opening Balance</t>
        </is>
      </c>
      <c r="B47" s="8" t="inlineStr">
        <is>
          <t>Working Capital schedule</t>
        </is>
      </c>
      <c r="C47" s="12">
        <f>'Working Capital'!C18</f>
        <v/>
      </c>
      <c r="D47" s="12">
        <f>'Working Capital'!D18</f>
        <v/>
      </c>
      <c r="E47" s="12">
        <f>'Working Capital'!E18</f>
        <v/>
      </c>
      <c r="F47" s="12">
        <f>'Working Capital'!F18</f>
        <v/>
      </c>
      <c r="G47" s="12">
        <f>'Working Capital'!G18</f>
        <v/>
      </c>
      <c r="H47" s="12">
        <f>'Working Capital'!H18</f>
        <v/>
      </c>
      <c r="I47" s="12">
        <f>'Working Capital'!I18</f>
        <v/>
      </c>
      <c r="J47" s="12">
        <f>'Working Capital'!J18</f>
        <v/>
      </c>
      <c r="K47" s="12">
        <f>'Working Capital'!K18</f>
        <v/>
      </c>
      <c r="L47" s="12">
        <f>'Working Capital'!L18</f>
        <v/>
      </c>
      <c r="M47" s="12">
        <f>'Working Capital'!M18</f>
        <v/>
      </c>
      <c r="N47" s="12">
        <f>'Working Capital'!N18</f>
        <v/>
      </c>
      <c r="O47" s="12">
        <f>'Working Capital'!O18</f>
        <v/>
      </c>
      <c r="P47" s="12">
        <f>'Working Capital'!P18</f>
        <v/>
      </c>
      <c r="Q47" s="12">
        <f>'Working Capital'!Q18</f>
        <v/>
      </c>
      <c r="R47" s="12">
        <f>'Working Capital'!R18</f>
        <v/>
      </c>
      <c r="S47" s="12">
        <f>'Working Capital'!S18</f>
        <v/>
      </c>
      <c r="T47" s="12">
        <f>'Working Capital'!T18</f>
        <v/>
      </c>
      <c r="U47" s="12">
        <f>'Working Capital'!U18</f>
        <v/>
      </c>
      <c r="V47" s="12">
        <f>'Working Capital'!V18</f>
        <v/>
      </c>
      <c r="W47" s="12">
        <f>'Working Capital'!W18</f>
        <v/>
      </c>
      <c r="X47" s="12">
        <f>G47</f>
        <v/>
      </c>
      <c r="Y47" s="12">
        <f>K47</f>
        <v/>
      </c>
      <c r="Z47" s="12">
        <f>O47</f>
        <v/>
      </c>
      <c r="AA47" s="12">
        <f>S47</f>
        <v/>
      </c>
      <c r="AB47" s="12">
        <f>W47</f>
        <v/>
      </c>
    </row>
    <row r="48">
      <c r="A48" s="8" t="inlineStr">
        <is>
          <t>Short Term Debt Opening Balance</t>
        </is>
      </c>
      <c r="B48" s="8" t="inlineStr">
        <is>
          <t>Working Capital schedule</t>
        </is>
      </c>
      <c r="C48" s="12">
        <f>'Working Capital'!C19</f>
        <v/>
      </c>
      <c r="D48" s="12">
        <f>'Working Capital'!D19</f>
        <v/>
      </c>
      <c r="E48" s="12">
        <f>'Working Capital'!E19</f>
        <v/>
      </c>
      <c r="F48" s="12">
        <f>'Working Capital'!F19</f>
        <v/>
      </c>
      <c r="G48" s="12">
        <f>'Working Capital'!G19</f>
        <v/>
      </c>
      <c r="H48" s="12">
        <f>'Working Capital'!H19</f>
        <v/>
      </c>
      <c r="I48" s="12">
        <f>'Working Capital'!I19</f>
        <v/>
      </c>
      <c r="J48" s="12">
        <f>'Working Capital'!J19</f>
        <v/>
      </c>
      <c r="K48" s="12">
        <f>'Working Capital'!K19</f>
        <v/>
      </c>
      <c r="L48" s="12">
        <f>'Working Capital'!L19</f>
        <v/>
      </c>
      <c r="M48" s="12">
        <f>'Working Capital'!M19</f>
        <v/>
      </c>
      <c r="N48" s="12">
        <f>'Working Capital'!N19</f>
        <v/>
      </c>
      <c r="O48" s="12">
        <f>'Working Capital'!O19</f>
        <v/>
      </c>
      <c r="P48" s="12">
        <f>'Working Capital'!P19</f>
        <v/>
      </c>
      <c r="Q48" s="12">
        <f>'Working Capital'!Q19</f>
        <v/>
      </c>
      <c r="R48" s="12">
        <f>'Working Capital'!R19</f>
        <v/>
      </c>
      <c r="S48" s="12">
        <f>'Working Capital'!S19</f>
        <v/>
      </c>
      <c r="T48" s="12">
        <f>'Working Capital'!T19</f>
        <v/>
      </c>
      <c r="U48" s="12">
        <f>'Working Capital'!U19</f>
        <v/>
      </c>
      <c r="V48" s="12">
        <f>'Working Capital'!V19</f>
        <v/>
      </c>
      <c r="W48" s="12">
        <f>'Working Capital'!W19</f>
        <v/>
      </c>
      <c r="X48" s="12">
        <f>G48</f>
        <v/>
      </c>
      <c r="Y48" s="12">
        <f>K48</f>
        <v/>
      </c>
      <c r="Z48" s="12">
        <f>O48</f>
        <v/>
      </c>
      <c r="AA48" s="12">
        <f>S48</f>
        <v/>
      </c>
      <c r="AB48" s="12">
        <f>W48</f>
        <v/>
      </c>
    </row>
    <row r="49">
      <c r="A49" s="34" t="inlineStr">
        <is>
          <t>Debt Opening Balance</t>
        </is>
      </c>
      <c r="B49" s="34" t="inlineStr">
        <is>
          <t>Debt Schedule schedule</t>
        </is>
      </c>
      <c r="C49" s="35">
        <f>'Debt Schedule'!C7</f>
        <v/>
      </c>
      <c r="D49" s="35">
        <f>'Debt Schedule'!D7</f>
        <v/>
      </c>
      <c r="E49" s="35">
        <f>'Debt Schedule'!E7</f>
        <v/>
      </c>
      <c r="F49" s="35">
        <f>'Debt Schedule'!F7</f>
        <v/>
      </c>
      <c r="G49" s="35">
        <f>'Debt Schedule'!G7</f>
        <v/>
      </c>
      <c r="H49" s="35">
        <f>'Debt Schedule'!H7</f>
        <v/>
      </c>
      <c r="I49" s="35">
        <f>'Debt Schedule'!I7</f>
        <v/>
      </c>
      <c r="J49" s="35">
        <f>'Debt Schedule'!J7</f>
        <v/>
      </c>
      <c r="K49" s="35">
        <f>'Debt Schedule'!K7</f>
        <v/>
      </c>
      <c r="L49" s="35">
        <f>'Debt Schedule'!L7</f>
        <v/>
      </c>
      <c r="M49" s="35">
        <f>'Debt Schedule'!M7</f>
        <v/>
      </c>
      <c r="N49" s="35">
        <f>'Debt Schedule'!N7</f>
        <v/>
      </c>
      <c r="O49" s="35">
        <f>'Debt Schedule'!O7</f>
        <v/>
      </c>
      <c r="P49" s="35">
        <f>'Debt Schedule'!P7</f>
        <v/>
      </c>
      <c r="Q49" s="35">
        <f>'Debt Schedule'!Q7</f>
        <v/>
      </c>
      <c r="R49" s="35">
        <f>'Debt Schedule'!R7</f>
        <v/>
      </c>
      <c r="S49" s="35">
        <f>'Debt Schedule'!S7</f>
        <v/>
      </c>
      <c r="T49" s="35">
        <f>'Debt Schedule'!T7</f>
        <v/>
      </c>
      <c r="U49" s="35">
        <f>'Debt Schedule'!U7</f>
        <v/>
      </c>
      <c r="V49" s="35">
        <f>'Debt Schedule'!V7</f>
        <v/>
      </c>
      <c r="W49" s="35">
        <f>'Debt Schedule'!W7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Debt Issuance</t>
        </is>
      </c>
      <c r="B50" s="34" t="inlineStr">
        <is>
          <t>Debt Schedule schedule</t>
        </is>
      </c>
      <c r="C50" s="35">
        <f>'Debt Schedule'!C8</f>
        <v/>
      </c>
      <c r="D50" s="35">
        <f>'Debt Schedule'!D8</f>
        <v/>
      </c>
      <c r="E50" s="35">
        <f>'Debt Schedule'!E8</f>
        <v/>
      </c>
      <c r="F50" s="35">
        <f>'Debt Schedule'!F8</f>
        <v/>
      </c>
      <c r="G50" s="35">
        <f>'Debt Schedule'!G8</f>
        <v/>
      </c>
      <c r="H50" s="35">
        <f>'Debt Schedule'!H8</f>
        <v/>
      </c>
      <c r="I50" s="35">
        <f>'Debt Schedule'!I8</f>
        <v/>
      </c>
      <c r="J50" s="35">
        <f>'Debt Schedule'!J8</f>
        <v/>
      </c>
      <c r="K50" s="35">
        <f>'Debt Schedule'!K8</f>
        <v/>
      </c>
      <c r="L50" s="35">
        <f>'Debt Schedule'!L8</f>
        <v/>
      </c>
      <c r="M50" s="35">
        <f>'Debt Schedule'!M8</f>
        <v/>
      </c>
      <c r="N50" s="35">
        <f>'Debt Schedule'!N8</f>
        <v/>
      </c>
      <c r="O50" s="35">
        <f>'Debt Schedule'!O8</f>
        <v/>
      </c>
      <c r="P50" s="35">
        <f>'Debt Schedule'!P8</f>
        <v/>
      </c>
      <c r="Q50" s="35">
        <f>'Debt Schedule'!Q8</f>
        <v/>
      </c>
      <c r="R50" s="35">
        <f>'Debt Schedule'!R8</f>
        <v/>
      </c>
      <c r="S50" s="35">
        <f>'Debt Schedule'!S8</f>
        <v/>
      </c>
      <c r="T50" s="35">
        <f>'Debt Schedule'!T8</f>
        <v/>
      </c>
      <c r="U50" s="35">
        <f>'Debt Schedule'!U8</f>
        <v/>
      </c>
      <c r="V50" s="35">
        <f>'Debt Schedule'!V8</f>
        <v/>
      </c>
      <c r="W50" s="35">
        <f>'Debt Schedule'!W8</f>
        <v/>
      </c>
      <c r="X50" s="35">
        <f>SUM(D50:G50)</f>
        <v/>
      </c>
      <c r="Y50" s="35">
        <f>SUM(H50:K50)</f>
        <v/>
      </c>
      <c r="Z50" s="35">
        <f>SUM(L50:O50)</f>
        <v/>
      </c>
      <c r="AA50" s="35">
        <f>SUM(P50:S50)</f>
        <v/>
      </c>
      <c r="AB50" s="35">
        <f>SUM(T50:W50)</f>
        <v/>
      </c>
    </row>
    <row r="51">
      <c r="A51" s="34" t="inlineStr">
        <is>
          <t>Debt Repayment</t>
        </is>
      </c>
      <c r="B51" s="34" t="inlineStr">
        <is>
          <t>Debt Schedule schedule</t>
        </is>
      </c>
      <c r="C51" s="35">
        <f>'Debt Schedule'!C10</f>
        <v/>
      </c>
      <c r="D51" s="35">
        <f>'Debt Schedule'!D10</f>
        <v/>
      </c>
      <c r="E51" s="35">
        <f>'Debt Schedule'!E10</f>
        <v/>
      </c>
      <c r="F51" s="35">
        <f>'Debt Schedule'!F10</f>
        <v/>
      </c>
      <c r="G51" s="35">
        <f>'Debt Schedule'!G10</f>
        <v/>
      </c>
      <c r="H51" s="35">
        <f>'Debt Schedule'!H10</f>
        <v/>
      </c>
      <c r="I51" s="35">
        <f>'Debt Schedule'!I10</f>
        <v/>
      </c>
      <c r="J51" s="35">
        <f>'Debt Schedule'!J10</f>
        <v/>
      </c>
      <c r="K51" s="35">
        <f>'Debt Schedule'!K10</f>
        <v/>
      </c>
      <c r="L51" s="35">
        <f>'Debt Schedule'!L10</f>
        <v/>
      </c>
      <c r="M51" s="35">
        <f>'Debt Schedule'!M10</f>
        <v/>
      </c>
      <c r="N51" s="35">
        <f>'Debt Schedule'!N10</f>
        <v/>
      </c>
      <c r="O51" s="35">
        <f>'Debt Schedule'!O10</f>
        <v/>
      </c>
      <c r="P51" s="35">
        <f>'Debt Schedule'!P10</f>
        <v/>
      </c>
      <c r="Q51" s="35">
        <f>'Debt Schedule'!Q10</f>
        <v/>
      </c>
      <c r="R51" s="35">
        <f>'Debt Schedule'!R10</f>
        <v/>
      </c>
      <c r="S51" s="35">
        <f>'Debt Schedule'!S10</f>
        <v/>
      </c>
      <c r="T51" s="35">
        <f>'Debt Schedule'!T10</f>
        <v/>
      </c>
      <c r="U51" s="35">
        <f>'Debt Schedule'!U10</f>
        <v/>
      </c>
      <c r="V51" s="35">
        <f>'Debt Schedule'!V10</f>
        <v/>
      </c>
      <c r="W51" s="35">
        <f>'Debt Schedule'!W10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34" t="inlineStr">
        <is>
          <t>Debt Closing Balance</t>
        </is>
      </c>
      <c r="B52" s="34" t="inlineStr">
        <is>
          <t>Debt Schedule schedule</t>
        </is>
      </c>
      <c r="C52" s="35">
        <f>'Debt Schedule'!C11</f>
        <v/>
      </c>
      <c r="D52" s="35">
        <f>'Debt Schedule'!D11</f>
        <v/>
      </c>
      <c r="E52" s="35">
        <f>'Debt Schedule'!E11</f>
        <v/>
      </c>
      <c r="F52" s="35">
        <f>'Debt Schedule'!F11</f>
        <v/>
      </c>
      <c r="G52" s="35">
        <f>'Debt Schedule'!G11</f>
        <v/>
      </c>
      <c r="H52" s="35">
        <f>'Debt Schedule'!H11</f>
        <v/>
      </c>
      <c r="I52" s="35">
        <f>'Debt Schedule'!I11</f>
        <v/>
      </c>
      <c r="J52" s="35">
        <f>'Debt Schedule'!J11</f>
        <v/>
      </c>
      <c r="K52" s="35">
        <f>'Debt Schedule'!K11</f>
        <v/>
      </c>
      <c r="L52" s="35">
        <f>'Debt Schedule'!L11</f>
        <v/>
      </c>
      <c r="M52" s="35">
        <f>'Debt Schedule'!M11</f>
        <v/>
      </c>
      <c r="N52" s="35">
        <f>'Debt Schedule'!N11</f>
        <v/>
      </c>
      <c r="O52" s="35">
        <f>'Debt Schedule'!O11</f>
        <v/>
      </c>
      <c r="P52" s="35">
        <f>'Debt Schedule'!P11</f>
        <v/>
      </c>
      <c r="Q52" s="35">
        <f>'Debt Schedule'!Q11</f>
        <v/>
      </c>
      <c r="R52" s="35">
        <f>'Debt Schedule'!R11</f>
        <v/>
      </c>
      <c r="S52" s="35">
        <f>'Debt Schedule'!S11</f>
        <v/>
      </c>
      <c r="T52" s="35">
        <f>'Debt Schedule'!T11</f>
        <v/>
      </c>
      <c r="U52" s="35">
        <f>'Debt Schedule'!U11</f>
        <v/>
      </c>
      <c r="V52" s="35">
        <f>'Debt Schedule'!V11</f>
        <v/>
      </c>
      <c r="W52" s="35">
        <f>'Debt Schedule'!W11</f>
        <v/>
      </c>
      <c r="X52" s="35">
        <f>G52</f>
        <v/>
      </c>
      <c r="Y52" s="35">
        <f>K52</f>
        <v/>
      </c>
      <c r="Z52" s="35">
        <f>O52</f>
        <v/>
      </c>
      <c r="AA52" s="35">
        <f>S52</f>
        <v/>
      </c>
      <c r="AB52" s="35">
        <f>W52</f>
        <v/>
      </c>
    </row>
    <row r="53">
      <c r="A53" s="34" t="inlineStr">
        <is>
          <t>Lease Opening Balance</t>
        </is>
      </c>
      <c r="B53" s="34" t="inlineStr">
        <is>
          <t>Debt Schedule schedule</t>
        </is>
      </c>
      <c r="C53" s="35">
        <f>'Debt Schedule'!C18</f>
        <v/>
      </c>
      <c r="D53" s="35">
        <f>'Debt Schedule'!D18</f>
        <v/>
      </c>
      <c r="E53" s="35">
        <f>'Debt Schedule'!E18</f>
        <v/>
      </c>
      <c r="F53" s="35">
        <f>'Debt Schedule'!F18</f>
        <v/>
      </c>
      <c r="G53" s="35">
        <f>'Debt Schedule'!G18</f>
        <v/>
      </c>
      <c r="H53" s="35">
        <f>'Debt Schedule'!H18</f>
        <v/>
      </c>
      <c r="I53" s="35">
        <f>'Debt Schedule'!I18</f>
        <v/>
      </c>
      <c r="J53" s="35">
        <f>'Debt Schedule'!J18</f>
        <v/>
      </c>
      <c r="K53" s="35">
        <f>'Debt Schedule'!K18</f>
        <v/>
      </c>
      <c r="L53" s="35">
        <f>'Debt Schedule'!L18</f>
        <v/>
      </c>
      <c r="M53" s="35">
        <f>'Debt Schedule'!M18</f>
        <v/>
      </c>
      <c r="N53" s="35">
        <f>'Debt Schedule'!N18</f>
        <v/>
      </c>
      <c r="O53" s="35">
        <f>'Debt Schedule'!O18</f>
        <v/>
      </c>
      <c r="P53" s="35">
        <f>'Debt Schedule'!P18</f>
        <v/>
      </c>
      <c r="Q53" s="35">
        <f>'Debt Schedule'!Q18</f>
        <v/>
      </c>
      <c r="R53" s="35">
        <f>'Debt Schedule'!R18</f>
        <v/>
      </c>
      <c r="S53" s="35">
        <f>'Debt Schedule'!S18</f>
        <v/>
      </c>
      <c r="T53" s="35">
        <f>'Debt Schedule'!T18</f>
        <v/>
      </c>
      <c r="U53" s="35">
        <f>'Debt Schedule'!U18</f>
        <v/>
      </c>
      <c r="V53" s="35">
        <f>'Debt Schedule'!V18</f>
        <v/>
      </c>
      <c r="W53" s="35">
        <f>'Debt Schedule'!W18</f>
        <v/>
      </c>
      <c r="X53" s="35">
        <f>G53</f>
        <v/>
      </c>
      <c r="Y53" s="35">
        <f>K53</f>
        <v/>
      </c>
      <c r="Z53" s="35">
        <f>O53</f>
        <v/>
      </c>
      <c r="AA53" s="35">
        <f>S53</f>
        <v/>
      </c>
      <c r="AB53" s="35">
        <f>W53</f>
        <v/>
      </c>
    </row>
    <row r="54">
      <c r="A54" s="34" t="inlineStr">
        <is>
          <t>Lease Principal Repayments</t>
        </is>
      </c>
      <c r="B54" s="34" t="inlineStr">
        <is>
          <t>Debt Schedule schedule</t>
        </is>
      </c>
      <c r="C54" s="35">
        <f>'Debt Schedule'!C20</f>
        <v/>
      </c>
      <c r="D54" s="35">
        <f>'Debt Schedule'!D20</f>
        <v/>
      </c>
      <c r="E54" s="35">
        <f>'Debt Schedule'!E20</f>
        <v/>
      </c>
      <c r="F54" s="35">
        <f>'Debt Schedule'!F20</f>
        <v/>
      </c>
      <c r="G54" s="35">
        <f>'Debt Schedule'!G20</f>
        <v/>
      </c>
      <c r="H54" s="35">
        <f>'Debt Schedule'!H20</f>
        <v/>
      </c>
      <c r="I54" s="35">
        <f>'Debt Schedule'!I20</f>
        <v/>
      </c>
      <c r="J54" s="35">
        <f>'Debt Schedule'!J20</f>
        <v/>
      </c>
      <c r="K54" s="35">
        <f>'Debt Schedule'!K20</f>
        <v/>
      </c>
      <c r="L54" s="35">
        <f>'Debt Schedule'!L20</f>
        <v/>
      </c>
      <c r="M54" s="35">
        <f>'Debt Schedule'!M20</f>
        <v/>
      </c>
      <c r="N54" s="35">
        <f>'Debt Schedule'!N20</f>
        <v/>
      </c>
      <c r="O54" s="35">
        <f>'Debt Schedule'!O20</f>
        <v/>
      </c>
      <c r="P54" s="35">
        <f>'Debt Schedule'!P20</f>
        <v/>
      </c>
      <c r="Q54" s="35">
        <f>'Debt Schedule'!Q20</f>
        <v/>
      </c>
      <c r="R54" s="35">
        <f>'Debt Schedule'!R20</f>
        <v/>
      </c>
      <c r="S54" s="35">
        <f>'Debt Schedule'!S20</f>
        <v/>
      </c>
      <c r="T54" s="35">
        <f>'Debt Schedule'!T20</f>
        <v/>
      </c>
      <c r="U54" s="35">
        <f>'Debt Schedule'!U20</f>
        <v/>
      </c>
      <c r="V54" s="35">
        <f>'Debt Schedule'!V20</f>
        <v/>
      </c>
      <c r="W54" s="35">
        <f>'Debt Schedule'!W20</f>
        <v/>
      </c>
      <c r="X54" s="35">
        <f>SUM(D54:G54)</f>
        <v/>
      </c>
      <c r="Y54" s="35">
        <f>SUM(H54:K54)</f>
        <v/>
      </c>
      <c r="Z54" s="35">
        <f>SUM(L54:O54)</f>
        <v/>
      </c>
      <c r="AA54" s="35">
        <f>SUM(P54:S54)</f>
        <v/>
      </c>
      <c r="AB54" s="35">
        <f>SUM(T54:W54)</f>
        <v/>
      </c>
    </row>
    <row r="55">
      <c r="A55" s="34" t="inlineStr">
        <is>
          <t>Lease Net Additions</t>
        </is>
      </c>
      <c r="B55" s="34" t="inlineStr">
        <is>
          <t>Debt Schedule schedule</t>
        </is>
      </c>
      <c r="C55" s="35">
        <f>'Debt Schedule'!C21</f>
        <v/>
      </c>
      <c r="D55" s="35">
        <f>'Debt Schedule'!D21</f>
        <v/>
      </c>
      <c r="E55" s="35">
        <f>'Debt Schedule'!E21</f>
        <v/>
      </c>
      <c r="F55" s="35">
        <f>'Debt Schedule'!F21</f>
        <v/>
      </c>
      <c r="G55" s="35">
        <f>'Debt Schedule'!G21</f>
        <v/>
      </c>
      <c r="H55" s="35">
        <f>'Debt Schedule'!H21</f>
        <v/>
      </c>
      <c r="I55" s="35">
        <f>'Debt Schedule'!I21</f>
        <v/>
      </c>
      <c r="J55" s="35">
        <f>'Debt Schedule'!J21</f>
        <v/>
      </c>
      <c r="K55" s="35">
        <f>'Debt Schedule'!K21</f>
        <v/>
      </c>
      <c r="L55" s="35">
        <f>'Debt Schedule'!L21</f>
        <v/>
      </c>
      <c r="M55" s="35">
        <f>'Debt Schedule'!M21</f>
        <v/>
      </c>
      <c r="N55" s="35">
        <f>'Debt Schedule'!N21</f>
        <v/>
      </c>
      <c r="O55" s="35">
        <f>'Debt Schedule'!O21</f>
        <v/>
      </c>
      <c r="P55" s="35">
        <f>'Debt Schedule'!P21</f>
        <v/>
      </c>
      <c r="Q55" s="35">
        <f>'Debt Schedule'!Q21</f>
        <v/>
      </c>
      <c r="R55" s="35">
        <f>'Debt Schedule'!R21</f>
        <v/>
      </c>
      <c r="S55" s="35">
        <f>'Debt Schedule'!S21</f>
        <v/>
      </c>
      <c r="T55" s="35">
        <f>'Debt Schedule'!T21</f>
        <v/>
      </c>
      <c r="U55" s="35">
        <f>'Debt Schedule'!U21</f>
        <v/>
      </c>
      <c r="V55" s="35">
        <f>'Debt Schedule'!V21</f>
        <v/>
      </c>
      <c r="W55" s="35">
        <f>'Debt Schedule'!W21</f>
        <v/>
      </c>
      <c r="X55" s="35">
        <f>SUM(D55:G55)</f>
        <v/>
      </c>
      <c r="Y55" s="35">
        <f>SUM(H55:K55)</f>
        <v/>
      </c>
      <c r="Z55" s="35">
        <f>SUM(L55:O55)</f>
        <v/>
      </c>
      <c r="AA55" s="35">
        <f>SUM(P55:S55)</f>
        <v/>
      </c>
      <c r="AB55" s="35">
        <f>SUM(T55:W55)</f>
        <v/>
      </c>
    </row>
    <row r="56">
      <c r="A56" s="34" t="inlineStr">
        <is>
          <t>Lease Interest Expense</t>
        </is>
      </c>
      <c r="B56" s="34" t="inlineStr">
        <is>
          <t>Debt Schedule schedule</t>
        </is>
      </c>
      <c r="C56" s="35">
        <f>'Debt Schedule'!C22</f>
        <v/>
      </c>
      <c r="D56" s="35">
        <f>'Debt Schedule'!D22</f>
        <v/>
      </c>
      <c r="E56" s="35">
        <f>'Debt Schedule'!E22</f>
        <v/>
      </c>
      <c r="F56" s="35">
        <f>'Debt Schedule'!F22</f>
        <v/>
      </c>
      <c r="G56" s="35">
        <f>'Debt Schedule'!G22</f>
        <v/>
      </c>
      <c r="H56" s="35">
        <f>'Debt Schedule'!H22</f>
        <v/>
      </c>
      <c r="I56" s="35">
        <f>'Debt Schedule'!I22</f>
        <v/>
      </c>
      <c r="J56" s="35">
        <f>'Debt Schedule'!J22</f>
        <v/>
      </c>
      <c r="K56" s="35">
        <f>'Debt Schedule'!K22</f>
        <v/>
      </c>
      <c r="L56" s="35">
        <f>'Debt Schedule'!L22</f>
        <v/>
      </c>
      <c r="M56" s="35">
        <f>'Debt Schedule'!M22</f>
        <v/>
      </c>
      <c r="N56" s="35">
        <f>'Debt Schedule'!N22</f>
        <v/>
      </c>
      <c r="O56" s="35">
        <f>'Debt Schedule'!O22</f>
        <v/>
      </c>
      <c r="P56" s="35">
        <f>'Debt Schedule'!P22</f>
        <v/>
      </c>
      <c r="Q56" s="35">
        <f>'Debt Schedule'!Q22</f>
        <v/>
      </c>
      <c r="R56" s="35">
        <f>'Debt Schedule'!R22</f>
        <v/>
      </c>
      <c r="S56" s="35">
        <f>'Debt Schedule'!S22</f>
        <v/>
      </c>
      <c r="T56" s="35">
        <f>'Debt Schedule'!T22</f>
        <v/>
      </c>
      <c r="U56" s="35">
        <f>'Debt Schedule'!U22</f>
        <v/>
      </c>
      <c r="V56" s="35">
        <f>'Debt Schedule'!V22</f>
        <v/>
      </c>
      <c r="W56" s="35">
        <f>'Debt Schedule'!W22</f>
        <v/>
      </c>
      <c r="X56" s="35">
        <f>SUM(D56:G56)</f>
        <v/>
      </c>
      <c r="Y56" s="35">
        <f>SUM(H56:K56)</f>
        <v/>
      </c>
      <c r="Z56" s="35">
        <f>SUM(L56:O56)</f>
        <v/>
      </c>
      <c r="AA56" s="35">
        <f>SUM(P56:S56)</f>
        <v/>
      </c>
      <c r="AB56" s="35">
        <f>SUM(T56:W56)</f>
        <v/>
      </c>
    </row>
    <row r="57">
      <c r="A57" s="34" t="inlineStr">
        <is>
          <t>Lease Closing Balance</t>
        </is>
      </c>
      <c r="B57" s="34" t="inlineStr">
        <is>
          <t>Debt Schedule schedule</t>
        </is>
      </c>
      <c r="C57" s="35">
        <f>'Debt Schedule'!C23</f>
        <v/>
      </c>
      <c r="D57" s="35">
        <f>'Debt Schedule'!D23</f>
        <v/>
      </c>
      <c r="E57" s="35">
        <f>'Debt Schedule'!E23</f>
        <v/>
      </c>
      <c r="F57" s="35">
        <f>'Debt Schedule'!F23</f>
        <v/>
      </c>
      <c r="G57" s="35">
        <f>'Debt Schedule'!G23</f>
        <v/>
      </c>
      <c r="H57" s="35">
        <f>'Debt Schedule'!H23</f>
        <v/>
      </c>
      <c r="I57" s="35">
        <f>'Debt Schedule'!I23</f>
        <v/>
      </c>
      <c r="J57" s="35">
        <f>'Debt Schedule'!J23</f>
        <v/>
      </c>
      <c r="K57" s="35">
        <f>'Debt Schedule'!K23</f>
        <v/>
      </c>
      <c r="L57" s="35">
        <f>'Debt Schedule'!L23</f>
        <v/>
      </c>
      <c r="M57" s="35">
        <f>'Debt Schedule'!M23</f>
        <v/>
      </c>
      <c r="N57" s="35">
        <f>'Debt Schedule'!N23</f>
        <v/>
      </c>
      <c r="O57" s="35">
        <f>'Debt Schedule'!O23</f>
        <v/>
      </c>
      <c r="P57" s="35">
        <f>'Debt Schedule'!P23</f>
        <v/>
      </c>
      <c r="Q57" s="35">
        <f>'Debt Schedule'!Q23</f>
        <v/>
      </c>
      <c r="R57" s="35">
        <f>'Debt Schedule'!R23</f>
        <v/>
      </c>
      <c r="S57" s="35">
        <f>'Debt Schedule'!S23</f>
        <v/>
      </c>
      <c r="T57" s="35">
        <f>'Debt Schedule'!T23</f>
        <v/>
      </c>
      <c r="U57" s="35">
        <f>'Debt Schedule'!U23</f>
        <v/>
      </c>
      <c r="V57" s="35">
        <f>'Debt Schedule'!V23</f>
        <v/>
      </c>
      <c r="W57" s="35">
        <f>'Debt Schedule'!W23</f>
        <v/>
      </c>
      <c r="X57" s="35">
        <f>G57</f>
        <v/>
      </c>
      <c r="Y57" s="35">
        <f>K57</f>
        <v/>
      </c>
      <c r="Z57" s="35">
        <f>O57</f>
        <v/>
      </c>
      <c r="AA57" s="35">
        <f>S57</f>
        <v/>
      </c>
      <c r="AB57" s="35">
        <f>W57</f>
        <v/>
      </c>
    </row>
    <row r="58">
      <c r="A58" s="34" t="inlineStr">
        <is>
          <t>Right-of-Use Asset</t>
        </is>
      </c>
      <c r="B58" s="34" t="inlineStr">
        <is>
          <t>Debt Schedule schedule</t>
        </is>
      </c>
      <c r="C58" s="35">
        <f>'Debt Schedule'!C26</f>
        <v/>
      </c>
      <c r="D58" s="35">
        <f>'Debt Schedule'!D26</f>
        <v/>
      </c>
      <c r="E58" s="35">
        <f>'Debt Schedule'!E26</f>
        <v/>
      </c>
      <c r="F58" s="35">
        <f>'Debt Schedule'!F26</f>
        <v/>
      </c>
      <c r="G58" s="35">
        <f>'Debt Schedule'!G26</f>
        <v/>
      </c>
      <c r="H58" s="35">
        <f>'Debt Schedule'!H26</f>
        <v/>
      </c>
      <c r="I58" s="35">
        <f>'Debt Schedule'!I26</f>
        <v/>
      </c>
      <c r="J58" s="35">
        <f>'Debt Schedule'!J26</f>
        <v/>
      </c>
      <c r="K58" s="35">
        <f>'Debt Schedule'!K26</f>
        <v/>
      </c>
      <c r="L58" s="35">
        <f>'Debt Schedule'!L26</f>
        <v/>
      </c>
      <c r="M58" s="35">
        <f>'Debt Schedule'!M26</f>
        <v/>
      </c>
      <c r="N58" s="35">
        <f>'Debt Schedule'!N26</f>
        <v/>
      </c>
      <c r="O58" s="35">
        <f>'Debt Schedule'!O26</f>
        <v/>
      </c>
      <c r="P58" s="35">
        <f>'Debt Schedule'!P26</f>
        <v/>
      </c>
      <c r="Q58" s="35">
        <f>'Debt Schedule'!Q26</f>
        <v/>
      </c>
      <c r="R58" s="35">
        <f>'Debt Schedule'!R26</f>
        <v/>
      </c>
      <c r="S58" s="35">
        <f>'Debt Schedule'!S26</f>
        <v/>
      </c>
      <c r="T58" s="35">
        <f>'Debt Schedule'!T26</f>
        <v/>
      </c>
      <c r="U58" s="35">
        <f>'Debt Schedule'!U26</f>
        <v/>
      </c>
      <c r="V58" s="35">
        <f>'Debt Schedule'!V26</f>
        <v/>
      </c>
      <c r="W58" s="35">
        <f>'Debt Schedule'!W26</f>
        <v/>
      </c>
      <c r="X58" s="35">
        <f>G58</f>
        <v/>
      </c>
      <c r="Y58" s="35">
        <f>K58</f>
        <v/>
      </c>
      <c r="Z58" s="35">
        <f>O58</f>
        <v/>
      </c>
      <c r="AA58" s="35">
        <f>S58</f>
        <v/>
      </c>
      <c r="AB58" s="35">
        <f>W58</f>
        <v/>
      </c>
    </row>
    <row r="59">
      <c r="A59" s="34" t="inlineStr">
        <is>
          <t>Lease Asset Depreciation</t>
        </is>
      </c>
      <c r="B59" s="34" t="inlineStr">
        <is>
          <t>Debt Schedule schedule</t>
        </is>
      </c>
      <c r="C59" s="35">
        <f>'Debt Schedule'!C25</f>
        <v/>
      </c>
      <c r="D59" s="35">
        <f>'Debt Schedule'!D25</f>
        <v/>
      </c>
      <c r="E59" s="35">
        <f>'Debt Schedule'!E25</f>
        <v/>
      </c>
      <c r="F59" s="35">
        <f>'Debt Schedule'!F25</f>
        <v/>
      </c>
      <c r="G59" s="35">
        <f>'Debt Schedule'!G25</f>
        <v/>
      </c>
      <c r="H59" s="35">
        <f>'Debt Schedule'!H25</f>
        <v/>
      </c>
      <c r="I59" s="35">
        <f>'Debt Schedule'!I25</f>
        <v/>
      </c>
      <c r="J59" s="35">
        <f>'Debt Schedule'!J25</f>
        <v/>
      </c>
      <c r="K59" s="35">
        <f>'Debt Schedule'!K25</f>
        <v/>
      </c>
      <c r="L59" s="35">
        <f>'Debt Schedule'!L25</f>
        <v/>
      </c>
      <c r="M59" s="35">
        <f>'Debt Schedule'!M25</f>
        <v/>
      </c>
      <c r="N59" s="35">
        <f>'Debt Schedule'!N25</f>
        <v/>
      </c>
      <c r="O59" s="35">
        <f>'Debt Schedule'!O25</f>
        <v/>
      </c>
      <c r="P59" s="35">
        <f>'Debt Schedule'!P25</f>
        <v/>
      </c>
      <c r="Q59" s="35">
        <f>'Debt Schedule'!Q25</f>
        <v/>
      </c>
      <c r="R59" s="35">
        <f>'Debt Schedule'!R25</f>
        <v/>
      </c>
      <c r="S59" s="35">
        <f>'Debt Schedule'!S25</f>
        <v/>
      </c>
      <c r="T59" s="35">
        <f>'Debt Schedule'!T25</f>
        <v/>
      </c>
      <c r="U59" s="35">
        <f>'Debt Schedule'!U25</f>
        <v/>
      </c>
      <c r="V59" s="35">
        <f>'Debt Schedule'!V25</f>
        <v/>
      </c>
      <c r="W59" s="35">
        <f>'Debt Schedule'!W25</f>
        <v/>
      </c>
      <c r="X59" s="35">
        <f>SUM(D59:G59)</f>
        <v/>
      </c>
      <c r="Y59" s="35">
        <f>SUM(H59:K59)</f>
        <v/>
      </c>
      <c r="Z59" s="35">
        <f>SUM(L59:O59)</f>
        <v/>
      </c>
      <c r="AA59" s="35">
        <f>SUM(P59:S59)</f>
        <v/>
      </c>
      <c r="AB59" s="35">
        <f>SUM(T59:W59)</f>
        <v/>
      </c>
    </row>
    <row r="60">
      <c r="A60" s="8" t="inlineStr">
        <is>
          <t>Capital Expenditures</t>
        </is>
      </c>
      <c r="B60" s="8" t="inlineStr">
        <is>
          <t>CapEx Depreciation schedule</t>
        </is>
      </c>
      <c r="C60" s="12">
        <f>'CapEx Depreciation'!C8</f>
        <v/>
      </c>
      <c r="D60" s="12">
        <f>'CapEx Depreciation'!D8</f>
        <v/>
      </c>
      <c r="E60" s="12">
        <f>'CapEx Depreciation'!E8</f>
        <v/>
      </c>
      <c r="F60" s="12">
        <f>'CapEx Depreciation'!F8</f>
        <v/>
      </c>
      <c r="G60" s="12">
        <f>'CapEx Depreciation'!G8</f>
        <v/>
      </c>
      <c r="H60" s="12">
        <f>'CapEx Depreciation'!H8</f>
        <v/>
      </c>
      <c r="I60" s="12">
        <f>'CapEx Depreciation'!I8</f>
        <v/>
      </c>
      <c r="J60" s="12">
        <f>'CapEx Depreciation'!J8</f>
        <v/>
      </c>
      <c r="K60" s="12">
        <f>'CapEx Depreciation'!K8</f>
        <v/>
      </c>
      <c r="L60" s="12">
        <f>'CapEx Depreciation'!L8</f>
        <v/>
      </c>
      <c r="M60" s="12">
        <f>'CapEx Depreciation'!M8</f>
        <v/>
      </c>
      <c r="N60" s="12">
        <f>'CapEx Depreciation'!N8</f>
        <v/>
      </c>
      <c r="O60" s="12">
        <f>'CapEx Depreciation'!O8</f>
        <v/>
      </c>
      <c r="P60" s="12">
        <f>'CapEx Depreciation'!P8</f>
        <v/>
      </c>
      <c r="Q60" s="12">
        <f>'CapEx Depreciation'!Q8</f>
        <v/>
      </c>
      <c r="R60" s="12">
        <f>'CapEx Depreciation'!R8</f>
        <v/>
      </c>
      <c r="S60" s="12">
        <f>'CapEx Depreciation'!S8</f>
        <v/>
      </c>
      <c r="T60" s="12">
        <f>'CapEx Depreciation'!T8</f>
        <v/>
      </c>
      <c r="U60" s="12">
        <f>'CapEx Depreciation'!U8</f>
        <v/>
      </c>
      <c r="V60" s="12">
        <f>'CapEx Depreciation'!V8</f>
        <v/>
      </c>
      <c r="W60" s="12">
        <f>'CapEx Depreciation'!W8</f>
        <v/>
      </c>
      <c r="X60" s="12">
        <f>SUM(D60:G60)</f>
        <v/>
      </c>
      <c r="Y60" s="12">
        <f>SUM(H60:K60)</f>
        <v/>
      </c>
      <c r="Z60" s="12">
        <f>SUM(L60:O60)</f>
        <v/>
      </c>
      <c r="AA60" s="12">
        <f>SUM(P60:S60)</f>
        <v/>
      </c>
      <c r="AB60" s="12">
        <f>SUM(T60:W60)</f>
        <v/>
      </c>
    </row>
    <row r="61">
      <c r="A61" s="8" t="inlineStr">
        <is>
          <t>PPE Closing Balance</t>
        </is>
      </c>
      <c r="B61" s="8" t="inlineStr">
        <is>
          <t>CapEx Depreciation schedule</t>
        </is>
      </c>
      <c r="C61" s="12">
        <f>'CapEx Depreciation'!C12</f>
        <v/>
      </c>
      <c r="D61" s="12">
        <f>'CapEx Depreciation'!D12</f>
        <v/>
      </c>
      <c r="E61" s="12">
        <f>'CapEx Depreciation'!E12</f>
        <v/>
      </c>
      <c r="F61" s="12">
        <f>'CapEx Depreciation'!F12</f>
        <v/>
      </c>
      <c r="G61" s="12">
        <f>'CapEx Depreciation'!G12</f>
        <v/>
      </c>
      <c r="H61" s="12">
        <f>'CapEx Depreciation'!H12</f>
        <v/>
      </c>
      <c r="I61" s="12">
        <f>'CapEx Depreciation'!I12</f>
        <v/>
      </c>
      <c r="J61" s="12">
        <f>'CapEx Depreciation'!J12</f>
        <v/>
      </c>
      <c r="K61" s="12">
        <f>'CapEx Depreciation'!K12</f>
        <v/>
      </c>
      <c r="L61" s="12">
        <f>'CapEx Depreciation'!L12</f>
        <v/>
      </c>
      <c r="M61" s="12">
        <f>'CapEx Depreciation'!M12</f>
        <v/>
      </c>
      <c r="N61" s="12">
        <f>'CapEx Depreciation'!N12</f>
        <v/>
      </c>
      <c r="O61" s="12">
        <f>'CapEx Depreciation'!O12</f>
        <v/>
      </c>
      <c r="P61" s="12">
        <f>'CapEx Depreciation'!P12</f>
        <v/>
      </c>
      <c r="Q61" s="12">
        <f>'CapEx Depreciation'!Q12</f>
        <v/>
      </c>
      <c r="R61" s="12">
        <f>'CapEx Depreciation'!R12</f>
        <v/>
      </c>
      <c r="S61" s="12">
        <f>'CapEx Depreciation'!S12</f>
        <v/>
      </c>
      <c r="T61" s="12">
        <f>'CapEx Depreciation'!T12</f>
        <v/>
      </c>
      <c r="U61" s="12">
        <f>'CapEx Depreciation'!U12</f>
        <v/>
      </c>
      <c r="V61" s="12">
        <f>'CapEx Depreciation'!V12</f>
        <v/>
      </c>
      <c r="W61" s="12">
        <f>'CapEx Depreciation'!W12</f>
        <v/>
      </c>
      <c r="X61" s="12">
        <f>G61</f>
        <v/>
      </c>
      <c r="Y61" s="12">
        <f>K61</f>
        <v/>
      </c>
      <c r="Z61" s="12">
        <f>O61</f>
        <v/>
      </c>
      <c r="AA61" s="12">
        <f>S61</f>
        <v/>
      </c>
      <c r="AB61" s="12">
        <f>W61</f>
        <v/>
      </c>
    </row>
    <row r="62">
      <c r="A62" s="8" t="inlineStr">
        <is>
          <t>Accumulated Depreciation</t>
        </is>
      </c>
      <c r="B62" s="8" t="inlineStr">
        <is>
          <t>CapEx Depreciation schedule</t>
        </is>
      </c>
      <c r="C62" s="12">
        <f>'CapEx Depreciation'!C14</f>
        <v/>
      </c>
      <c r="D62" s="12">
        <f>'CapEx Depreciation'!D14</f>
        <v/>
      </c>
      <c r="E62" s="12">
        <f>'CapEx Depreciation'!E14</f>
        <v/>
      </c>
      <c r="F62" s="12">
        <f>'CapEx Depreciation'!F14</f>
        <v/>
      </c>
      <c r="G62" s="12">
        <f>'CapEx Depreciation'!G14</f>
        <v/>
      </c>
      <c r="H62" s="12">
        <f>'CapEx Depreciation'!H14</f>
        <v/>
      </c>
      <c r="I62" s="12">
        <f>'CapEx Depreciation'!I14</f>
        <v/>
      </c>
      <c r="J62" s="12">
        <f>'CapEx Depreciation'!J14</f>
        <v/>
      </c>
      <c r="K62" s="12">
        <f>'CapEx Depreciation'!K14</f>
        <v/>
      </c>
      <c r="L62" s="12">
        <f>'CapEx Depreciation'!L14</f>
        <v/>
      </c>
      <c r="M62" s="12">
        <f>'CapEx Depreciation'!M14</f>
        <v/>
      </c>
      <c r="N62" s="12">
        <f>'CapEx Depreciation'!N14</f>
        <v/>
      </c>
      <c r="O62" s="12">
        <f>'CapEx Depreciation'!O14</f>
        <v/>
      </c>
      <c r="P62" s="12">
        <f>'CapEx Depreciation'!P14</f>
        <v/>
      </c>
      <c r="Q62" s="12">
        <f>'CapEx Depreciation'!Q14</f>
        <v/>
      </c>
      <c r="R62" s="12">
        <f>'CapEx Depreciation'!R14</f>
        <v/>
      </c>
      <c r="S62" s="12">
        <f>'CapEx Depreciation'!S14</f>
        <v/>
      </c>
      <c r="T62" s="12">
        <f>'CapEx Depreciation'!T14</f>
        <v/>
      </c>
      <c r="U62" s="12">
        <f>'CapEx Depreciation'!U14</f>
        <v/>
      </c>
      <c r="V62" s="12">
        <f>'CapEx Depreciation'!V14</f>
        <v/>
      </c>
      <c r="W62" s="12">
        <f>'CapEx Depreciation'!W14</f>
        <v/>
      </c>
      <c r="X62" s="12">
        <f>G62</f>
        <v/>
      </c>
      <c r="Y62" s="12">
        <f>K62</f>
        <v/>
      </c>
      <c r="Z62" s="12">
        <f>O62</f>
        <v/>
      </c>
      <c r="AA62" s="12">
        <f>S62</f>
        <v/>
      </c>
      <c r="AB62" s="12">
        <f>W62</f>
        <v/>
      </c>
    </row>
  </sheetData>
  <mergeCells count="3">
    <mergeCell ref="A6:AB6"/>
    <mergeCell ref="A43:AB43"/>
    <mergeCell ref="A32:AB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Inputs'!C19</f>
        <v/>
      </c>
      <c r="D8" s="20">
        <f>'Model Inputs'!D19</f>
        <v/>
      </c>
      <c r="E8" s="20">
        <f>'Model Inputs'!E19</f>
        <v/>
      </c>
      <c r="F8" s="20">
        <f>'Model Inputs'!F19</f>
        <v/>
      </c>
      <c r="G8" s="20">
        <f>'Model Inputs'!G19</f>
        <v/>
      </c>
      <c r="H8" s="20">
        <f>'Model Inputs'!H19</f>
        <v/>
      </c>
      <c r="I8" s="20">
        <f>'Model Inputs'!I19</f>
        <v/>
      </c>
      <c r="J8" s="20">
        <f>'Model Inputs'!J19</f>
        <v/>
      </c>
      <c r="K8" s="20">
        <f>'Model Inputs'!K19</f>
        <v/>
      </c>
      <c r="L8" s="20">
        <f>'Model Inputs'!L19</f>
        <v/>
      </c>
      <c r="M8" s="20">
        <f>'Model Inputs'!M19</f>
        <v/>
      </c>
      <c r="N8" s="20">
        <f>'Model Inputs'!N19</f>
        <v/>
      </c>
      <c r="O8" s="20">
        <f>'Model Inputs'!O19</f>
        <v/>
      </c>
      <c r="P8" s="20">
        <f>'Model Inputs'!P19</f>
        <v/>
      </c>
      <c r="Q8" s="20">
        <f>'Model Inputs'!Q19</f>
        <v/>
      </c>
      <c r="R8" s="20">
        <f>'Model Inputs'!R19</f>
        <v/>
      </c>
      <c r="S8" s="20">
        <f>'Model Inputs'!S19</f>
        <v/>
      </c>
      <c r="T8" s="20">
        <f>'Model Inputs'!T19</f>
        <v/>
      </c>
      <c r="U8" s="20">
        <f>'Model Inputs'!U19</f>
        <v/>
      </c>
      <c r="V8" s="20">
        <f>'Model Inputs'!V19</f>
        <v/>
      </c>
      <c r="W8" s="20">
        <f>'Model Inputs'!W19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Inputs'!C20</f>
        <v/>
      </c>
      <c r="D9" s="12">
        <f>D8*'Model Inputs'!D20</f>
        <v/>
      </c>
      <c r="E9" s="12">
        <f>E8*'Model Inputs'!E20</f>
        <v/>
      </c>
      <c r="F9" s="12">
        <f>F8*'Model Inputs'!F20</f>
        <v/>
      </c>
      <c r="G9" s="12">
        <f>G8*'Model Inputs'!G20</f>
        <v/>
      </c>
      <c r="H9" s="12">
        <f>H8*'Model Inputs'!H20</f>
        <v/>
      </c>
      <c r="I9" s="12">
        <f>I8*'Model Inputs'!I20</f>
        <v/>
      </c>
      <c r="J9" s="12">
        <f>J8*'Model Inputs'!J20</f>
        <v/>
      </c>
      <c r="K9" s="12">
        <f>K8*'Model Inputs'!K20</f>
        <v/>
      </c>
      <c r="L9" s="12">
        <f>L8*'Model Inputs'!L20</f>
        <v/>
      </c>
      <c r="M9" s="12">
        <f>M8*'Model Inputs'!M20</f>
        <v/>
      </c>
      <c r="N9" s="12">
        <f>N8*'Model Inputs'!N20</f>
        <v/>
      </c>
      <c r="O9" s="12">
        <f>O8*'Model Inputs'!O20</f>
        <v/>
      </c>
      <c r="P9" s="12">
        <f>P8*'Model Inputs'!P20</f>
        <v/>
      </c>
      <c r="Q9" s="12">
        <f>Q8*'Model Inputs'!Q20</f>
        <v/>
      </c>
      <c r="R9" s="12">
        <f>R8*'Model Inputs'!R20</f>
        <v/>
      </c>
      <c r="S9" s="12">
        <f>S8*'Model Inputs'!S20</f>
        <v/>
      </c>
      <c r="T9" s="12">
        <f>T8*'Model Inputs'!T20</f>
        <v/>
      </c>
      <c r="U9" s="12">
        <f>U8*'Model Inputs'!U20</f>
        <v/>
      </c>
      <c r="V9" s="12">
        <f>V8*'Model Inputs'!V20</f>
        <v/>
      </c>
      <c r="W9" s="12">
        <f>W8*'Model Inputs'!W20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Inputs'!C21</f>
        <v/>
      </c>
      <c r="D11" s="12">
        <f>D8*'Model Inputs'!D21</f>
        <v/>
      </c>
      <c r="E11" s="12">
        <f>E8*'Model Inputs'!E21</f>
        <v/>
      </c>
      <c r="F11" s="12">
        <f>F8*'Model Inputs'!F21</f>
        <v/>
      </c>
      <c r="G11" s="12">
        <f>G8*'Model Inputs'!G21</f>
        <v/>
      </c>
      <c r="H11" s="12">
        <f>H8*'Model Inputs'!H21</f>
        <v/>
      </c>
      <c r="I11" s="12">
        <f>I8*'Model Inputs'!I21</f>
        <v/>
      </c>
      <c r="J11" s="12">
        <f>J8*'Model Inputs'!J21</f>
        <v/>
      </c>
      <c r="K11" s="12">
        <f>K8*'Model Inputs'!K21</f>
        <v/>
      </c>
      <c r="L11" s="12">
        <f>L8*'Model Inputs'!L21</f>
        <v/>
      </c>
      <c r="M11" s="12">
        <f>M8*'Model Inputs'!M21</f>
        <v/>
      </c>
      <c r="N11" s="12">
        <f>N8*'Model Inputs'!N21</f>
        <v/>
      </c>
      <c r="O11" s="12">
        <f>O8*'Model Inputs'!O21</f>
        <v/>
      </c>
      <c r="P11" s="12">
        <f>P8*'Model Inputs'!P21</f>
        <v/>
      </c>
      <c r="Q11" s="12">
        <f>Q8*'Model Inputs'!Q21</f>
        <v/>
      </c>
      <c r="R11" s="12">
        <f>R8*'Model Inputs'!R21</f>
        <v/>
      </c>
      <c r="S11" s="12">
        <f>S8*'Model Inputs'!S21</f>
        <v/>
      </c>
      <c r="T11" s="12">
        <f>T8*'Model Inputs'!T21</f>
        <v/>
      </c>
      <c r="U11" s="12">
        <f>U8*'Model Inputs'!U21</f>
        <v/>
      </c>
      <c r="V11" s="12">
        <f>V8*'Model Inputs'!V21</f>
        <v/>
      </c>
      <c r="W11" s="12">
        <f>W8*'Model Inputs'!W21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Inputs'!C22</f>
        <v/>
      </c>
      <c r="D12" s="12">
        <f>D8*'Model Inputs'!D22</f>
        <v/>
      </c>
      <c r="E12" s="12">
        <f>E8*'Model Inputs'!E22</f>
        <v/>
      </c>
      <c r="F12" s="12">
        <f>F8*'Model Inputs'!F22</f>
        <v/>
      </c>
      <c r="G12" s="12">
        <f>G8*'Model Inputs'!G22</f>
        <v/>
      </c>
      <c r="H12" s="12">
        <f>H8*'Model Inputs'!H22</f>
        <v/>
      </c>
      <c r="I12" s="12">
        <f>I8*'Model Inputs'!I22</f>
        <v/>
      </c>
      <c r="J12" s="12">
        <f>J8*'Model Inputs'!J22</f>
        <v/>
      </c>
      <c r="K12" s="12">
        <f>K8*'Model Inputs'!K22</f>
        <v/>
      </c>
      <c r="L12" s="12">
        <f>L8*'Model Inputs'!L22</f>
        <v/>
      </c>
      <c r="M12" s="12">
        <f>M8*'Model Inputs'!M22</f>
        <v/>
      </c>
      <c r="N12" s="12">
        <f>N8*'Model Inputs'!N22</f>
        <v/>
      </c>
      <c r="O12" s="12">
        <f>O8*'Model Inputs'!O22</f>
        <v/>
      </c>
      <c r="P12" s="12">
        <f>P8*'Model Inputs'!P22</f>
        <v/>
      </c>
      <c r="Q12" s="12">
        <f>Q8*'Model Inputs'!Q22</f>
        <v/>
      </c>
      <c r="R12" s="12">
        <f>R8*'Model Inputs'!R22</f>
        <v/>
      </c>
      <c r="S12" s="12">
        <f>S8*'Model Inputs'!S22</f>
        <v/>
      </c>
      <c r="T12" s="12">
        <f>T8*'Model Inputs'!T22</f>
        <v/>
      </c>
      <c r="U12" s="12">
        <f>U8*'Model Inputs'!U22</f>
        <v/>
      </c>
      <c r="V12" s="12">
        <f>V8*'Model Inputs'!V22</f>
        <v/>
      </c>
      <c r="W12" s="12">
        <f>W8*'Model Inputs'!W22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Inputs'!C23</f>
        <v/>
      </c>
      <c r="D13" s="12">
        <f>'Model Inputs'!D23</f>
        <v/>
      </c>
      <c r="E13" s="12">
        <f>'Model Inputs'!E23</f>
        <v/>
      </c>
      <c r="F13" s="12">
        <f>'Model Inputs'!F23</f>
        <v/>
      </c>
      <c r="G13" s="12">
        <f>'Model Inputs'!G23</f>
        <v/>
      </c>
      <c r="H13" s="12">
        <f>'Model Inputs'!H23</f>
        <v/>
      </c>
      <c r="I13" s="12">
        <f>'Model Inputs'!I23</f>
        <v/>
      </c>
      <c r="J13" s="12">
        <f>'Model Inputs'!J23</f>
        <v/>
      </c>
      <c r="K13" s="12">
        <f>'Model Inputs'!K23</f>
        <v/>
      </c>
      <c r="L13" s="12">
        <f>'Model Inputs'!L23</f>
        <v/>
      </c>
      <c r="M13" s="12">
        <f>'Model Inputs'!M23</f>
        <v/>
      </c>
      <c r="N13" s="12">
        <f>'Model Inputs'!N23</f>
        <v/>
      </c>
      <c r="O13" s="12">
        <f>'Model Inputs'!O23</f>
        <v/>
      </c>
      <c r="P13" s="12">
        <f>'Model Inputs'!P23</f>
        <v/>
      </c>
      <c r="Q13" s="12">
        <f>'Model Inputs'!Q23</f>
        <v/>
      </c>
      <c r="R13" s="12">
        <f>'Model Inputs'!R23</f>
        <v/>
      </c>
      <c r="S13" s="12">
        <f>'Model Inputs'!S23</f>
        <v/>
      </c>
      <c r="T13" s="12">
        <f>'Model Inputs'!T23</f>
        <v/>
      </c>
      <c r="U13" s="12">
        <f>'Model Inputs'!U23</f>
        <v/>
      </c>
      <c r="V13" s="12">
        <f>'Model Inputs'!V23</f>
        <v/>
      </c>
      <c r="W13" s="12">
        <f>'Model Inputs'!W23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Inputs'!C24</f>
        <v/>
      </c>
      <c r="D14" s="12">
        <f>'Model Inputs'!D24</f>
        <v/>
      </c>
      <c r="E14" s="12">
        <f>'Model Inputs'!E24</f>
        <v/>
      </c>
      <c r="F14" s="12">
        <f>'Model Inputs'!F24</f>
        <v/>
      </c>
      <c r="G14" s="12">
        <f>'Model Inputs'!G24</f>
        <v/>
      </c>
      <c r="H14" s="12">
        <f>'Model Inputs'!H24</f>
        <v/>
      </c>
      <c r="I14" s="12">
        <f>'Model Inputs'!I24</f>
        <v/>
      </c>
      <c r="J14" s="12">
        <f>'Model Inputs'!J24</f>
        <v/>
      </c>
      <c r="K14" s="12">
        <f>'Model Inputs'!K24</f>
        <v/>
      </c>
      <c r="L14" s="12">
        <f>'Model Inputs'!L24</f>
        <v/>
      </c>
      <c r="M14" s="12">
        <f>'Model Inputs'!M24</f>
        <v/>
      </c>
      <c r="N14" s="12">
        <f>'Model Inputs'!N24</f>
        <v/>
      </c>
      <c r="O14" s="12">
        <f>'Model Inputs'!O24</f>
        <v/>
      </c>
      <c r="P14" s="12">
        <f>'Model Inputs'!P24</f>
        <v/>
      </c>
      <c r="Q14" s="12">
        <f>'Model Inputs'!Q24</f>
        <v/>
      </c>
      <c r="R14" s="12">
        <f>'Model Inputs'!R24</f>
        <v/>
      </c>
      <c r="S14" s="12">
        <f>'Model Inputs'!S24</f>
        <v/>
      </c>
      <c r="T14" s="12">
        <f>'Model Inputs'!T24</f>
        <v/>
      </c>
      <c r="U14" s="12">
        <f>'Model Inputs'!U24</f>
        <v/>
      </c>
      <c r="V14" s="12">
        <f>'Model Inputs'!V24</f>
        <v/>
      </c>
      <c r="W14" s="12">
        <f>'Model Inputs'!W24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Inputs'!C25</f>
        <v/>
      </c>
      <c r="D15" s="12">
        <f>D8*'Model Inputs'!D25</f>
        <v/>
      </c>
      <c r="E15" s="12">
        <f>E8*'Model Inputs'!E25</f>
        <v/>
      </c>
      <c r="F15" s="12">
        <f>F8*'Model Inputs'!F25</f>
        <v/>
      </c>
      <c r="G15" s="12">
        <f>G8*'Model Inputs'!G25</f>
        <v/>
      </c>
      <c r="H15" s="12">
        <f>H8*'Model Inputs'!H25</f>
        <v/>
      </c>
      <c r="I15" s="12">
        <f>I8*'Model Inputs'!I25</f>
        <v/>
      </c>
      <c r="J15" s="12">
        <f>J8*'Model Inputs'!J25</f>
        <v/>
      </c>
      <c r="K15" s="12">
        <f>K8*'Model Inputs'!K25</f>
        <v/>
      </c>
      <c r="L15" s="12">
        <f>L8*'Model Inputs'!L25</f>
        <v/>
      </c>
      <c r="M15" s="12">
        <f>M8*'Model Inputs'!M25</f>
        <v/>
      </c>
      <c r="N15" s="12">
        <f>N8*'Model Inputs'!N25</f>
        <v/>
      </c>
      <c r="O15" s="12">
        <f>O8*'Model Inputs'!O25</f>
        <v/>
      </c>
      <c r="P15" s="12">
        <f>P8*'Model Inputs'!P25</f>
        <v/>
      </c>
      <c r="Q15" s="12">
        <f>Q8*'Model Inputs'!Q25</f>
        <v/>
      </c>
      <c r="R15" s="12">
        <f>R8*'Model Inputs'!R25</f>
        <v/>
      </c>
      <c r="S15" s="12">
        <f>S8*'Model Inputs'!S25</f>
        <v/>
      </c>
      <c r="T15" s="12">
        <f>T8*'Model Inputs'!T25</f>
        <v/>
      </c>
      <c r="U15" s="12">
        <f>U8*'Model Inputs'!U25</f>
        <v/>
      </c>
      <c r="V15" s="12">
        <f>V8*'Model Inputs'!V25</f>
        <v/>
      </c>
      <c r="W15" s="12">
        <f>W8*'Model Inputs'!W25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Inputs'!C27+'Model Inputs'!C56</f>
        <v/>
      </c>
      <c r="D17" s="12">
        <f>'Model Inputs'!D27+'Model Inputs'!D56</f>
        <v/>
      </c>
      <c r="E17" s="12">
        <f>'Model Inputs'!E27+'Model Inputs'!E56</f>
        <v/>
      </c>
      <c r="F17" s="12">
        <f>'Model Inputs'!F27+'Model Inputs'!F56</f>
        <v/>
      </c>
      <c r="G17" s="12">
        <f>'Model Inputs'!G27+'Model Inputs'!G56</f>
        <v/>
      </c>
      <c r="H17" s="12">
        <f>'Model Inputs'!H27+'Model Inputs'!H56</f>
        <v/>
      </c>
      <c r="I17" s="12">
        <f>'Model Inputs'!I27+'Model Inputs'!I56</f>
        <v/>
      </c>
      <c r="J17" s="12">
        <f>'Model Inputs'!J27+'Model Inputs'!J56</f>
        <v/>
      </c>
      <c r="K17" s="12">
        <f>'Model Inputs'!K27+'Model Inputs'!K56</f>
        <v/>
      </c>
      <c r="L17" s="12">
        <f>'Model Inputs'!L27+'Model Inputs'!L56</f>
        <v/>
      </c>
      <c r="M17" s="12">
        <f>'Model Inputs'!M27+'Model Inputs'!M56</f>
        <v/>
      </c>
      <c r="N17" s="12">
        <f>'Model Inputs'!N27+'Model Inputs'!N56</f>
        <v/>
      </c>
      <c r="O17" s="12">
        <f>'Model Inputs'!O27+'Model Inputs'!O56</f>
        <v/>
      </c>
      <c r="P17" s="12">
        <f>'Model Inputs'!P27+'Model Inputs'!P56</f>
        <v/>
      </c>
      <c r="Q17" s="12">
        <f>'Model Inputs'!Q27+'Model Inputs'!Q56</f>
        <v/>
      </c>
      <c r="R17" s="12">
        <f>'Model Inputs'!R27+'Model Inputs'!R56</f>
        <v/>
      </c>
      <c r="S17" s="12">
        <f>'Model Inputs'!S27+'Model Inputs'!S56</f>
        <v/>
      </c>
      <c r="T17" s="12">
        <f>'Model Inputs'!T27+'Model Inputs'!T56</f>
        <v/>
      </c>
      <c r="U17" s="12">
        <f>'Model Inputs'!U27+'Model Inputs'!U56</f>
        <v/>
      </c>
      <c r="V17" s="12">
        <f>'Model Inputs'!V27+'Model Inputs'!V56</f>
        <v/>
      </c>
      <c r="W17" s="12">
        <f>'Model Inputs'!W27+'Model Inputs'!W56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Inputs'!C29+'Model Inputs'!C59</f>
        <v/>
      </c>
      <c r="D18" s="12">
        <f>'Model Inputs'!D29+'Model Inputs'!D59</f>
        <v/>
      </c>
      <c r="E18" s="12">
        <f>'Model Inputs'!E29+'Model Inputs'!E59</f>
        <v/>
      </c>
      <c r="F18" s="12">
        <f>'Model Inputs'!F29+'Model Inputs'!F59</f>
        <v/>
      </c>
      <c r="G18" s="12">
        <f>'Model Inputs'!G29+'Model Inputs'!G59</f>
        <v/>
      </c>
      <c r="H18" s="12">
        <f>'Model Inputs'!H29+'Model Inputs'!H59</f>
        <v/>
      </c>
      <c r="I18" s="12">
        <f>'Model Inputs'!I29+'Model Inputs'!I59</f>
        <v/>
      </c>
      <c r="J18" s="12">
        <f>'Model Inputs'!J29+'Model Inputs'!J59</f>
        <v/>
      </c>
      <c r="K18" s="12">
        <f>'Model Inputs'!K29+'Model Inputs'!K59</f>
        <v/>
      </c>
      <c r="L18" s="12">
        <f>'Model Inputs'!L29+'Model Inputs'!L59</f>
        <v/>
      </c>
      <c r="M18" s="12">
        <f>'Model Inputs'!M29+'Model Inputs'!M59</f>
        <v/>
      </c>
      <c r="N18" s="12">
        <f>'Model Inputs'!N29+'Model Inputs'!N59</f>
        <v/>
      </c>
      <c r="O18" s="12">
        <f>'Model Inputs'!O29+'Model Inputs'!O59</f>
        <v/>
      </c>
      <c r="P18" s="12">
        <f>'Model Inputs'!P29+'Model Inputs'!P59</f>
        <v/>
      </c>
      <c r="Q18" s="12">
        <f>'Model Inputs'!Q29+'Model Inputs'!Q59</f>
        <v/>
      </c>
      <c r="R18" s="12">
        <f>'Model Inputs'!R29+'Model Inputs'!R59</f>
        <v/>
      </c>
      <c r="S18" s="12">
        <f>'Model Inputs'!S29+'Model Inputs'!S59</f>
        <v/>
      </c>
      <c r="T18" s="12">
        <f>'Model Inputs'!T29+'Model Inputs'!T59</f>
        <v/>
      </c>
      <c r="U18" s="12">
        <f>'Model Inputs'!U29+'Model Inputs'!U59</f>
        <v/>
      </c>
      <c r="V18" s="12">
        <f>'Model Inputs'!V29+'Model Inputs'!V59</f>
        <v/>
      </c>
      <c r="W18" s="12">
        <f>'Model Inputs'!W29+'Model Inputs'!W59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Inputs'!C30</f>
        <v/>
      </c>
      <c r="D19" s="12">
        <f>MAX(0,D16-D17-D18)*'Model Inputs'!D30</f>
        <v/>
      </c>
      <c r="E19" s="12">
        <f>MAX(0,E16-E17-E18)*'Model Inputs'!E30</f>
        <v/>
      </c>
      <c r="F19" s="12">
        <f>MAX(0,F16-F17-F18)*'Model Inputs'!F30</f>
        <v/>
      </c>
      <c r="G19" s="12">
        <f>MAX(0,G16-G17-G18)*'Model Inputs'!G30</f>
        <v/>
      </c>
      <c r="H19" s="12">
        <f>MAX(0,H16-H17-H18)*'Model Inputs'!H30</f>
        <v/>
      </c>
      <c r="I19" s="12">
        <f>MAX(0,I16-I17-I18)*'Model Inputs'!I30</f>
        <v/>
      </c>
      <c r="J19" s="12">
        <f>MAX(0,J16-J17-J18)*'Model Inputs'!J30</f>
        <v/>
      </c>
      <c r="K19" s="12">
        <f>MAX(0,K16-K17-K18)*'Model Inputs'!K30</f>
        <v/>
      </c>
      <c r="L19" s="12">
        <f>MAX(0,L16-L17-L18)*'Model Inputs'!L30</f>
        <v/>
      </c>
      <c r="M19" s="12">
        <f>MAX(0,M16-M17-M18)*'Model Inputs'!M30</f>
        <v/>
      </c>
      <c r="N19" s="12">
        <f>MAX(0,N16-N17-N18)*'Model Inputs'!N30</f>
        <v/>
      </c>
      <c r="O19" s="12">
        <f>MAX(0,O16-O17-O18)*'Model Inputs'!O30</f>
        <v/>
      </c>
      <c r="P19" s="12">
        <f>MAX(0,P16-P17-P18)*'Model Inputs'!P30</f>
        <v/>
      </c>
      <c r="Q19" s="12">
        <f>MAX(0,Q16-Q17-Q18)*'Model Inputs'!Q30</f>
        <v/>
      </c>
      <c r="R19" s="12">
        <f>MAX(0,R16-R17-R18)*'Model Inputs'!R30</f>
        <v/>
      </c>
      <c r="S19" s="12">
        <f>MAX(0,S16-S17-S18)*'Model Inputs'!S30</f>
        <v/>
      </c>
      <c r="T19" s="12">
        <f>MAX(0,T16-T17-T18)*'Model Inputs'!T30</f>
        <v/>
      </c>
      <c r="U19" s="12">
        <f>MAX(0,U16-U17-U18)*'Model Inputs'!U30</f>
        <v/>
      </c>
      <c r="V19" s="12">
        <f>MAX(0,V16-V17-V18)*'Model Inputs'!V30</f>
        <v/>
      </c>
      <c r="W19" s="12">
        <f>MAX(0,W16-W17-W18)*'Model Inputs'!W30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Inputs'!C45</f>
        <v/>
      </c>
      <c r="D24" s="12">
        <f>('Model Inputs'!D33/D6)*D8</f>
        <v/>
      </c>
      <c r="E24" s="12">
        <f>('Model Inputs'!E33/E6)*E8</f>
        <v/>
      </c>
      <c r="F24" s="12">
        <f>('Model Inputs'!F33/F6)*F8</f>
        <v/>
      </c>
      <c r="G24" s="12">
        <f>('Model Inputs'!G33/G6)*G8</f>
        <v/>
      </c>
      <c r="H24" s="12">
        <f>('Model Inputs'!H33/H6)*H8</f>
        <v/>
      </c>
      <c r="I24" s="12">
        <f>('Model Inputs'!I33/I6)*I8</f>
        <v/>
      </c>
      <c r="J24" s="12">
        <f>('Model Inputs'!J33/J6)*J8</f>
        <v/>
      </c>
      <c r="K24" s="12">
        <f>('Model Inputs'!K33/K6)*K8</f>
        <v/>
      </c>
      <c r="L24" s="12">
        <f>('Model Inputs'!L33/L6)*L8</f>
        <v/>
      </c>
      <c r="M24" s="12">
        <f>('Model Inputs'!M33/M6)*M8</f>
        <v/>
      </c>
      <c r="N24" s="12">
        <f>('Model Inputs'!N33/N6)*N8</f>
        <v/>
      </c>
      <c r="O24" s="12">
        <f>('Model Inputs'!O33/O6)*O8</f>
        <v/>
      </c>
      <c r="P24" s="12">
        <f>('Model Inputs'!P33/P6)*P8</f>
        <v/>
      </c>
      <c r="Q24" s="12">
        <f>('Model Inputs'!Q33/Q6)*Q8</f>
        <v/>
      </c>
      <c r="R24" s="12">
        <f>('Model Inputs'!R33/R6)*R8</f>
        <v/>
      </c>
      <c r="S24" s="12">
        <f>('Model Inputs'!S33/S6)*S8</f>
        <v/>
      </c>
      <c r="T24" s="12">
        <f>('Model Inputs'!T33/T6)*T8</f>
        <v/>
      </c>
      <c r="U24" s="12">
        <f>('Model Inputs'!U33/U6)*U8</f>
        <v/>
      </c>
      <c r="V24" s="12">
        <f>('Model Inputs'!V33/V6)*V8</f>
        <v/>
      </c>
      <c r="W24" s="12">
        <f>('Model Inputs'!W33/W6)*W8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Inputs'!C46</f>
        <v/>
      </c>
      <c r="D25" s="12">
        <f>('Model Inputs'!D34/D6)*D9</f>
        <v/>
      </c>
      <c r="E25" s="12">
        <f>('Model Inputs'!E34/E6)*E9</f>
        <v/>
      </c>
      <c r="F25" s="12">
        <f>('Model Inputs'!F34/F6)*F9</f>
        <v/>
      </c>
      <c r="G25" s="12">
        <f>('Model Inputs'!G34/G6)*G9</f>
        <v/>
      </c>
      <c r="H25" s="12">
        <f>('Model Inputs'!H34/H6)*H9</f>
        <v/>
      </c>
      <c r="I25" s="12">
        <f>('Model Inputs'!I34/I6)*I9</f>
        <v/>
      </c>
      <c r="J25" s="12">
        <f>('Model Inputs'!J34/J6)*J9</f>
        <v/>
      </c>
      <c r="K25" s="12">
        <f>('Model Inputs'!K34/K6)*K9</f>
        <v/>
      </c>
      <c r="L25" s="12">
        <f>('Model Inputs'!L34/L6)*L9</f>
        <v/>
      </c>
      <c r="M25" s="12">
        <f>('Model Inputs'!M34/M6)*M9</f>
        <v/>
      </c>
      <c r="N25" s="12">
        <f>('Model Inputs'!N34/N6)*N9</f>
        <v/>
      </c>
      <c r="O25" s="12">
        <f>('Model Inputs'!O34/O6)*O9</f>
        <v/>
      </c>
      <c r="P25" s="12">
        <f>('Model Inputs'!P34/P6)*P9</f>
        <v/>
      </c>
      <c r="Q25" s="12">
        <f>('Model Inputs'!Q34/Q6)*Q9</f>
        <v/>
      </c>
      <c r="R25" s="12">
        <f>('Model Inputs'!R34/R6)*R9</f>
        <v/>
      </c>
      <c r="S25" s="12">
        <f>('Model Inputs'!S34/S6)*S9</f>
        <v/>
      </c>
      <c r="T25" s="12">
        <f>('Model Inputs'!T34/T6)*T9</f>
        <v/>
      </c>
      <c r="U25" s="12">
        <f>('Model Inputs'!U34/U6)*U9</f>
        <v/>
      </c>
      <c r="V25" s="12">
        <f>('Model Inputs'!V34/V6)*V9</f>
        <v/>
      </c>
      <c r="W25" s="12">
        <f>('Model Inputs'!W34/W6)*W9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Inputs'!D36</f>
        <v/>
      </c>
      <c r="E26" s="12">
        <f>E8*'Model Inputs'!E36</f>
        <v/>
      </c>
      <c r="F26" s="12">
        <f>F8*'Model Inputs'!F36</f>
        <v/>
      </c>
      <c r="G26" s="12">
        <f>G8*'Model Inputs'!G36</f>
        <v/>
      </c>
      <c r="H26" s="12">
        <f>H8*'Model Inputs'!H36</f>
        <v/>
      </c>
      <c r="I26" s="12">
        <f>I8*'Model Inputs'!I36</f>
        <v/>
      </c>
      <c r="J26" s="12">
        <f>J8*'Model Inputs'!J36</f>
        <v/>
      </c>
      <c r="K26" s="12">
        <f>K8*'Model Inputs'!K36</f>
        <v/>
      </c>
      <c r="L26" s="12">
        <f>L8*'Model Inputs'!L36</f>
        <v/>
      </c>
      <c r="M26" s="12">
        <f>M8*'Model Inputs'!M36</f>
        <v/>
      </c>
      <c r="N26" s="12">
        <f>N8*'Model Inputs'!N36</f>
        <v/>
      </c>
      <c r="O26" s="12">
        <f>O8*'Model Inputs'!O36</f>
        <v/>
      </c>
      <c r="P26" s="12">
        <f>P8*'Model Inputs'!P36</f>
        <v/>
      </c>
      <c r="Q26" s="12">
        <f>Q8*'Model Inputs'!Q36</f>
        <v/>
      </c>
      <c r="R26" s="12">
        <f>R8*'Model Inputs'!R36</f>
        <v/>
      </c>
      <c r="S26" s="12">
        <f>S8*'Model Inputs'!S36</f>
        <v/>
      </c>
      <c r="T26" s="12">
        <f>T8*'Model Inputs'!T36</f>
        <v/>
      </c>
      <c r="U26" s="12">
        <f>U8*'Model Inputs'!U36</f>
        <v/>
      </c>
      <c r="V26" s="12">
        <f>V8*'Model Inputs'!V36</f>
        <v/>
      </c>
      <c r="W26" s="12">
        <f>W8*'Model Inputs'!W36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Inputs'!C61</f>
        <v/>
      </c>
      <c r="D28" s="12">
        <f>'Model Inputs'!D61</f>
        <v/>
      </c>
      <c r="E28" s="12">
        <f>'Model Inputs'!E61</f>
        <v/>
      </c>
      <c r="F28" s="12">
        <f>'Model Inputs'!F61</f>
        <v/>
      </c>
      <c r="G28" s="12">
        <f>'Model Inputs'!G61</f>
        <v/>
      </c>
      <c r="H28" s="12">
        <f>'Model Inputs'!H61</f>
        <v/>
      </c>
      <c r="I28" s="12">
        <f>'Model Inputs'!I61</f>
        <v/>
      </c>
      <c r="J28" s="12">
        <f>'Model Inputs'!J61</f>
        <v/>
      </c>
      <c r="K28" s="12">
        <f>'Model Inputs'!K61</f>
        <v/>
      </c>
      <c r="L28" s="12">
        <f>'Model Inputs'!L61</f>
        <v/>
      </c>
      <c r="M28" s="12">
        <f>'Model Inputs'!M61</f>
        <v/>
      </c>
      <c r="N28" s="12">
        <f>'Model Inputs'!N61</f>
        <v/>
      </c>
      <c r="O28" s="12">
        <f>'Model Inputs'!O61</f>
        <v/>
      </c>
      <c r="P28" s="12">
        <f>'Model Inputs'!P61</f>
        <v/>
      </c>
      <c r="Q28" s="12">
        <f>'Model Inputs'!Q61</f>
        <v/>
      </c>
      <c r="R28" s="12">
        <f>'Model Inputs'!R61</f>
        <v/>
      </c>
      <c r="S28" s="12">
        <f>'Model Inputs'!S61</f>
        <v/>
      </c>
      <c r="T28" s="12">
        <f>'Model Inputs'!T61</f>
        <v/>
      </c>
      <c r="U28" s="12">
        <f>'Model Inputs'!U61</f>
        <v/>
      </c>
      <c r="V28" s="12">
        <f>'Model Inputs'!V61</f>
        <v/>
      </c>
      <c r="W28" s="12">
        <f>'Model Inputs'!W61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Inputs'!C58</f>
        <v/>
      </c>
      <c r="D29" s="12">
        <f>'Model Inputs'!D58</f>
        <v/>
      </c>
      <c r="E29" s="12">
        <f>'Model Inputs'!E58</f>
        <v/>
      </c>
      <c r="F29" s="12">
        <f>'Model Inputs'!F58</f>
        <v/>
      </c>
      <c r="G29" s="12">
        <f>'Model Inputs'!G58</f>
        <v/>
      </c>
      <c r="H29" s="12">
        <f>'Model Inputs'!H58</f>
        <v/>
      </c>
      <c r="I29" s="12">
        <f>'Model Inputs'!I58</f>
        <v/>
      </c>
      <c r="J29" s="12">
        <f>'Model Inputs'!J58</f>
        <v/>
      </c>
      <c r="K29" s="12">
        <f>'Model Inputs'!K58</f>
        <v/>
      </c>
      <c r="L29" s="12">
        <f>'Model Inputs'!L58</f>
        <v/>
      </c>
      <c r="M29" s="12">
        <f>'Model Inputs'!M58</f>
        <v/>
      </c>
      <c r="N29" s="12">
        <f>'Model Inputs'!N58</f>
        <v/>
      </c>
      <c r="O29" s="12">
        <f>'Model Inputs'!O58</f>
        <v/>
      </c>
      <c r="P29" s="12">
        <f>'Model Inputs'!P58</f>
        <v/>
      </c>
      <c r="Q29" s="12">
        <f>'Model Inputs'!Q58</f>
        <v/>
      </c>
      <c r="R29" s="12">
        <f>'Model Inputs'!R58</f>
        <v/>
      </c>
      <c r="S29" s="12">
        <f>'Model Inputs'!S58</f>
        <v/>
      </c>
      <c r="T29" s="12">
        <f>'Model Inputs'!T58</f>
        <v/>
      </c>
      <c r="U29" s="12">
        <f>'Model Inputs'!U58</f>
        <v/>
      </c>
      <c r="V29" s="12">
        <f>'Model Inputs'!V58</f>
        <v/>
      </c>
      <c r="W29" s="12">
        <f>'Model Inputs'!W58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Inputs'!C62</f>
        <v/>
      </c>
      <c r="D30" s="12">
        <f>'Model Inputs'!D62</f>
        <v/>
      </c>
      <c r="E30" s="12">
        <f>'Model Inputs'!E62</f>
        <v/>
      </c>
      <c r="F30" s="12">
        <f>'Model Inputs'!F62</f>
        <v/>
      </c>
      <c r="G30" s="12">
        <f>'Model Inputs'!G62</f>
        <v/>
      </c>
      <c r="H30" s="12">
        <f>'Model Inputs'!H62</f>
        <v/>
      </c>
      <c r="I30" s="12">
        <f>'Model Inputs'!I62</f>
        <v/>
      </c>
      <c r="J30" s="12">
        <f>'Model Inputs'!J62</f>
        <v/>
      </c>
      <c r="K30" s="12">
        <f>'Model Inputs'!K62</f>
        <v/>
      </c>
      <c r="L30" s="12">
        <f>'Model Inputs'!L62</f>
        <v/>
      </c>
      <c r="M30" s="12">
        <f>'Model Inputs'!M62</f>
        <v/>
      </c>
      <c r="N30" s="12">
        <f>'Model Inputs'!N62</f>
        <v/>
      </c>
      <c r="O30" s="12">
        <f>'Model Inputs'!O62</f>
        <v/>
      </c>
      <c r="P30" s="12">
        <f>'Model Inputs'!P62</f>
        <v/>
      </c>
      <c r="Q30" s="12">
        <f>'Model Inputs'!Q62</f>
        <v/>
      </c>
      <c r="R30" s="12">
        <f>'Model Inputs'!R62</f>
        <v/>
      </c>
      <c r="S30" s="12">
        <f>'Model Inputs'!S62</f>
        <v/>
      </c>
      <c r="T30" s="12">
        <f>'Model Inputs'!T62</f>
        <v/>
      </c>
      <c r="U30" s="12">
        <f>'Model Inputs'!U62</f>
        <v/>
      </c>
      <c r="V30" s="12">
        <f>'Model Inputs'!V62</f>
        <v/>
      </c>
      <c r="W30" s="12">
        <f>'Model Inputs'!W62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Inputs'!C47</f>
        <v/>
      </c>
      <c r="D32" s="12">
        <f>('Model Inputs'!D35/D6)*SUM(D11:D15)</f>
        <v/>
      </c>
      <c r="E32" s="12">
        <f>('Model Inputs'!E35/E6)*SUM(E11:E15)</f>
        <v/>
      </c>
      <c r="F32" s="12">
        <f>('Model Inputs'!F35/F6)*SUM(F11:F15)</f>
        <v/>
      </c>
      <c r="G32" s="12">
        <f>('Model Inputs'!G35/G6)*SUM(G11:G15)</f>
        <v/>
      </c>
      <c r="H32" s="12">
        <f>('Model Inputs'!H35/H6)*SUM(H11:H15)</f>
        <v/>
      </c>
      <c r="I32" s="12">
        <f>('Model Inputs'!I35/I6)*SUM(I11:I15)</f>
        <v/>
      </c>
      <c r="J32" s="12">
        <f>('Model Inputs'!J35/J6)*SUM(J11:J15)</f>
        <v/>
      </c>
      <c r="K32" s="12">
        <f>('Model Inputs'!K35/K6)*SUM(K11:K15)</f>
        <v/>
      </c>
      <c r="L32" s="12">
        <f>('Model Inputs'!L35/L6)*SUM(L11:L15)</f>
        <v/>
      </c>
      <c r="M32" s="12">
        <f>('Model Inputs'!M35/M6)*SUM(M11:M15)</f>
        <v/>
      </c>
      <c r="N32" s="12">
        <f>('Model Inputs'!N35/N6)*SUM(N11:N15)</f>
        <v/>
      </c>
      <c r="O32" s="12">
        <f>('Model Inputs'!O35/O6)*SUM(O11:O15)</f>
        <v/>
      </c>
      <c r="P32" s="12">
        <f>('Model Inputs'!P35/P6)*SUM(P11:P15)</f>
        <v/>
      </c>
      <c r="Q32" s="12">
        <f>('Model Inputs'!Q35/Q6)*SUM(Q11:Q15)</f>
        <v/>
      </c>
      <c r="R32" s="12">
        <f>('Model Inputs'!R35/R6)*SUM(R11:R15)</f>
        <v/>
      </c>
      <c r="S32" s="12">
        <f>('Model Inputs'!S35/S6)*SUM(S11:S15)</f>
        <v/>
      </c>
      <c r="T32" s="12">
        <f>('Model Inputs'!T35/T6)*SUM(T11:T15)</f>
        <v/>
      </c>
      <c r="U32" s="12">
        <f>('Model Inputs'!U35/U6)*SUM(U11:U15)</f>
        <v/>
      </c>
      <c r="V32" s="12">
        <f>('Model Inputs'!V35/V6)*SUM(V11:V15)</f>
        <v/>
      </c>
      <c r="W32" s="12">
        <f>('Model Inputs'!W35/W6)*SUM(W11:W15)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Inputs'!C48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Inputs'!D37*D8</f>
        <v/>
      </c>
      <c r="E34" s="12">
        <f>'Model Inputs'!E37*E8</f>
        <v/>
      </c>
      <c r="F34" s="12">
        <f>'Model Inputs'!F37*F8</f>
        <v/>
      </c>
      <c r="G34" s="12">
        <f>'Model Inputs'!G37*G8</f>
        <v/>
      </c>
      <c r="H34" s="12">
        <f>'Model Inputs'!H37*H8</f>
        <v/>
      </c>
      <c r="I34" s="12">
        <f>'Model Inputs'!I37*I8</f>
        <v/>
      </c>
      <c r="J34" s="12">
        <f>'Model Inputs'!J37*J8</f>
        <v/>
      </c>
      <c r="K34" s="12">
        <f>'Model Inputs'!K37*K8</f>
        <v/>
      </c>
      <c r="L34" s="12">
        <f>'Model Inputs'!L37*L8</f>
        <v/>
      </c>
      <c r="M34" s="12">
        <f>'Model Inputs'!M37*M8</f>
        <v/>
      </c>
      <c r="N34" s="12">
        <f>'Model Inputs'!N37*N8</f>
        <v/>
      </c>
      <c r="O34" s="12">
        <f>'Model Inputs'!O37*O8</f>
        <v/>
      </c>
      <c r="P34" s="12">
        <f>'Model Inputs'!P37*P8</f>
        <v/>
      </c>
      <c r="Q34" s="12">
        <f>'Model Inputs'!Q37*Q8</f>
        <v/>
      </c>
      <c r="R34" s="12">
        <f>'Model Inputs'!R37*R8</f>
        <v/>
      </c>
      <c r="S34" s="12">
        <f>'Model Inputs'!S37*S8</f>
        <v/>
      </c>
      <c r="T34" s="12">
        <f>'Model Inputs'!T37*T8</f>
        <v/>
      </c>
      <c r="U34" s="12">
        <f>'Model Inputs'!U37*U8</f>
        <v/>
      </c>
      <c r="V34" s="12">
        <f>'Model Inputs'!V37*V8</f>
        <v/>
      </c>
      <c r="W34" s="12">
        <f>'Model Inputs'!W37*W8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Inputs'!C49-C33)</f>
        <v/>
      </c>
      <c r="D36" s="12">
        <f>MAX(0,'Model Inputs'!D52-D33)</f>
        <v/>
      </c>
      <c r="E36" s="12">
        <f>MAX(0,'Model Inputs'!E52-E33)</f>
        <v/>
      </c>
      <c r="F36" s="12">
        <f>MAX(0,'Model Inputs'!F52-F33)</f>
        <v/>
      </c>
      <c r="G36" s="12">
        <f>MAX(0,'Model Inputs'!G52-G33)</f>
        <v/>
      </c>
      <c r="H36" s="12">
        <f>MAX(0,'Model Inputs'!H52-H33)</f>
        <v/>
      </c>
      <c r="I36" s="12">
        <f>MAX(0,'Model Inputs'!I52-I33)</f>
        <v/>
      </c>
      <c r="J36" s="12">
        <f>MAX(0,'Model Inputs'!J52-J33)</f>
        <v/>
      </c>
      <c r="K36" s="12">
        <f>MAX(0,'Model Inputs'!K52-K33)</f>
        <v/>
      </c>
      <c r="L36" s="12">
        <f>MAX(0,'Model Inputs'!L52-L33)</f>
        <v/>
      </c>
      <c r="M36" s="12">
        <f>MAX(0,'Model Inputs'!M52-M33)</f>
        <v/>
      </c>
      <c r="N36" s="12">
        <f>MAX(0,'Model Inputs'!N52-N33)</f>
        <v/>
      </c>
      <c r="O36" s="12">
        <f>MAX(0,'Model Inputs'!O52-O33)</f>
        <v/>
      </c>
      <c r="P36" s="12">
        <f>MAX(0,'Model Inputs'!P52-P33)</f>
        <v/>
      </c>
      <c r="Q36" s="12">
        <f>MAX(0,'Model Inputs'!Q52-Q33)</f>
        <v/>
      </c>
      <c r="R36" s="12">
        <f>MAX(0,'Model Inputs'!R52-R33)</f>
        <v/>
      </c>
      <c r="S36" s="12">
        <f>MAX(0,'Model Inputs'!S52-S33)</f>
        <v/>
      </c>
      <c r="T36" s="12">
        <f>MAX(0,'Model Inputs'!T52-T33)</f>
        <v/>
      </c>
      <c r="U36" s="12">
        <f>MAX(0,'Model Inputs'!U52-U33)</f>
        <v/>
      </c>
      <c r="V36" s="12">
        <f>MAX(0,'Model Inputs'!V52-V33)</f>
        <v/>
      </c>
      <c r="W36" s="12">
        <f>MAX(0,'Model Inputs'!W52-W33)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Inputs'!C57</f>
        <v/>
      </c>
      <c r="D37" s="12">
        <f>'Model Inputs'!D57</f>
        <v/>
      </c>
      <c r="E37" s="12">
        <f>'Model Inputs'!E57</f>
        <v/>
      </c>
      <c r="F37" s="12">
        <f>'Model Inputs'!F57</f>
        <v/>
      </c>
      <c r="G37" s="12">
        <f>'Model Inputs'!G57</f>
        <v/>
      </c>
      <c r="H37" s="12">
        <f>'Model Inputs'!H57</f>
        <v/>
      </c>
      <c r="I37" s="12">
        <f>'Model Inputs'!I57</f>
        <v/>
      </c>
      <c r="J37" s="12">
        <f>'Model Inputs'!J57</f>
        <v/>
      </c>
      <c r="K37" s="12">
        <f>'Model Inputs'!K57</f>
        <v/>
      </c>
      <c r="L37" s="12">
        <f>'Model Inputs'!L57</f>
        <v/>
      </c>
      <c r="M37" s="12">
        <f>'Model Inputs'!M57</f>
        <v/>
      </c>
      <c r="N37" s="12">
        <f>'Model Inputs'!N57</f>
        <v/>
      </c>
      <c r="O37" s="12">
        <f>'Model Inputs'!O57</f>
        <v/>
      </c>
      <c r="P37" s="12">
        <f>'Model Inputs'!P57</f>
        <v/>
      </c>
      <c r="Q37" s="12">
        <f>'Model Inputs'!Q57</f>
        <v/>
      </c>
      <c r="R37" s="12">
        <f>'Model Inputs'!R57</f>
        <v/>
      </c>
      <c r="S37" s="12">
        <f>'Model Inputs'!S57</f>
        <v/>
      </c>
      <c r="T37" s="12">
        <f>'Model Inputs'!T57</f>
        <v/>
      </c>
      <c r="U37" s="12">
        <f>'Model Inputs'!U57</f>
        <v/>
      </c>
      <c r="V37" s="12">
        <f>'Model Inputs'!V57</f>
        <v/>
      </c>
      <c r="W37" s="12">
        <f>'Model Inputs'!W57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Inputs'!C39</f>
        <v/>
      </c>
      <c r="D39" s="12">
        <f>'Model Inputs'!D39</f>
        <v/>
      </c>
      <c r="E39" s="12">
        <f>'Model Inputs'!E39</f>
        <v/>
      </c>
      <c r="F39" s="12">
        <f>'Model Inputs'!F39</f>
        <v/>
      </c>
      <c r="G39" s="12">
        <f>'Model Inputs'!G39</f>
        <v/>
      </c>
      <c r="H39" s="12">
        <f>'Model Inputs'!H39</f>
        <v/>
      </c>
      <c r="I39" s="12">
        <f>'Model Inputs'!I39</f>
        <v/>
      </c>
      <c r="J39" s="12">
        <f>'Model Inputs'!J39</f>
        <v/>
      </c>
      <c r="K39" s="12">
        <f>'Model Inputs'!K39</f>
        <v/>
      </c>
      <c r="L39" s="12">
        <f>'Model Inputs'!L39</f>
        <v/>
      </c>
      <c r="M39" s="12">
        <f>'Model Inputs'!M39</f>
        <v/>
      </c>
      <c r="N39" s="12">
        <f>'Model Inputs'!N39</f>
        <v/>
      </c>
      <c r="O39" s="12">
        <f>'Model Inputs'!O39</f>
        <v/>
      </c>
      <c r="P39" s="12">
        <f>'Model Inputs'!P39</f>
        <v/>
      </c>
      <c r="Q39" s="12">
        <f>'Model Inputs'!Q39</f>
        <v/>
      </c>
      <c r="R39" s="12">
        <f>'Model Inputs'!R39</f>
        <v/>
      </c>
      <c r="S39" s="12">
        <f>'Model Inputs'!S39</f>
        <v/>
      </c>
      <c r="T39" s="12">
        <f>'Model Inputs'!T39</f>
        <v/>
      </c>
      <c r="U39" s="12">
        <f>'Model Inputs'!U39</f>
        <v/>
      </c>
      <c r="V39" s="12">
        <f>'Model Inputs'!V39</f>
        <v/>
      </c>
      <c r="W39" s="12">
        <f>'Model Inputs'!W39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Inputs'!D41</f>
        <v/>
      </c>
      <c r="E40" s="12">
        <f>D40+E20-'Model Inputs'!E41</f>
        <v/>
      </c>
      <c r="F40" s="12">
        <f>E40+F20-'Model Inputs'!F41</f>
        <v/>
      </c>
      <c r="G40" s="12">
        <f>F40+G20-'Model Inputs'!G41</f>
        <v/>
      </c>
      <c r="H40" s="12">
        <f>G40+H20-'Model Inputs'!H41</f>
        <v/>
      </c>
      <c r="I40" s="12">
        <f>H40+I20-'Model Inputs'!I41</f>
        <v/>
      </c>
      <c r="J40" s="12">
        <f>I40+J20-'Model Inputs'!J41</f>
        <v/>
      </c>
      <c r="K40" s="12">
        <f>J40+K20-'Model Inputs'!K41</f>
        <v/>
      </c>
      <c r="L40" s="12">
        <f>K40+L20-'Model Inputs'!L41</f>
        <v/>
      </c>
      <c r="M40" s="12">
        <f>L40+M20-'Model Inputs'!M41</f>
        <v/>
      </c>
      <c r="N40" s="12">
        <f>M40+N20-'Model Inputs'!N41</f>
        <v/>
      </c>
      <c r="O40" s="12">
        <f>N40+O20-'Model Inputs'!O41</f>
        <v/>
      </c>
      <c r="P40" s="12">
        <f>O40+P20-'Model Inputs'!P41</f>
        <v/>
      </c>
      <c r="Q40" s="12">
        <f>P40+Q20-'Model Inputs'!Q41</f>
        <v/>
      </c>
      <c r="R40" s="12">
        <f>Q40+R20-'Model Inputs'!R41</f>
        <v/>
      </c>
      <c r="S40" s="12">
        <f>R40+S20-'Model Inputs'!S41</f>
        <v/>
      </c>
      <c r="T40" s="12">
        <f>S40+T20-'Model Inputs'!T41</f>
        <v/>
      </c>
      <c r="U40" s="12">
        <f>T40+U20-'Model Inputs'!U41</f>
        <v/>
      </c>
      <c r="V40" s="12">
        <f>U40+V20-'Model Inputs'!V41</f>
        <v/>
      </c>
      <c r="W40" s="12">
        <f>V40+W20-'Model Inputs'!W41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Inputs'!C40</f>
        <v/>
      </c>
      <c r="D41" s="12">
        <f>'Model Inputs'!D40</f>
        <v/>
      </c>
      <c r="E41" s="12">
        <f>'Model Inputs'!E40</f>
        <v/>
      </c>
      <c r="F41" s="12">
        <f>'Model Inputs'!F40</f>
        <v/>
      </c>
      <c r="G41" s="12">
        <f>'Model Inputs'!G40</f>
        <v/>
      </c>
      <c r="H41" s="12">
        <f>'Model Inputs'!H40</f>
        <v/>
      </c>
      <c r="I41" s="12">
        <f>'Model Inputs'!I40</f>
        <v/>
      </c>
      <c r="J41" s="12">
        <f>'Model Inputs'!J40</f>
        <v/>
      </c>
      <c r="K41" s="12">
        <f>'Model Inputs'!K40</f>
        <v/>
      </c>
      <c r="L41" s="12">
        <f>'Model Inputs'!L40</f>
        <v/>
      </c>
      <c r="M41" s="12">
        <f>'Model Inputs'!M40</f>
        <v/>
      </c>
      <c r="N41" s="12">
        <f>'Model Inputs'!N40</f>
        <v/>
      </c>
      <c r="O41" s="12">
        <f>'Model Inputs'!O40</f>
        <v/>
      </c>
      <c r="P41" s="12">
        <f>'Model Inputs'!P40</f>
        <v/>
      </c>
      <c r="Q41" s="12">
        <f>'Model Inputs'!Q40</f>
        <v/>
      </c>
      <c r="R41" s="12">
        <f>'Model Inputs'!R40</f>
        <v/>
      </c>
      <c r="S41" s="12">
        <f>'Model Inputs'!S40</f>
        <v/>
      </c>
      <c r="T41" s="12">
        <f>'Model Inputs'!T40</f>
        <v/>
      </c>
      <c r="U41" s="12">
        <f>'Model Inputs'!U40</f>
        <v/>
      </c>
      <c r="V41" s="12">
        <f>'Model Inputs'!V40</f>
        <v/>
      </c>
      <c r="W41" s="12">
        <f>'Model Inputs'!W40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Inputs'!C44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Inputs'!C60</f>
        <v/>
      </c>
      <c r="D52" s="12">
        <f>'Model Inputs'!D60</f>
        <v/>
      </c>
      <c r="E52" s="12">
        <f>'Model Inputs'!E60</f>
        <v/>
      </c>
      <c r="F52" s="12">
        <f>'Model Inputs'!F60</f>
        <v/>
      </c>
      <c r="G52" s="12">
        <f>'Model Inputs'!G60</f>
        <v/>
      </c>
      <c r="H52" s="12">
        <f>'Model Inputs'!H60</f>
        <v/>
      </c>
      <c r="I52" s="12">
        <f>'Model Inputs'!I60</f>
        <v/>
      </c>
      <c r="J52" s="12">
        <f>'Model Inputs'!J60</f>
        <v/>
      </c>
      <c r="K52" s="12">
        <f>'Model Inputs'!K60</f>
        <v/>
      </c>
      <c r="L52" s="12">
        <f>'Model Inputs'!L60</f>
        <v/>
      </c>
      <c r="M52" s="12">
        <f>'Model Inputs'!M60</f>
        <v/>
      </c>
      <c r="N52" s="12">
        <f>'Model Inputs'!N60</f>
        <v/>
      </c>
      <c r="O52" s="12">
        <f>'Model Inputs'!O60</f>
        <v/>
      </c>
      <c r="P52" s="12">
        <f>'Model Inputs'!P60</f>
        <v/>
      </c>
      <c r="Q52" s="12">
        <f>'Model Inputs'!Q60</f>
        <v/>
      </c>
      <c r="R52" s="12">
        <f>'Model Inputs'!R60</f>
        <v/>
      </c>
      <c r="S52" s="12">
        <f>'Model Inputs'!S60</f>
        <v/>
      </c>
      <c r="T52" s="12">
        <f>'Model Inputs'!T60</f>
        <v/>
      </c>
      <c r="U52" s="12">
        <f>'Model Inputs'!U60</f>
        <v/>
      </c>
      <c r="V52" s="12">
        <f>'Model Inputs'!V60</f>
        <v/>
      </c>
      <c r="W52" s="12">
        <f>'Model Inputs'!W60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Inputs'!C50</f>
        <v/>
      </c>
      <c r="D54" s="12">
        <f>'Model Inputs'!D50</f>
        <v/>
      </c>
      <c r="E54" s="12">
        <f>'Model Inputs'!E50</f>
        <v/>
      </c>
      <c r="F54" s="12">
        <f>'Model Inputs'!F50</f>
        <v/>
      </c>
      <c r="G54" s="12">
        <f>'Model Inputs'!G50</f>
        <v/>
      </c>
      <c r="H54" s="12">
        <f>'Model Inputs'!H50</f>
        <v/>
      </c>
      <c r="I54" s="12">
        <f>'Model Inputs'!I50</f>
        <v/>
      </c>
      <c r="J54" s="12">
        <f>'Model Inputs'!J50</f>
        <v/>
      </c>
      <c r="K54" s="12">
        <f>'Model Inputs'!K50</f>
        <v/>
      </c>
      <c r="L54" s="12">
        <f>'Model Inputs'!L50</f>
        <v/>
      </c>
      <c r="M54" s="12">
        <f>'Model Inputs'!M50</f>
        <v/>
      </c>
      <c r="N54" s="12">
        <f>'Model Inputs'!N50</f>
        <v/>
      </c>
      <c r="O54" s="12">
        <f>'Model Inputs'!O50</f>
        <v/>
      </c>
      <c r="P54" s="12">
        <f>'Model Inputs'!P50</f>
        <v/>
      </c>
      <c r="Q54" s="12">
        <f>'Model Inputs'!Q50</f>
        <v/>
      </c>
      <c r="R54" s="12">
        <f>'Model Inputs'!R50</f>
        <v/>
      </c>
      <c r="S54" s="12">
        <f>'Model Inputs'!S50</f>
        <v/>
      </c>
      <c r="T54" s="12">
        <f>'Model Inputs'!T50</f>
        <v/>
      </c>
      <c r="U54" s="12">
        <f>'Model Inputs'!U50</f>
        <v/>
      </c>
      <c r="V54" s="12">
        <f>'Model Inputs'!V50</f>
        <v/>
      </c>
      <c r="W54" s="12">
        <f>'Model Inputs'!W50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Inputs'!C51</f>
        <v/>
      </c>
      <c r="D55" s="12">
        <f>'Model Inputs'!D51</f>
        <v/>
      </c>
      <c r="E55" s="12">
        <f>'Model Inputs'!E51</f>
        <v/>
      </c>
      <c r="F55" s="12">
        <f>'Model Inputs'!F51</f>
        <v/>
      </c>
      <c r="G55" s="12">
        <f>'Model Inputs'!G51</f>
        <v/>
      </c>
      <c r="H55" s="12">
        <f>'Model Inputs'!H51</f>
        <v/>
      </c>
      <c r="I55" s="12">
        <f>'Model Inputs'!I51</f>
        <v/>
      </c>
      <c r="J55" s="12">
        <f>'Model Inputs'!J51</f>
        <v/>
      </c>
      <c r="K55" s="12">
        <f>'Model Inputs'!K51</f>
        <v/>
      </c>
      <c r="L55" s="12">
        <f>'Model Inputs'!L51</f>
        <v/>
      </c>
      <c r="M55" s="12">
        <f>'Model Inputs'!M51</f>
        <v/>
      </c>
      <c r="N55" s="12">
        <f>'Model Inputs'!N51</f>
        <v/>
      </c>
      <c r="O55" s="12">
        <f>'Model Inputs'!O51</f>
        <v/>
      </c>
      <c r="P55" s="12">
        <f>'Model Inputs'!P51</f>
        <v/>
      </c>
      <c r="Q55" s="12">
        <f>'Model Inputs'!Q51</f>
        <v/>
      </c>
      <c r="R55" s="12">
        <f>'Model Inputs'!R51</f>
        <v/>
      </c>
      <c r="S55" s="12">
        <f>'Model Inputs'!S51</f>
        <v/>
      </c>
      <c r="T55" s="12">
        <f>'Model Inputs'!T51</f>
        <v/>
      </c>
      <c r="U55" s="12">
        <f>'Model Inputs'!U51</f>
        <v/>
      </c>
      <c r="V55" s="12">
        <f>'Model Inputs'!V51</f>
        <v/>
      </c>
      <c r="W55" s="12">
        <f>'Model Inputs'!W51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Inputs'!C41</f>
        <v/>
      </c>
      <c r="D57" s="12">
        <f>'Model Inputs'!D41</f>
        <v/>
      </c>
      <c r="E57" s="12">
        <f>'Model Inputs'!E41</f>
        <v/>
      </c>
      <c r="F57" s="12">
        <f>'Model Inputs'!F41</f>
        <v/>
      </c>
      <c r="G57" s="12">
        <f>'Model Inputs'!G41</f>
        <v/>
      </c>
      <c r="H57" s="12">
        <f>'Model Inputs'!H41</f>
        <v/>
      </c>
      <c r="I57" s="12">
        <f>'Model Inputs'!I41</f>
        <v/>
      </c>
      <c r="J57" s="12">
        <f>'Model Inputs'!J41</f>
        <v/>
      </c>
      <c r="K57" s="12">
        <f>'Model Inputs'!K41</f>
        <v/>
      </c>
      <c r="L57" s="12">
        <f>'Model Inputs'!L41</f>
        <v/>
      </c>
      <c r="M57" s="12">
        <f>'Model Inputs'!M41</f>
        <v/>
      </c>
      <c r="N57" s="12">
        <f>'Model Inputs'!N41</f>
        <v/>
      </c>
      <c r="O57" s="12">
        <f>'Model Inputs'!O41</f>
        <v/>
      </c>
      <c r="P57" s="12">
        <f>'Model Inputs'!P41</f>
        <v/>
      </c>
      <c r="Q57" s="12">
        <f>'Model Inputs'!Q41</f>
        <v/>
      </c>
      <c r="R57" s="12">
        <f>'Model Inputs'!R41</f>
        <v/>
      </c>
      <c r="S57" s="12">
        <f>'Model Inputs'!S41</f>
        <v/>
      </c>
      <c r="T57" s="12">
        <f>'Model Inputs'!T41</f>
        <v/>
      </c>
      <c r="U57" s="12">
        <f>'Model Inputs'!U41</f>
        <v/>
      </c>
      <c r="V57" s="12">
        <f>'Model Inputs'!V41</f>
        <v/>
      </c>
      <c r="W57" s="12">
        <f>'Model Inputs'!W41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Inputs'!C54</f>
        <v/>
      </c>
      <c r="D58" s="12">
        <f>'Model Inputs'!D54</f>
        <v/>
      </c>
      <c r="E58" s="12">
        <f>'Model Inputs'!E54</f>
        <v/>
      </c>
      <c r="F58" s="12">
        <f>'Model Inputs'!F54</f>
        <v/>
      </c>
      <c r="G58" s="12">
        <f>'Model Inputs'!G54</f>
        <v/>
      </c>
      <c r="H58" s="12">
        <f>'Model Inputs'!H54</f>
        <v/>
      </c>
      <c r="I58" s="12">
        <f>'Model Inputs'!I54</f>
        <v/>
      </c>
      <c r="J58" s="12">
        <f>'Model Inputs'!J54</f>
        <v/>
      </c>
      <c r="K58" s="12">
        <f>'Model Inputs'!K54</f>
        <v/>
      </c>
      <c r="L58" s="12">
        <f>'Model Inputs'!L54</f>
        <v/>
      </c>
      <c r="M58" s="12">
        <f>'Model Inputs'!M54</f>
        <v/>
      </c>
      <c r="N58" s="12">
        <f>'Model Inputs'!N54</f>
        <v/>
      </c>
      <c r="O58" s="12">
        <f>'Model Inputs'!O54</f>
        <v/>
      </c>
      <c r="P58" s="12">
        <f>'Model Inputs'!P54</f>
        <v/>
      </c>
      <c r="Q58" s="12">
        <f>'Model Inputs'!Q54</f>
        <v/>
      </c>
      <c r="R58" s="12">
        <f>'Model Inputs'!R54</f>
        <v/>
      </c>
      <c r="S58" s="12">
        <f>'Model Inputs'!S54</f>
        <v/>
      </c>
      <c r="T58" s="12">
        <f>'Model Inputs'!T54</f>
        <v/>
      </c>
      <c r="U58" s="12">
        <f>'Model Inputs'!U54</f>
        <v/>
      </c>
      <c r="V58" s="12">
        <f>'Model Inputs'!V54</f>
        <v/>
      </c>
      <c r="W58" s="12">
        <f>'Model Inputs'!W54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39300</v>
      </c>
      <c r="D7" s="31" t="n">
        <v>68744.550105</v>
      </c>
      <c r="E7" s="31" t="n">
        <v>71989.29287</v>
      </c>
      <c r="F7" s="31" t="n">
        <v>75307.363155</v>
      </c>
      <c r="G7" s="31" t="n">
        <v>78698.76096</v>
      </c>
      <c r="H7" s="31" t="n">
        <v>82163.48628500001</v>
      </c>
      <c r="I7" s="31" t="n">
        <v>85701.539131</v>
      </c>
      <c r="J7" s="31" t="n">
        <v>89312.919496</v>
      </c>
      <c r="K7" s="31" t="n">
        <v>92997.62738200001</v>
      </c>
      <c r="L7" s="31" t="n">
        <v>96755.662788</v>
      </c>
      <c r="M7" s="31" t="n">
        <v>100587.025714</v>
      </c>
      <c r="N7" s="31" t="n">
        <v>104491.71616</v>
      </c>
      <c r="O7" s="31" t="n">
        <v>105713.841373</v>
      </c>
      <c r="P7" s="31" t="n">
        <v>106935.966586</v>
      </c>
      <c r="Q7" s="31" t="n">
        <v>108158.092349</v>
      </c>
      <c r="R7" s="31" t="n">
        <v>109380.217562</v>
      </c>
      <c r="S7" s="31" t="n">
        <v>110602.342774</v>
      </c>
      <c r="T7" s="31" t="n">
        <v>111824.467987</v>
      </c>
      <c r="U7" s="31" t="n">
        <v>113046.59375</v>
      </c>
      <c r="V7" s="31" t="n">
        <v>114268.718963</v>
      </c>
      <c r="W7" s="31" t="n">
        <v>121265.3862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12576</v>
      </c>
      <c r="D8" s="31" t="n">
        <v>32997.38405</v>
      </c>
      <c r="E8" s="31" t="n">
        <v>34122.92482</v>
      </c>
      <c r="F8" s="31" t="n">
        <v>35243.845957</v>
      </c>
      <c r="G8" s="31" t="n">
        <v>36358.827564</v>
      </c>
      <c r="H8" s="31" t="n">
        <v>37466.549746</v>
      </c>
      <c r="I8" s="31" t="n">
        <v>38565.692609</v>
      </c>
      <c r="J8" s="31" t="n">
        <v>39654.936256</v>
      </c>
      <c r="K8" s="31" t="n">
        <v>40732.960793</v>
      </c>
      <c r="L8" s="31" t="n">
        <v>41798.446324</v>
      </c>
      <c r="M8" s="31" t="n">
        <v>42850.072954</v>
      </c>
      <c r="N8" s="31" t="n">
        <v>43886.520787</v>
      </c>
      <c r="O8" s="31" t="n">
        <v>44164.893729</v>
      </c>
      <c r="P8" s="31" t="n">
        <v>44437.835003</v>
      </c>
      <c r="Q8" s="31" t="n">
        <v>44705.344837</v>
      </c>
      <c r="R8" s="31" t="n">
        <v>44967.422775</v>
      </c>
      <c r="S8" s="31" t="n">
        <v>45224.069046</v>
      </c>
      <c r="T8" s="31" t="n">
        <v>45475.283648</v>
      </c>
      <c r="U8" s="31" t="n">
        <v>45721.066806</v>
      </c>
      <c r="V8" s="31" t="n">
        <v>45961.418072</v>
      </c>
      <c r="W8" s="31" t="n">
        <v>48506.15448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26724</v>
      </c>
      <c r="D9" s="31" t="n">
        <v>35747.166055</v>
      </c>
      <c r="E9" s="31" t="n">
        <v>37866.36805</v>
      </c>
      <c r="F9" s="31" t="n">
        <v>40063.517198</v>
      </c>
      <c r="G9" s="31" t="n">
        <v>42339.933397</v>
      </c>
      <c r="H9" s="31" t="n">
        <v>44696.936539</v>
      </c>
      <c r="I9" s="31" t="n">
        <v>47135.846522</v>
      </c>
      <c r="J9" s="31" t="n">
        <v>49657.98324</v>
      </c>
      <c r="K9" s="31" t="n">
        <v>52264.666589</v>
      </c>
      <c r="L9" s="31" t="n">
        <v>54957.216463</v>
      </c>
      <c r="M9" s="31" t="n">
        <v>57736.95276</v>
      </c>
      <c r="N9" s="31" t="n">
        <v>60605.195373</v>
      </c>
      <c r="O9" s="31" t="n">
        <v>61548.947644</v>
      </c>
      <c r="P9" s="31" t="n">
        <v>62498.131582</v>
      </c>
      <c r="Q9" s="31" t="n">
        <v>63452.747511</v>
      </c>
      <c r="R9" s="31" t="n">
        <v>64412.794786</v>
      </c>
      <c r="S9" s="31" t="n">
        <v>65378.273729</v>
      </c>
      <c r="T9" s="31" t="n">
        <v>66349.184339</v>
      </c>
      <c r="U9" s="31" t="n">
        <v>67325.52694500001</v>
      </c>
      <c r="V9" s="31" t="n">
        <v>68307.30089100001</v>
      </c>
      <c r="W9" s="31" t="n">
        <v>72759.23172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8646</v>
      </c>
      <c r="D10" s="31" t="n">
        <v>16498.692025</v>
      </c>
      <c r="E10" s="31" t="n">
        <v>16413.558774</v>
      </c>
      <c r="F10" s="31" t="n">
        <v>16266.390441</v>
      </c>
      <c r="G10" s="31" t="n">
        <v>16054.547236</v>
      </c>
      <c r="H10" s="31" t="n">
        <v>15775.389367</v>
      </c>
      <c r="I10" s="31" t="n">
        <v>15426.277044</v>
      </c>
      <c r="J10" s="31" t="n">
        <v>15004.570475</v>
      </c>
      <c r="K10" s="31" t="n">
        <v>14507.629872</v>
      </c>
      <c r="L10" s="31" t="n">
        <v>13932.815441</v>
      </c>
      <c r="M10" s="31" t="n">
        <v>13277.487394</v>
      </c>
      <c r="N10" s="31" t="n">
        <v>12539.005939</v>
      </c>
      <c r="O10" s="31" t="n">
        <v>12215.82167</v>
      </c>
      <c r="P10" s="31" t="n">
        <v>11881.774065</v>
      </c>
      <c r="Q10" s="31" t="n">
        <v>11536.863184</v>
      </c>
      <c r="R10" s="31" t="n">
        <v>11181.088906</v>
      </c>
      <c r="S10" s="31" t="n">
        <v>10814.451294</v>
      </c>
      <c r="T10" s="31" t="n">
        <v>10436.950345</v>
      </c>
      <c r="U10" s="31" t="n">
        <v>10048.586111</v>
      </c>
      <c r="V10" s="31" t="n">
        <v>9649.358490000001</v>
      </c>
      <c r="W10" s="31" t="n">
        <v>9701.230895999999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3600</v>
      </c>
      <c r="D12" s="31" t="n">
        <v>3600</v>
      </c>
      <c r="E12" s="31" t="n">
        <v>3600</v>
      </c>
      <c r="F12" s="31" t="n">
        <v>3600</v>
      </c>
      <c r="G12" s="31" t="n">
        <v>3600</v>
      </c>
      <c r="H12" s="31" t="n">
        <v>3600</v>
      </c>
      <c r="I12" s="31" t="n">
        <v>3600</v>
      </c>
      <c r="J12" s="31" t="n">
        <v>3600</v>
      </c>
      <c r="K12" s="31" t="n">
        <v>3600</v>
      </c>
      <c r="L12" s="31" t="n">
        <v>3600</v>
      </c>
      <c r="M12" s="31" t="n">
        <v>3600</v>
      </c>
      <c r="N12" s="31" t="n">
        <v>3600</v>
      </c>
      <c r="O12" s="31" t="n">
        <v>3600</v>
      </c>
      <c r="P12" s="31" t="n">
        <v>3600</v>
      </c>
      <c r="Q12" s="31" t="n">
        <v>3600</v>
      </c>
      <c r="R12" s="31" t="n">
        <v>3600</v>
      </c>
      <c r="S12" s="31" t="n">
        <v>3600</v>
      </c>
      <c r="T12" s="31" t="n">
        <v>3600</v>
      </c>
      <c r="U12" s="31" t="n">
        <v>3600</v>
      </c>
      <c r="V12" s="31" t="n">
        <v>3600</v>
      </c>
      <c r="W12" s="31" t="n">
        <v>3600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27200</v>
      </c>
      <c r="D13" s="31" t="n">
        <v>29509</v>
      </c>
      <c r="E13" s="31" t="n">
        <v>29509</v>
      </c>
      <c r="F13" s="31" t="n">
        <v>29509</v>
      </c>
      <c r="G13" s="31" t="n">
        <v>29509</v>
      </c>
      <c r="H13" s="31" t="n">
        <v>30394</v>
      </c>
      <c r="I13" s="31" t="n">
        <v>30394</v>
      </c>
      <c r="J13" s="31" t="n">
        <v>30394</v>
      </c>
      <c r="K13" s="31" t="n">
        <v>30394</v>
      </c>
      <c r="L13" s="31" t="n">
        <v>31305</v>
      </c>
      <c r="M13" s="31" t="n">
        <v>31305</v>
      </c>
      <c r="N13" s="31" t="n">
        <v>31305</v>
      </c>
      <c r="O13" s="31" t="n">
        <v>31305</v>
      </c>
      <c r="P13" s="31" t="n">
        <v>32245</v>
      </c>
      <c r="Q13" s="31" t="n">
        <v>32245</v>
      </c>
      <c r="R13" s="31" t="n">
        <v>32245</v>
      </c>
      <c r="S13" s="31" t="n">
        <v>32245</v>
      </c>
      <c r="T13" s="31" t="n">
        <v>33212</v>
      </c>
      <c r="U13" s="31" t="n">
        <v>33212</v>
      </c>
      <c r="V13" s="31" t="n">
        <v>33212</v>
      </c>
      <c r="W13" s="31" t="n">
        <v>34688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212.4951</v>
      </c>
      <c r="D14" s="31" t="n">
        <v>16498.692025</v>
      </c>
      <c r="E14" s="31" t="n">
        <v>16413.558774</v>
      </c>
      <c r="F14" s="31" t="n">
        <v>16266.390441</v>
      </c>
      <c r="G14" s="31" t="n">
        <v>16054.547236</v>
      </c>
      <c r="H14" s="31" t="n">
        <v>15775.389367</v>
      </c>
      <c r="I14" s="31" t="n">
        <v>15426.277044</v>
      </c>
      <c r="J14" s="31" t="n">
        <v>15004.570475</v>
      </c>
      <c r="K14" s="31" t="n">
        <v>14507.629872</v>
      </c>
      <c r="L14" s="31" t="n">
        <v>13932.815441</v>
      </c>
      <c r="M14" s="31" t="n">
        <v>13277.487394</v>
      </c>
      <c r="N14" s="31" t="n">
        <v>12539.005939</v>
      </c>
      <c r="O14" s="31" t="n">
        <v>12215.82167</v>
      </c>
      <c r="P14" s="31" t="n">
        <v>11881.774065</v>
      </c>
      <c r="Q14" s="31" t="n">
        <v>11536.863184</v>
      </c>
      <c r="R14" s="31" t="n">
        <v>11181.088906</v>
      </c>
      <c r="S14" s="31" t="n">
        <v>10814.451294</v>
      </c>
      <c r="T14" s="31" t="n">
        <v>10436.950345</v>
      </c>
      <c r="U14" s="31" t="n">
        <v>10048.586111</v>
      </c>
      <c r="V14" s="31" t="n">
        <v>9649.358490000001</v>
      </c>
      <c r="W14" s="31" t="n">
        <v>9701.230895999999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-12934.4951</v>
      </c>
      <c r="D15" s="31" t="n">
        <v>-30359.217996</v>
      </c>
      <c r="E15" s="31" t="n">
        <v>-28069.749499</v>
      </c>
      <c r="F15" s="31" t="n">
        <v>-25578.263684</v>
      </c>
      <c r="G15" s="31" t="n">
        <v>-22878.161075</v>
      </c>
      <c r="H15" s="31" t="n">
        <v>-20847.842194</v>
      </c>
      <c r="I15" s="31" t="n">
        <v>-17710.707565</v>
      </c>
      <c r="J15" s="31" t="n">
        <v>-14345.157711</v>
      </c>
      <c r="K15" s="31" t="n">
        <v>-10744.593154</v>
      </c>
      <c r="L15" s="31" t="n">
        <v>-7813.414419</v>
      </c>
      <c r="M15" s="31" t="n">
        <v>-3723.022029</v>
      </c>
      <c r="N15" s="31" t="n">
        <v>622.183494</v>
      </c>
      <c r="O15" s="31" t="n">
        <v>2212.304304</v>
      </c>
      <c r="P15" s="31" t="n">
        <v>2889.583452</v>
      </c>
      <c r="Q15" s="31" t="n">
        <v>4534.021143</v>
      </c>
      <c r="R15" s="31" t="n">
        <v>6205.616974</v>
      </c>
      <c r="S15" s="31" t="n">
        <v>7904.371142</v>
      </c>
      <c r="T15" s="31" t="n">
        <v>8663.283648000001</v>
      </c>
      <c r="U15" s="31" t="n">
        <v>10416.354722</v>
      </c>
      <c r="V15" s="31" t="n">
        <v>12196.583911</v>
      </c>
      <c r="W15" s="31" t="n">
        <v>15068.769928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3.552</v>
      </c>
      <c r="E17" s="31" t="n">
        <v>7.119783</v>
      </c>
      <c r="F17" s="31" t="n">
        <v>10.700148</v>
      </c>
      <c r="G17" s="31" t="n">
        <v>14.314284</v>
      </c>
      <c r="H17" s="31" t="n">
        <v>17.934808</v>
      </c>
      <c r="I17" s="31" t="n">
        <v>21.570803</v>
      </c>
      <c r="J17" s="31" t="n">
        <v>25.231549</v>
      </c>
      <c r="K17" s="31" t="n">
        <v>28.901666</v>
      </c>
      <c r="L17" s="31" t="n">
        <v>32.578032</v>
      </c>
      <c r="M17" s="31" t="n">
        <v>36.27001</v>
      </c>
      <c r="N17" s="31" t="n">
        <v>39.974548</v>
      </c>
      <c r="O17" s="31" t="n">
        <v>43.688562</v>
      </c>
      <c r="P17" s="31" t="n">
        <v>47.421531</v>
      </c>
      <c r="Q17" s="31" t="n">
        <v>51.145115</v>
      </c>
      <c r="R17" s="31" t="n">
        <v>54.894051</v>
      </c>
      <c r="S17" s="31" t="n">
        <v>58.627187</v>
      </c>
      <c r="T17" s="31" t="n">
        <v>62.379355</v>
      </c>
      <c r="U17" s="31" t="n">
        <v>66.13460499999999</v>
      </c>
      <c r="V17" s="31" t="n">
        <v>69.889645</v>
      </c>
      <c r="W17" s="31" t="n">
        <v>103.651578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110.132973</v>
      </c>
      <c r="O18" s="31" t="n">
        <v>410.224028</v>
      </c>
      <c r="P18" s="31" t="n">
        <v>537.634718</v>
      </c>
      <c r="Q18" s="31" t="n">
        <v>847.9987609999999</v>
      </c>
      <c r="R18" s="31" t="n">
        <v>1163.495351</v>
      </c>
      <c r="S18" s="31" t="n">
        <v>1484.132309</v>
      </c>
      <c r="T18" s="31" t="n">
        <v>1626.98146</v>
      </c>
      <c r="U18" s="31" t="n">
        <v>1957.889038</v>
      </c>
      <c r="V18" s="31" t="n">
        <v>2293.933994</v>
      </c>
      <c r="W18" s="31" t="n">
        <v>2830.861648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-12934.4951</v>
      </c>
      <c r="D19" s="31" t="n">
        <v>-30362.769996</v>
      </c>
      <c r="E19" s="31" t="n">
        <v>-28076.869282</v>
      </c>
      <c r="F19" s="31" t="n">
        <v>-25588.963832</v>
      </c>
      <c r="G19" s="31" t="n">
        <v>-22892.475359</v>
      </c>
      <c r="H19" s="31" t="n">
        <v>-20865.777002</v>
      </c>
      <c r="I19" s="31" t="n">
        <v>-17732.278368</v>
      </c>
      <c r="J19" s="31" t="n">
        <v>-14370.38926</v>
      </c>
      <c r="K19" s="31" t="n">
        <v>-10773.494821</v>
      </c>
      <c r="L19" s="31" t="n">
        <v>-7845.992451</v>
      </c>
      <c r="M19" s="31" t="n">
        <v>-3759.292039</v>
      </c>
      <c r="N19" s="31" t="n">
        <v>472.075973</v>
      </c>
      <c r="O19" s="31" t="n">
        <v>1758.391714</v>
      </c>
      <c r="P19" s="31" t="n">
        <v>2304.527203</v>
      </c>
      <c r="Q19" s="31" t="n">
        <v>3634.877267</v>
      </c>
      <c r="R19" s="31" t="n">
        <v>4987.227572</v>
      </c>
      <c r="S19" s="31" t="n">
        <v>6361.611645</v>
      </c>
      <c r="T19" s="31" t="n">
        <v>6973.922833</v>
      </c>
      <c r="U19" s="31" t="n">
        <v>8392.331079</v>
      </c>
      <c r="V19" s="31" t="n">
        <v>9832.760272</v>
      </c>
      <c r="W19" s="31" t="n">
        <v>12134.256703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10000</v>
      </c>
      <c r="D23" s="31" t="n">
        <v>49551.981341</v>
      </c>
      <c r="E23" s="31" t="n">
        <v>50029.718646</v>
      </c>
      <c r="F23" s="31" t="n">
        <v>50443.666448</v>
      </c>
      <c r="G23" s="31" t="n">
        <v>50788.103753</v>
      </c>
      <c r="H23" s="31" t="n">
        <v>51505.51713</v>
      </c>
      <c r="I23" s="31" t="n">
        <v>51706.111939</v>
      </c>
      <c r="J23" s="31" t="n">
        <v>51830.023885</v>
      </c>
      <c r="K23" s="31" t="n">
        <v>51872.337986</v>
      </c>
      <c r="L23" s="31" t="n">
        <v>52283.528367</v>
      </c>
      <c r="M23" s="31" t="n">
        <v>52154.68794</v>
      </c>
      <c r="N23" s="31" t="n">
        <v>51933.555299</v>
      </c>
      <c r="O23" s="31" t="n">
        <v>53180.344712</v>
      </c>
      <c r="P23" s="31" t="n">
        <v>55285.976777</v>
      </c>
      <c r="Q23" s="31" t="n">
        <v>58382.972366</v>
      </c>
      <c r="R23" s="31" t="n">
        <v>62746.302974</v>
      </c>
      <c r="S23" s="31" t="n">
        <v>68466.168156</v>
      </c>
      <c r="T23" s="31" t="n">
        <v>68774.16625900001</v>
      </c>
      <c r="U23" s="31" t="n">
        <v>68420.200125</v>
      </c>
      <c r="V23" s="31" t="n">
        <v>68048.43548</v>
      </c>
      <c r="W23" s="31" t="n">
        <v>70798.082681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0</v>
      </c>
      <c r="D24" s="31" t="n">
        <v>11208.350561</v>
      </c>
      <c r="E24" s="31" t="n">
        <v>11737.384707</v>
      </c>
      <c r="F24" s="31" t="n">
        <v>12551.227193</v>
      </c>
      <c r="G24" s="31" t="n">
        <v>12972.323235</v>
      </c>
      <c r="H24" s="31" t="n">
        <v>13396.22059</v>
      </c>
      <c r="I24" s="31" t="n">
        <v>13973.077032</v>
      </c>
      <c r="J24" s="31" t="n">
        <v>14721.909807</v>
      </c>
      <c r="K24" s="31" t="n">
        <v>15329.279239</v>
      </c>
      <c r="L24" s="31" t="n">
        <v>15775.379802</v>
      </c>
      <c r="M24" s="31" t="n">
        <v>16400.05854</v>
      </c>
      <c r="N24" s="31" t="n">
        <v>17415.286027</v>
      </c>
      <c r="O24" s="31" t="n">
        <v>17425.358468</v>
      </c>
      <c r="P24" s="31" t="n">
        <v>17435.211943</v>
      </c>
      <c r="Q24" s="31" t="n">
        <v>17634.471579</v>
      </c>
      <c r="R24" s="31" t="n">
        <v>18230.03626</v>
      </c>
      <c r="S24" s="31" t="n">
        <v>18231.155402</v>
      </c>
      <c r="T24" s="31" t="n">
        <v>18232.250215</v>
      </c>
      <c r="U24" s="31" t="n">
        <v>18431.509851</v>
      </c>
      <c r="V24" s="31" t="n">
        <v>19044.786494</v>
      </c>
      <c r="W24" s="31" t="n">
        <v>19988.799923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3000</v>
      </c>
      <c r="D25" s="31" t="n">
        <v>3586.672179</v>
      </c>
      <c r="E25" s="31" t="n">
        <v>3709.013567</v>
      </c>
      <c r="F25" s="31" t="n">
        <v>3915.982884</v>
      </c>
      <c r="G25" s="31" t="n">
        <v>3995.475556</v>
      </c>
      <c r="H25" s="31" t="n">
        <v>4072.451059</v>
      </c>
      <c r="I25" s="31" t="n">
        <v>4191.92311</v>
      </c>
      <c r="J25" s="31" t="n">
        <v>4357.685303</v>
      </c>
      <c r="K25" s="31" t="n">
        <v>4476.149538</v>
      </c>
      <c r="L25" s="31" t="n">
        <v>4543.309383</v>
      </c>
      <c r="M25" s="31" t="n">
        <v>4657.616625</v>
      </c>
      <c r="N25" s="31" t="n">
        <v>4876.280087</v>
      </c>
      <c r="O25" s="31" t="n">
        <v>4853.285025</v>
      </c>
      <c r="P25" s="31" t="n">
        <v>4830.199457</v>
      </c>
      <c r="Q25" s="31" t="n">
        <v>4859.276613</v>
      </c>
      <c r="R25" s="31" t="n">
        <v>4996.380308</v>
      </c>
      <c r="S25" s="31" t="n">
        <v>4969.677917</v>
      </c>
      <c r="T25" s="31" t="n">
        <v>4942.965614</v>
      </c>
      <c r="U25" s="31" t="n">
        <v>4969.681175</v>
      </c>
      <c r="V25" s="31" t="n">
        <v>5106.82423</v>
      </c>
      <c r="W25" s="31" t="n">
        <v>5330.346646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13000</v>
      </c>
      <c r="D26" s="31" t="n">
        <v>67784.23158599999</v>
      </c>
      <c r="E26" s="31" t="n">
        <v>69075.58156399999</v>
      </c>
      <c r="F26" s="31" t="n">
        <v>70676.244682</v>
      </c>
      <c r="G26" s="31" t="n">
        <v>71690.84059199999</v>
      </c>
      <c r="H26" s="31" t="n">
        <v>73082.36309300001</v>
      </c>
      <c r="I26" s="31" t="n">
        <v>74156.189037</v>
      </c>
      <c r="J26" s="31" t="n">
        <v>75375.264969</v>
      </c>
      <c r="K26" s="31" t="n">
        <v>76327.648132</v>
      </c>
      <c r="L26" s="31" t="n">
        <v>77440.000692</v>
      </c>
      <c r="M26" s="31" t="n">
        <v>78241.714391</v>
      </c>
      <c r="N26" s="31" t="n">
        <v>79449.707221</v>
      </c>
      <c r="O26" s="31" t="n">
        <v>80744.680274</v>
      </c>
      <c r="P26" s="31" t="n">
        <v>82898.18650700001</v>
      </c>
      <c r="Q26" s="31" t="n">
        <v>86284.62517499999</v>
      </c>
      <c r="R26" s="31" t="n">
        <v>91441.73042000001</v>
      </c>
      <c r="S26" s="31" t="n">
        <v>97197.11861400001</v>
      </c>
      <c r="T26" s="31" t="n">
        <v>97540.605488</v>
      </c>
      <c r="U26" s="31" t="n">
        <v>97473.720837</v>
      </c>
      <c r="V26" s="31" t="n">
        <v>97913.482152</v>
      </c>
      <c r="W26" s="31" t="n">
        <v>102180.49856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12000</v>
      </c>
      <c r="D27" s="31" t="n">
        <v>12067.428</v>
      </c>
      <c r="E27" s="31" t="n">
        <v>12131.687054</v>
      </c>
      <c r="F27" s="31" t="n">
        <v>12192.745835</v>
      </c>
      <c r="G27" s="31" t="n">
        <v>12250.551644</v>
      </c>
      <c r="H27" s="31" t="n">
        <v>12305.078849</v>
      </c>
      <c r="I27" s="31" t="n">
        <v>12356.292587</v>
      </c>
      <c r="J27" s="31" t="n">
        <v>12404.148509</v>
      </c>
      <c r="K27" s="31" t="n">
        <v>12448.617381</v>
      </c>
      <c r="L27" s="31" t="n">
        <v>12489.672921</v>
      </c>
      <c r="M27" s="31" t="n">
        <v>12527.279326</v>
      </c>
      <c r="N27" s="31" t="n">
        <v>12561.403634</v>
      </c>
      <c r="O27" s="31" t="n">
        <v>12592.015775</v>
      </c>
      <c r="P27" s="31" t="n">
        <v>12619.076016</v>
      </c>
      <c r="Q27" s="31" t="n">
        <v>12642.572736</v>
      </c>
      <c r="R27" s="31" t="n">
        <v>12662.459503</v>
      </c>
      <c r="S27" s="31" t="n">
        <v>12678.730764</v>
      </c>
      <c r="T27" s="31" t="n">
        <v>12691.3461</v>
      </c>
      <c r="U27" s="31" t="n">
        <v>12700.280808</v>
      </c>
      <c r="V27" s="31" t="n">
        <v>12705.513324</v>
      </c>
      <c r="W27" s="31" t="n">
        <v>13277.014849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-3.552</v>
      </c>
      <c r="E28" s="31" t="n">
        <v>-10.671783</v>
      </c>
      <c r="F28" s="31" t="n">
        <v>-21.371931</v>
      </c>
      <c r="G28" s="31" t="n">
        <v>-35.686214</v>
      </c>
      <c r="H28" s="31" t="n">
        <v>-53.621022</v>
      </c>
      <c r="I28" s="31" t="n">
        <v>-75.19182499999999</v>
      </c>
      <c r="J28" s="31" t="n">
        <v>-100.423374</v>
      </c>
      <c r="K28" s="31" t="n">
        <v>-129.32504</v>
      </c>
      <c r="L28" s="31" t="n">
        <v>-161.903072</v>
      </c>
      <c r="M28" s="31" t="n">
        <v>-198.173082</v>
      </c>
      <c r="N28" s="31" t="n">
        <v>-238.147631</v>
      </c>
      <c r="O28" s="31" t="n">
        <v>-281.836192</v>
      </c>
      <c r="P28" s="31" t="n">
        <v>-329.257724</v>
      </c>
      <c r="Q28" s="31" t="n">
        <v>-380.402839</v>
      </c>
      <c r="R28" s="31" t="n">
        <v>-435.29689</v>
      </c>
      <c r="S28" s="31" t="n">
        <v>-493.924077</v>
      </c>
      <c r="T28" s="31" t="n">
        <v>-556.303433</v>
      </c>
      <c r="U28" s="31" t="n">
        <v>-622.438037</v>
      </c>
      <c r="V28" s="31" t="n">
        <v>-692.327682</v>
      </c>
      <c r="W28" s="31" t="n">
        <v>-795.97926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25000</v>
      </c>
      <c r="D29" s="31" t="n">
        <v>79851.65958599999</v>
      </c>
      <c r="E29" s="31" t="n">
        <v>81207.26861899999</v>
      </c>
      <c r="F29" s="31" t="n">
        <v>82868.99051800001</v>
      </c>
      <c r="G29" s="31" t="n">
        <v>83941.392236</v>
      </c>
      <c r="H29" s="31" t="n">
        <v>85387.441943</v>
      </c>
      <c r="I29" s="31" t="n">
        <v>86512.48162399999</v>
      </c>
      <c r="J29" s="31" t="n">
        <v>87779.413478</v>
      </c>
      <c r="K29" s="31" t="n">
        <v>88776.265512</v>
      </c>
      <c r="L29" s="31" t="n">
        <v>89929.67361300001</v>
      </c>
      <c r="M29" s="31" t="n">
        <v>90768.993717</v>
      </c>
      <c r="N29" s="31" t="n">
        <v>92011.110856</v>
      </c>
      <c r="O29" s="31" t="n">
        <v>93336.696048</v>
      </c>
      <c r="P29" s="31" t="n">
        <v>95517.262523</v>
      </c>
      <c r="Q29" s="31" t="n">
        <v>98927.197911</v>
      </c>
      <c r="R29" s="31" t="n">
        <v>104104.189924</v>
      </c>
      <c r="S29" s="31" t="n">
        <v>109875.849378</v>
      </c>
      <c r="T29" s="31" t="n">
        <v>110231.951588</v>
      </c>
      <c r="U29" s="31" t="n">
        <v>110174.001645</v>
      </c>
      <c r="V29" s="31" t="n">
        <v>110618.995476</v>
      </c>
      <c r="W29" s="31" t="n">
        <v>115457.513409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1200</v>
      </c>
      <c r="D30" s="31" t="n">
        <v>21556.429582</v>
      </c>
      <c r="E30" s="31" t="n">
        <v>21500.907896</v>
      </c>
      <c r="F30" s="31" t="n">
        <v>21880.593628</v>
      </c>
      <c r="G30" s="31" t="n">
        <v>21500.470705</v>
      </c>
      <c r="H30" s="31" t="n">
        <v>21373.297413</v>
      </c>
      <c r="I30" s="31" t="n">
        <v>21145.615463</v>
      </c>
      <c r="J30" s="31" t="n">
        <v>21099.936577</v>
      </c>
      <c r="K30" s="31" t="n">
        <v>20772.283432</v>
      </c>
      <c r="L30" s="31" t="n">
        <v>20468.683984</v>
      </c>
      <c r="M30" s="31" t="n">
        <v>20041.296127</v>
      </c>
      <c r="N30" s="31" t="n">
        <v>19994.337293</v>
      </c>
      <c r="O30" s="31" t="n">
        <v>19561.530771</v>
      </c>
      <c r="P30" s="31" t="n">
        <v>19437.570042</v>
      </c>
      <c r="Q30" s="31" t="n">
        <v>19212.628163</v>
      </c>
      <c r="R30" s="31" t="n">
        <v>19402.392604</v>
      </c>
      <c r="S30" s="31" t="n">
        <v>18947.440413</v>
      </c>
      <c r="T30" s="31" t="n">
        <v>18810.619791</v>
      </c>
      <c r="U30" s="31" t="n">
        <v>18557.338768</v>
      </c>
      <c r="V30" s="31" t="n">
        <v>18703.572327</v>
      </c>
      <c r="W30" s="31" t="n">
        <v>19018.833558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3437.227505</v>
      </c>
      <c r="E31" s="31" t="n">
        <v>3599.464643</v>
      </c>
      <c r="F31" s="31" t="n">
        <v>3765.368158</v>
      </c>
      <c r="G31" s="31" t="n">
        <v>3934.938048</v>
      </c>
      <c r="H31" s="31" t="n">
        <v>4108.174314</v>
      </c>
      <c r="I31" s="31" t="n">
        <v>4285.076957</v>
      </c>
      <c r="J31" s="31" t="n">
        <v>4465.645975</v>
      </c>
      <c r="K31" s="31" t="n">
        <v>4649.881369</v>
      </c>
      <c r="L31" s="31" t="n">
        <v>4837.783139</v>
      </c>
      <c r="M31" s="31" t="n">
        <v>5029.351286</v>
      </c>
      <c r="N31" s="31" t="n">
        <v>5224.585808</v>
      </c>
      <c r="O31" s="31" t="n">
        <v>5285.692069</v>
      </c>
      <c r="P31" s="31" t="n">
        <v>5346.798329</v>
      </c>
      <c r="Q31" s="31" t="n">
        <v>5407.904617</v>
      </c>
      <c r="R31" s="31" t="n">
        <v>5469.010878</v>
      </c>
      <c r="S31" s="31" t="n">
        <v>5530.117139</v>
      </c>
      <c r="T31" s="31" t="n">
        <v>5591.223399</v>
      </c>
      <c r="U31" s="31" t="n">
        <v>5652.329688</v>
      </c>
      <c r="V31" s="31" t="n">
        <v>5713.435948</v>
      </c>
      <c r="W31" s="31" t="n">
        <v>6063.26931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0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1200</v>
      </c>
      <c r="D34" s="31" t="n">
        <v>21556.429582</v>
      </c>
      <c r="E34" s="31" t="n">
        <v>21500.907896</v>
      </c>
      <c r="F34" s="31" t="n">
        <v>21880.593628</v>
      </c>
      <c r="G34" s="31" t="n">
        <v>21500.470705</v>
      </c>
      <c r="H34" s="31" t="n">
        <v>21373.297413</v>
      </c>
      <c r="I34" s="31" t="n">
        <v>21145.615463</v>
      </c>
      <c r="J34" s="31" t="n">
        <v>21099.936577</v>
      </c>
      <c r="K34" s="31" t="n">
        <v>20772.283432</v>
      </c>
      <c r="L34" s="31" t="n">
        <v>20468.683984</v>
      </c>
      <c r="M34" s="31" t="n">
        <v>20041.296127</v>
      </c>
      <c r="N34" s="31" t="n">
        <v>19994.337293</v>
      </c>
      <c r="O34" s="31" t="n">
        <v>19561.530771</v>
      </c>
      <c r="P34" s="31" t="n">
        <v>19437.570042</v>
      </c>
      <c r="Q34" s="31" t="n">
        <v>19212.628163</v>
      </c>
      <c r="R34" s="31" t="n">
        <v>19402.392604</v>
      </c>
      <c r="S34" s="31" t="n">
        <v>18947.440413</v>
      </c>
      <c r="T34" s="31" t="n">
        <v>18810.619791</v>
      </c>
      <c r="U34" s="31" t="n">
        <v>18557.338768</v>
      </c>
      <c r="V34" s="31" t="n">
        <v>18703.572327</v>
      </c>
      <c r="W34" s="31" t="n">
        <v>19018.833558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1200</v>
      </c>
      <c r="D36" s="31" t="n">
        <v>21556.429582</v>
      </c>
      <c r="E36" s="31" t="n">
        <v>21500.907896</v>
      </c>
      <c r="F36" s="31" t="n">
        <v>21880.593628</v>
      </c>
      <c r="G36" s="31" t="n">
        <v>21500.470705</v>
      </c>
      <c r="H36" s="31" t="n">
        <v>21373.297413</v>
      </c>
      <c r="I36" s="31" t="n">
        <v>21145.615463</v>
      </c>
      <c r="J36" s="31" t="n">
        <v>21099.936577</v>
      </c>
      <c r="K36" s="31" t="n">
        <v>20772.283432</v>
      </c>
      <c r="L36" s="31" t="n">
        <v>20468.683984</v>
      </c>
      <c r="M36" s="31" t="n">
        <v>20041.296127</v>
      </c>
      <c r="N36" s="31" t="n">
        <v>19994.337293</v>
      </c>
      <c r="O36" s="31" t="n">
        <v>19561.530771</v>
      </c>
      <c r="P36" s="31" t="n">
        <v>19437.570042</v>
      </c>
      <c r="Q36" s="31" t="n">
        <v>19212.628163</v>
      </c>
      <c r="R36" s="31" t="n">
        <v>19402.392604</v>
      </c>
      <c r="S36" s="31" t="n">
        <v>18947.440413</v>
      </c>
      <c r="T36" s="31" t="n">
        <v>18810.619791</v>
      </c>
      <c r="U36" s="31" t="n">
        <v>18557.338768</v>
      </c>
      <c r="V36" s="31" t="n">
        <v>18703.572327</v>
      </c>
      <c r="W36" s="31" t="n">
        <v>19018.833558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20000</v>
      </c>
      <c r="D37" s="31" t="n">
        <v>84858</v>
      </c>
      <c r="E37" s="31" t="n">
        <v>114346</v>
      </c>
      <c r="F37" s="31" t="n">
        <v>141217</v>
      </c>
      <c r="G37" s="31" t="n">
        <v>165562</v>
      </c>
      <c r="H37" s="31" t="n">
        <v>188001</v>
      </c>
      <c r="I37" s="31" t="n">
        <v>207086</v>
      </c>
      <c r="J37" s="31" t="n">
        <v>222769</v>
      </c>
      <c r="K37" s="31" t="n">
        <v>234867</v>
      </c>
      <c r="L37" s="31" t="n">
        <v>244170</v>
      </c>
      <c r="M37" s="31" t="n">
        <v>249196</v>
      </c>
      <c r="N37" s="31" t="n">
        <v>250013</v>
      </c>
      <c r="O37" s="31" t="n">
        <v>250013</v>
      </c>
      <c r="P37" s="31" t="n">
        <v>250013</v>
      </c>
      <c r="Q37" s="31" t="n">
        <v>250013</v>
      </c>
      <c r="R37" s="31" t="n">
        <v>250013</v>
      </c>
      <c r="S37" s="31" t="n">
        <v>250013</v>
      </c>
      <c r="T37" s="31" t="n">
        <v>250013</v>
      </c>
      <c r="U37" s="31" t="n">
        <v>250013</v>
      </c>
      <c r="V37" s="31" t="n">
        <v>250013</v>
      </c>
      <c r="W37" s="31" t="n">
        <v>250013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3800</v>
      </c>
      <c r="D38" s="31" t="n">
        <v>-26562.769996</v>
      </c>
      <c r="E38" s="31" t="n">
        <v>-54639.639277</v>
      </c>
      <c r="F38" s="31" t="n">
        <v>-80228.60311</v>
      </c>
      <c r="G38" s="31" t="n">
        <v>-103121.078469</v>
      </c>
      <c r="H38" s="31" t="n">
        <v>-123986.855471</v>
      </c>
      <c r="I38" s="31" t="n">
        <v>-141719.133839</v>
      </c>
      <c r="J38" s="31" t="n">
        <v>-156089.523099</v>
      </c>
      <c r="K38" s="31" t="n">
        <v>-166863.01792</v>
      </c>
      <c r="L38" s="31" t="n">
        <v>-174709.010371</v>
      </c>
      <c r="M38" s="31" t="n">
        <v>-178468.30241</v>
      </c>
      <c r="N38" s="31" t="n">
        <v>-177996.226437</v>
      </c>
      <c r="O38" s="31" t="n">
        <v>-176237.834723</v>
      </c>
      <c r="P38" s="31" t="n">
        <v>-173933.30752</v>
      </c>
      <c r="Q38" s="31" t="n">
        <v>-170298.430252</v>
      </c>
      <c r="R38" s="31" t="n">
        <v>-165311.202681</v>
      </c>
      <c r="S38" s="31" t="n">
        <v>-159084.591036</v>
      </c>
      <c r="T38" s="31" t="n">
        <v>-158591.668202</v>
      </c>
      <c r="U38" s="31" t="n">
        <v>-158396.337123</v>
      </c>
      <c r="V38" s="31" t="n">
        <v>-158097.576851</v>
      </c>
      <c r="W38" s="31" t="n">
        <v>-153574.320148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23800</v>
      </c>
      <c r="D40" s="31" t="n">
        <v>58295.230004</v>
      </c>
      <c r="E40" s="31" t="n">
        <v>59706.360723</v>
      </c>
      <c r="F40" s="31" t="n">
        <v>60988.39689</v>
      </c>
      <c r="G40" s="31" t="n">
        <v>62440.921531</v>
      </c>
      <c r="H40" s="31" t="n">
        <v>64014.144529</v>
      </c>
      <c r="I40" s="31" t="n">
        <v>65366.866161</v>
      </c>
      <c r="J40" s="31" t="n">
        <v>66679.476901</v>
      </c>
      <c r="K40" s="31" t="n">
        <v>68003.98208</v>
      </c>
      <c r="L40" s="31" t="n">
        <v>69460.989629</v>
      </c>
      <c r="M40" s="31" t="n">
        <v>70727.69759</v>
      </c>
      <c r="N40" s="31" t="n">
        <v>72016.773563</v>
      </c>
      <c r="O40" s="31" t="n">
        <v>73775.16527699999</v>
      </c>
      <c r="P40" s="31" t="n">
        <v>76079.69248</v>
      </c>
      <c r="Q40" s="31" t="n">
        <v>79714.56974799999</v>
      </c>
      <c r="R40" s="31" t="n">
        <v>84701.797319</v>
      </c>
      <c r="S40" s="31" t="n">
        <v>90928.408964</v>
      </c>
      <c r="T40" s="31" t="n">
        <v>91421.331798</v>
      </c>
      <c r="U40" s="31" t="n">
        <v>91616.662877</v>
      </c>
      <c r="V40" s="31" t="n">
        <v>91915.42314899999</v>
      </c>
      <c r="W40" s="31" t="n">
        <v>96438.679852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25000</v>
      </c>
      <c r="D41" s="31" t="n">
        <v>79851.65958599999</v>
      </c>
      <c r="E41" s="31" t="n">
        <v>81207.26861899999</v>
      </c>
      <c r="F41" s="31" t="n">
        <v>82868.99051800001</v>
      </c>
      <c r="G41" s="31" t="n">
        <v>83941.392236</v>
      </c>
      <c r="H41" s="31" t="n">
        <v>85387.441943</v>
      </c>
      <c r="I41" s="31" t="n">
        <v>86512.48162399999</v>
      </c>
      <c r="J41" s="31" t="n">
        <v>87779.413478</v>
      </c>
      <c r="K41" s="31" t="n">
        <v>88776.265512</v>
      </c>
      <c r="L41" s="31" t="n">
        <v>89929.67361300001</v>
      </c>
      <c r="M41" s="31" t="n">
        <v>90768.993717</v>
      </c>
      <c r="N41" s="31" t="n">
        <v>92011.110856</v>
      </c>
      <c r="O41" s="31" t="n">
        <v>93336.696048</v>
      </c>
      <c r="P41" s="31" t="n">
        <v>95517.262523</v>
      </c>
      <c r="Q41" s="31" t="n">
        <v>98927.197911</v>
      </c>
      <c r="R41" s="31" t="n">
        <v>104104.189924</v>
      </c>
      <c r="S41" s="31" t="n">
        <v>109875.849378</v>
      </c>
      <c r="T41" s="31" t="n">
        <v>110231.951588</v>
      </c>
      <c r="U41" s="31" t="n">
        <v>110174.001645</v>
      </c>
      <c r="V41" s="31" t="n">
        <v>110618.995476</v>
      </c>
      <c r="W41" s="31" t="n">
        <v>115457.513409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10000</v>
      </c>
      <c r="D45" s="31" t="n">
        <v>10000</v>
      </c>
      <c r="E45" s="31" t="n">
        <v>49551.981341</v>
      </c>
      <c r="F45" s="31" t="n">
        <v>50029.718646</v>
      </c>
      <c r="G45" s="31" t="n">
        <v>50443.666448</v>
      </c>
      <c r="H45" s="31" t="n">
        <v>50788.103753</v>
      </c>
      <c r="I45" s="31" t="n">
        <v>51505.51713</v>
      </c>
      <c r="J45" s="31" t="n">
        <v>51706.111939</v>
      </c>
      <c r="K45" s="31" t="n">
        <v>51830.023885</v>
      </c>
      <c r="L45" s="31" t="n">
        <v>51872.337986</v>
      </c>
      <c r="M45" s="31" t="n">
        <v>52283.528367</v>
      </c>
      <c r="N45" s="31" t="n">
        <v>52154.68794</v>
      </c>
      <c r="O45" s="31" t="n">
        <v>51933.555299</v>
      </c>
      <c r="P45" s="31" t="n">
        <v>53180.344712</v>
      </c>
      <c r="Q45" s="31" t="n">
        <v>55285.976777</v>
      </c>
      <c r="R45" s="31" t="n">
        <v>58382.972366</v>
      </c>
      <c r="S45" s="31" t="n">
        <v>62746.302974</v>
      </c>
      <c r="T45" s="31" t="n">
        <v>68466.168156</v>
      </c>
      <c r="U45" s="31" t="n">
        <v>68774.16625900001</v>
      </c>
      <c r="V45" s="31" t="n">
        <v>68420.200125</v>
      </c>
      <c r="W45" s="31" t="n">
        <v>68048.43548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-12934.4951</v>
      </c>
      <c r="D46" s="31" t="n">
        <v>-30362.769996</v>
      </c>
      <c r="E46" s="31" t="n">
        <v>-28076.869282</v>
      </c>
      <c r="F46" s="31" t="n">
        <v>-25588.963832</v>
      </c>
      <c r="G46" s="31" t="n">
        <v>-22892.475359</v>
      </c>
      <c r="H46" s="31" t="n">
        <v>-20865.777002</v>
      </c>
      <c r="I46" s="31" t="n">
        <v>-17732.278368</v>
      </c>
      <c r="J46" s="31" t="n">
        <v>-14370.38926</v>
      </c>
      <c r="K46" s="31" t="n">
        <v>-10773.494821</v>
      </c>
      <c r="L46" s="31" t="n">
        <v>-7845.992451</v>
      </c>
      <c r="M46" s="31" t="n">
        <v>-3759.292039</v>
      </c>
      <c r="N46" s="31" t="n">
        <v>472.075973</v>
      </c>
      <c r="O46" s="31" t="n">
        <v>1758.391714</v>
      </c>
      <c r="P46" s="31" t="n">
        <v>2304.527203</v>
      </c>
      <c r="Q46" s="31" t="n">
        <v>3634.877267</v>
      </c>
      <c r="R46" s="31" t="n">
        <v>4987.227572</v>
      </c>
      <c r="S46" s="31" t="n">
        <v>6361.611645</v>
      </c>
      <c r="T46" s="31" t="n">
        <v>6973.922833</v>
      </c>
      <c r="U46" s="31" t="n">
        <v>8392.331079</v>
      </c>
      <c r="V46" s="31" t="n">
        <v>9832.760272</v>
      </c>
      <c r="W46" s="31" t="n">
        <v>12134.256703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3.552</v>
      </c>
      <c r="E47" s="31" t="n">
        <v>7.119783</v>
      </c>
      <c r="F47" s="31" t="n">
        <v>10.700148</v>
      </c>
      <c r="G47" s="31" t="n">
        <v>14.314284</v>
      </c>
      <c r="H47" s="31" t="n">
        <v>17.934808</v>
      </c>
      <c r="I47" s="31" t="n">
        <v>21.570803</v>
      </c>
      <c r="J47" s="31" t="n">
        <v>25.231549</v>
      </c>
      <c r="K47" s="31" t="n">
        <v>28.901666</v>
      </c>
      <c r="L47" s="31" t="n">
        <v>32.578032</v>
      </c>
      <c r="M47" s="31" t="n">
        <v>36.27001</v>
      </c>
      <c r="N47" s="31" t="n">
        <v>39.974548</v>
      </c>
      <c r="O47" s="31" t="n">
        <v>43.688562</v>
      </c>
      <c r="P47" s="31" t="n">
        <v>47.421531</v>
      </c>
      <c r="Q47" s="31" t="n">
        <v>51.145115</v>
      </c>
      <c r="R47" s="31" t="n">
        <v>54.894051</v>
      </c>
      <c r="S47" s="31" t="n">
        <v>58.627187</v>
      </c>
      <c r="T47" s="31" t="n">
        <v>62.379355</v>
      </c>
      <c r="U47" s="31" t="n">
        <v>66.13460499999999</v>
      </c>
      <c r="V47" s="31" t="n">
        <v>69.889645</v>
      </c>
      <c r="W47" s="31" t="n">
        <v>103.651578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-15232.250245</v>
      </c>
      <c r="E48" s="31" t="n">
        <v>-813.612673</v>
      </c>
      <c r="F48" s="31" t="n">
        <v>-1186.715316</v>
      </c>
      <c r="G48" s="31" t="n">
        <v>-670.158605</v>
      </c>
      <c r="H48" s="31" t="n">
        <v>-674.109124</v>
      </c>
      <c r="I48" s="31" t="n">
        <v>-873.231135</v>
      </c>
      <c r="J48" s="31" t="n">
        <v>-1095.163986</v>
      </c>
      <c r="K48" s="31" t="n">
        <v>-910.069061</v>
      </c>
      <c r="L48" s="31" t="n">
        <v>-701.162179</v>
      </c>
      <c r="M48" s="31" t="n">
        <v>-930.554127</v>
      </c>
      <c r="N48" s="31" t="n">
        <v>-1429.125471</v>
      </c>
      <c r="O48" s="31" t="n">
        <v>-48.18364</v>
      </c>
      <c r="P48" s="31" t="n">
        <v>-47.874168</v>
      </c>
      <c r="Q48" s="31" t="n">
        <v>-289.443079</v>
      </c>
      <c r="R48" s="31" t="n">
        <v>-793.774638</v>
      </c>
      <c r="S48" s="31" t="n">
        <v>-35.523012</v>
      </c>
      <c r="T48" s="31" t="n">
        <v>-35.48877</v>
      </c>
      <c r="U48" s="31" t="n">
        <v>-287.081484</v>
      </c>
      <c r="V48" s="31" t="n">
        <v>-811.5259600000001</v>
      </c>
      <c r="W48" s="31" t="n">
        <v>-1517.369207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20356.429582</v>
      </c>
      <c r="E49" s="31" t="n">
        <v>-55.521685</v>
      </c>
      <c r="F49" s="31" t="n">
        <v>379.685731</v>
      </c>
      <c r="G49" s="31" t="n">
        <v>-380.122923</v>
      </c>
      <c r="H49" s="31" t="n">
        <v>-127.173292</v>
      </c>
      <c r="I49" s="31" t="n">
        <v>-227.68195</v>
      </c>
      <c r="J49" s="31" t="n">
        <v>-45.678886</v>
      </c>
      <c r="K49" s="31" t="n">
        <v>-327.653145</v>
      </c>
      <c r="L49" s="31" t="n">
        <v>-303.599448</v>
      </c>
      <c r="M49" s="31" t="n">
        <v>-427.387857</v>
      </c>
      <c r="N49" s="31" t="n">
        <v>-46.958834</v>
      </c>
      <c r="O49" s="31" t="n">
        <v>-432.806522</v>
      </c>
      <c r="P49" s="31" t="n">
        <v>-123.960729</v>
      </c>
      <c r="Q49" s="31" t="n">
        <v>-224.941879</v>
      </c>
      <c r="R49" s="31" t="n">
        <v>189.764441</v>
      </c>
      <c r="S49" s="31" t="n">
        <v>-454.952191</v>
      </c>
      <c r="T49" s="31" t="n">
        <v>-136.820623</v>
      </c>
      <c r="U49" s="31" t="n">
        <v>-253.281022</v>
      </c>
      <c r="V49" s="31" t="n">
        <v>146.233559</v>
      </c>
      <c r="W49" s="31" t="n">
        <v>315.261231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-25235.038659</v>
      </c>
      <c r="E50" s="31" t="n">
        <v>-28938.883857</v>
      </c>
      <c r="F50" s="31" t="n">
        <v>-26385.293269</v>
      </c>
      <c r="G50" s="31" t="n">
        <v>-23928.442603</v>
      </c>
      <c r="H50" s="31" t="n">
        <v>-21649.12461</v>
      </c>
      <c r="I50" s="31" t="n">
        <v>-18811.62065</v>
      </c>
      <c r="J50" s="31" t="n">
        <v>-15486.000583</v>
      </c>
      <c r="K50" s="31" t="n">
        <v>-11982.315361</v>
      </c>
      <c r="L50" s="31" t="n">
        <v>-8818.176047000001</v>
      </c>
      <c r="M50" s="31" t="n">
        <v>-5080.964012</v>
      </c>
      <c r="N50" s="31" t="n">
        <v>-964.033783</v>
      </c>
      <c r="O50" s="31" t="n">
        <v>1321.090115</v>
      </c>
      <c r="P50" s="31" t="n">
        <v>2180.113838</v>
      </c>
      <c r="Q50" s="31" t="n">
        <v>3171.637424</v>
      </c>
      <c r="R50" s="31" t="n">
        <v>4438.111426</v>
      </c>
      <c r="S50" s="31" t="n">
        <v>5929.76363</v>
      </c>
      <c r="T50" s="31" t="n">
        <v>6863.992795</v>
      </c>
      <c r="U50" s="31" t="n">
        <v>7918.103178</v>
      </c>
      <c r="V50" s="31" t="n">
        <v>9237.357516</v>
      </c>
      <c r="W50" s="31" t="n">
        <v>11035.800304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70.98</v>
      </c>
      <c r="E51" s="31" t="n">
        <v>71.378837</v>
      </c>
      <c r="F51" s="31" t="n">
        <v>71.75892899999999</v>
      </c>
      <c r="G51" s="31" t="n">
        <v>72.120092</v>
      </c>
      <c r="H51" s="31" t="n">
        <v>72.462013</v>
      </c>
      <c r="I51" s="31" t="n">
        <v>72.784541</v>
      </c>
      <c r="J51" s="31" t="n">
        <v>73.08747099999999</v>
      </c>
      <c r="K51" s="31" t="n">
        <v>73.370538</v>
      </c>
      <c r="L51" s="31" t="n">
        <v>73.633572</v>
      </c>
      <c r="M51" s="31" t="n">
        <v>73.87641499999999</v>
      </c>
      <c r="N51" s="31" t="n">
        <v>74.098857</v>
      </c>
      <c r="O51" s="31" t="n">
        <v>74.300702</v>
      </c>
      <c r="P51" s="31" t="n">
        <v>74.481773</v>
      </c>
      <c r="Q51" s="31" t="n">
        <v>74.641835</v>
      </c>
      <c r="R51" s="31" t="n">
        <v>74.780818</v>
      </c>
      <c r="S51" s="31" t="n">
        <v>74.898448</v>
      </c>
      <c r="T51" s="31" t="n">
        <v>74.994692</v>
      </c>
      <c r="U51" s="31" t="n">
        <v>75.069312</v>
      </c>
      <c r="V51" s="31" t="n">
        <v>75.12216100000001</v>
      </c>
      <c r="W51" s="31" t="n">
        <v>675.153103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-70.98</v>
      </c>
      <c r="E52" s="31" t="n">
        <v>-71.378837</v>
      </c>
      <c r="F52" s="31" t="n">
        <v>-71.75892899999999</v>
      </c>
      <c r="G52" s="31" t="n">
        <v>-72.120092</v>
      </c>
      <c r="H52" s="31" t="n">
        <v>-72.462013</v>
      </c>
      <c r="I52" s="31" t="n">
        <v>-72.784541</v>
      </c>
      <c r="J52" s="31" t="n">
        <v>-73.08747099999999</v>
      </c>
      <c r="K52" s="31" t="n">
        <v>-73.370538</v>
      </c>
      <c r="L52" s="31" t="n">
        <v>-73.633572</v>
      </c>
      <c r="M52" s="31" t="n">
        <v>-73.87641499999999</v>
      </c>
      <c r="N52" s="31" t="n">
        <v>-74.098857</v>
      </c>
      <c r="O52" s="31" t="n">
        <v>-74.300702</v>
      </c>
      <c r="P52" s="31" t="n">
        <v>-74.481773</v>
      </c>
      <c r="Q52" s="31" t="n">
        <v>-74.641835</v>
      </c>
      <c r="R52" s="31" t="n">
        <v>-74.780818</v>
      </c>
      <c r="S52" s="31" t="n">
        <v>-74.898448</v>
      </c>
      <c r="T52" s="31" t="n">
        <v>-74.994692</v>
      </c>
      <c r="U52" s="31" t="n">
        <v>-75.069312</v>
      </c>
      <c r="V52" s="31" t="n">
        <v>-75.12216100000001</v>
      </c>
      <c r="W52" s="31" t="n">
        <v>-675.153103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-0</v>
      </c>
      <c r="E54" s="31" t="n">
        <v>-0</v>
      </c>
      <c r="F54" s="31" t="n">
        <v>-0</v>
      </c>
      <c r="G54" s="31" t="n">
        <v>-0</v>
      </c>
      <c r="H54" s="31" t="n">
        <v>-0</v>
      </c>
      <c r="I54" s="31" t="n">
        <v>-0</v>
      </c>
      <c r="J54" s="31" t="n">
        <v>-0</v>
      </c>
      <c r="K54" s="31" t="n">
        <v>-0</v>
      </c>
      <c r="L54" s="31" t="n">
        <v>-0</v>
      </c>
      <c r="M54" s="31" t="n">
        <v>-0</v>
      </c>
      <c r="N54" s="31" t="n">
        <v>-0</v>
      </c>
      <c r="O54" s="31" t="n">
        <v>-0</v>
      </c>
      <c r="P54" s="31" t="n">
        <v>-0</v>
      </c>
      <c r="Q54" s="31" t="n">
        <v>-0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64858</v>
      </c>
      <c r="E55" s="31" t="n">
        <v>29488</v>
      </c>
      <c r="F55" s="31" t="n">
        <v>26871</v>
      </c>
      <c r="G55" s="31" t="n">
        <v>24345</v>
      </c>
      <c r="H55" s="31" t="n">
        <v>22439</v>
      </c>
      <c r="I55" s="31" t="n">
        <v>19085</v>
      </c>
      <c r="J55" s="31" t="n">
        <v>15683</v>
      </c>
      <c r="K55" s="31" t="n">
        <v>12098</v>
      </c>
      <c r="L55" s="31" t="n">
        <v>9303</v>
      </c>
      <c r="M55" s="31" t="n">
        <v>5026</v>
      </c>
      <c r="N55" s="31" t="n">
        <v>817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135</v>
      </c>
      <c r="T56" s="31" t="n">
        <v>6481</v>
      </c>
      <c r="U56" s="31" t="n">
        <v>8197</v>
      </c>
      <c r="V56" s="31" t="n">
        <v>9534</v>
      </c>
      <c r="W56" s="31" t="n">
        <v>7611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64858</v>
      </c>
      <c r="E57" s="31" t="n">
        <v>29488</v>
      </c>
      <c r="F57" s="31" t="n">
        <v>26871</v>
      </c>
      <c r="G57" s="31" t="n">
        <v>24345</v>
      </c>
      <c r="H57" s="31" t="n">
        <v>22439</v>
      </c>
      <c r="I57" s="31" t="n">
        <v>19085</v>
      </c>
      <c r="J57" s="31" t="n">
        <v>15683</v>
      </c>
      <c r="K57" s="31" t="n">
        <v>12098</v>
      </c>
      <c r="L57" s="31" t="n">
        <v>9303</v>
      </c>
      <c r="M57" s="31" t="n">
        <v>5026</v>
      </c>
      <c r="N57" s="31" t="n">
        <v>817</v>
      </c>
      <c r="O57" s="31" t="n">
        <v>0</v>
      </c>
      <c r="P57" s="31" t="n">
        <v>0</v>
      </c>
      <c r="Q57" s="31" t="n">
        <v>0</v>
      </c>
      <c r="R57" s="31" t="n">
        <v>0</v>
      </c>
      <c r="S57" s="31" t="n">
        <v>-135</v>
      </c>
      <c r="T57" s="31" t="n">
        <v>-6481</v>
      </c>
      <c r="U57" s="31" t="n">
        <v>-8197</v>
      </c>
      <c r="V57" s="31" t="n">
        <v>-9534</v>
      </c>
      <c r="W57" s="31" t="n">
        <v>-7611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39551.981341</v>
      </c>
      <c r="E58" s="31" t="n">
        <v>477.737306</v>
      </c>
      <c r="F58" s="31" t="n">
        <v>413.947802</v>
      </c>
      <c r="G58" s="31" t="n">
        <v>344.437305</v>
      </c>
      <c r="H58" s="31" t="n">
        <v>717.413377</v>
      </c>
      <c r="I58" s="31" t="n">
        <v>200.594809</v>
      </c>
      <c r="J58" s="31" t="n">
        <v>123.911946</v>
      </c>
      <c r="K58" s="31" t="n">
        <v>42.314101</v>
      </c>
      <c r="L58" s="31" t="n">
        <v>411.190381</v>
      </c>
      <c r="M58" s="31" t="n">
        <v>-128.840427</v>
      </c>
      <c r="N58" s="31" t="n">
        <v>-221.13264</v>
      </c>
      <c r="O58" s="31" t="n">
        <v>1246.789413</v>
      </c>
      <c r="P58" s="31" t="n">
        <v>2105.632065</v>
      </c>
      <c r="Q58" s="31" t="n">
        <v>3096.995589</v>
      </c>
      <c r="R58" s="31" t="n">
        <v>4363.330608</v>
      </c>
      <c r="S58" s="31" t="n">
        <v>5719.865182</v>
      </c>
      <c r="T58" s="31" t="n">
        <v>307.998103</v>
      </c>
      <c r="U58" s="31" t="n">
        <v>-353.966134</v>
      </c>
      <c r="V58" s="31" t="n">
        <v>-371.764645</v>
      </c>
      <c r="W58" s="31" t="n">
        <v>2749.647201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10000</v>
      </c>
      <c r="D59" s="31" t="n">
        <v>49551.981341</v>
      </c>
      <c r="E59" s="31" t="n">
        <v>50029.718646</v>
      </c>
      <c r="F59" s="31" t="n">
        <v>50443.666448</v>
      </c>
      <c r="G59" s="31" t="n">
        <v>50788.103753</v>
      </c>
      <c r="H59" s="31" t="n">
        <v>51505.51713</v>
      </c>
      <c r="I59" s="31" t="n">
        <v>51706.111939</v>
      </c>
      <c r="J59" s="31" t="n">
        <v>51830.023885</v>
      </c>
      <c r="K59" s="31" t="n">
        <v>51872.337986</v>
      </c>
      <c r="L59" s="31" t="n">
        <v>52283.528367</v>
      </c>
      <c r="M59" s="31" t="n">
        <v>52154.68794</v>
      </c>
      <c r="N59" s="31" t="n">
        <v>51933.555299</v>
      </c>
      <c r="O59" s="31" t="n">
        <v>53180.344712</v>
      </c>
      <c r="P59" s="31" t="n">
        <v>55285.976777</v>
      </c>
      <c r="Q59" s="31" t="n">
        <v>58382.972366</v>
      </c>
      <c r="R59" s="31" t="n">
        <v>62746.302974</v>
      </c>
      <c r="S59" s="31" t="n">
        <v>68466.168156</v>
      </c>
      <c r="T59" s="31" t="n">
        <v>68774.16625900001</v>
      </c>
      <c r="U59" s="31" t="n">
        <v>68420.200125</v>
      </c>
      <c r="V59" s="31" t="n">
        <v>68048.43548</v>
      </c>
      <c r="W59" s="31" t="n">
        <v>70798.082681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8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IF(COUNTIF(I7:I182,"FAIL")=0,"OK","FAIL")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Drivers'!C26:W26</t>
        </is>
      </c>
      <c r="E11" s="39">
        <f>SUMPRODUCT(ABS('Revenue Drivers'!C26:W26-'Model Inputs'!C19:W19))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Inputs'!D24:W24))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Inputs'!C51:W51))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Inputs'!C23:W23))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A27:N66</t>
        </is>
      </c>
      <c r="E16" s="39">
        <f>SUM(ABS('Payroll Schedule'!C15-SUMIFS('Payroll Schedule'!$G$27:$G$66,'Payroll Schedule'!$A$27:$A$66,0)),ABS('Payroll Schedule'!C16-SUMIFS('Payroll Schedule'!$H$27:$H$66,'Payroll Schedule'!$A$27:$A$66,0)),ABS('Payroll Schedule'!C17-SUMIFS('Payroll Schedule'!$M$27:$M$66,'Payroll Schedule'!$A$27:$A$66,0)),ABS('Payroll Schedule'!D15-SUMIFS('Payroll Schedule'!$G$27:$G$66,'Payroll Schedule'!$A$27:$A$66,1)),ABS('Payroll Schedule'!D16-SUMIFS('Payroll Schedule'!$H$27:$H$66,'Payroll Schedule'!$A$27:$A$66,1)),ABS('Payroll Schedule'!D17-SUMIFS('Payroll Schedule'!$M$27:$M$66,'Payroll Schedule'!$A$27:$A$66,1)),ABS('Payroll Schedule'!E15-SUMIFS('Payroll Schedule'!$G$27:$G$66,'Payroll Schedule'!$A$27:$A$66,2)),ABS('Payroll Schedule'!E16-SUMIFS('Payroll Schedule'!$H$27:$H$66,'Payroll Schedule'!$A$27:$A$66,2)),ABS('Payroll Schedule'!E17-SUMIFS('Payroll Schedule'!$M$27:$M$66,'Payroll Schedule'!$A$27:$A$66,2)),ABS('Payroll Schedule'!F15-SUMIFS('Payroll Schedule'!$G$27:$G$66,'Payroll Schedule'!$A$27:$A$66,3)),ABS('Payroll Schedule'!F16-SUMIFS('Payroll Schedule'!$H$27:$H$66,'Payroll Schedule'!$A$27:$A$66,3)),ABS('Payroll Schedule'!F17-SUMIFS('Payroll Schedule'!$M$27:$M$66,'Payroll Schedule'!$A$27:$A$66,3)),ABS('Payroll Schedule'!G15-SUMIFS('Payroll Schedule'!$G$27:$G$66,'Payroll Schedule'!$A$27:$A$66,4)),ABS('Payroll Schedule'!G16-SUMIFS('Payroll Schedule'!$H$27:$H$66,'Payroll Schedule'!$A$27:$A$66,4)),ABS('Payroll Schedule'!G17-SUMIFS('Payroll Schedule'!$M$27:$M$66,'Payroll Schedule'!$A$27:$A$66,4)),ABS('Payroll Schedule'!H15-SUMIFS('Payroll Schedule'!$G$27:$G$66,'Payroll Schedule'!$A$27:$A$66,5)),ABS('Payroll Schedule'!H16-SUMIFS('Payroll Schedule'!$H$27:$H$66,'Payroll Schedule'!$A$27:$A$66,5)),ABS('Payroll Schedule'!H17-SUMIFS('Payroll Schedule'!$M$27:$M$66,'Payroll Schedule'!$A$27:$A$66,5)),ABS('Payroll Schedule'!I15-SUMIFS('Payroll Schedule'!$G$27:$G$66,'Payroll Schedule'!$A$27:$A$66,6)),ABS('Payroll Schedule'!I16-SUMIFS('Payroll Schedule'!$H$27:$H$66,'Payroll Schedule'!$A$27:$A$66,6)),ABS('Payroll Schedule'!I17-SUMIFS('Payroll Schedule'!$M$27:$M$66,'Payroll Schedule'!$A$27:$A$66,6)),ABS('Payroll Schedule'!J15-SUMIFS('Payroll Schedule'!$G$27:$G$66,'Payroll Schedule'!$A$27:$A$66,7)),ABS('Payroll Schedule'!J16-SUMIFS('Payroll Schedule'!$H$27:$H$66,'Payroll Schedule'!$A$27:$A$66,7)),ABS('Payroll Schedule'!J17-SUMIFS('Payroll Schedule'!$M$27:$M$66,'Payroll Schedule'!$A$27:$A$66,7)),ABS('Payroll Schedule'!K15-SUMIFS('Payroll Schedule'!$G$27:$G$66,'Payroll Schedule'!$A$27:$A$66,8)),ABS('Payroll Schedule'!K16-SUMIFS('Payroll Schedule'!$H$27:$H$66,'Payroll Schedule'!$A$27:$A$66,8)),ABS('Payroll Schedule'!K17-SUMIFS('Payroll Schedule'!$M$27:$M$66,'Payroll Schedule'!$A$27:$A$66,8)),ABS('Payroll Schedule'!L15-SUMIFS('Payroll Schedule'!$G$27:$G$66,'Payroll Schedule'!$A$27:$A$66,9)),ABS('Payroll Schedule'!L16-SUMIFS('Payroll Schedule'!$H$27:$H$66,'Payroll Schedule'!$A$27:$A$66,9)),ABS('Payroll Schedule'!L17-SUMIFS('Payroll Schedule'!$M$27:$M$66,'Payroll Schedule'!$A$27:$A$66,9)),ABS('Payroll Schedule'!M15-SUMIFS('Payroll Schedule'!$G$27:$G$66,'Payroll Schedule'!$A$27:$A$66,10)),ABS('Payroll Schedule'!M16-SUMIFS('Payroll Schedule'!$H$27:$H$66,'Payroll Schedule'!$A$27:$A$66,10)),ABS('Payroll Schedule'!M17-SUMIFS('Payroll Schedule'!$M$27:$M$66,'Payroll Schedule'!$A$27:$A$66,10)),ABS('Payroll Schedule'!N15-SUMIFS('Payroll Schedule'!$G$27:$G$66,'Payroll Schedule'!$A$27:$A$66,11)),ABS('Payroll Schedule'!N16-SUMIFS('Payroll Schedule'!$H$27:$H$66,'Payroll Schedule'!$A$27:$A$66,11)),ABS('Payroll Schedule'!N17-SUMIFS('Payroll Schedule'!$M$27:$M$66,'Payroll Schedule'!$A$27:$A$66,11)),ABS('Payroll Schedule'!O15-SUMIFS('Payroll Schedule'!$G$27:$G$66,'Payroll Schedule'!$A$27:$A$66,12)),ABS('Payroll Schedule'!O16-SUMIFS('Payroll Schedule'!$H$27:$H$66,'Payroll Schedule'!$A$27:$A$66,12)),ABS('Payroll Schedule'!O17-SUMIFS('Payroll Schedule'!$M$27:$M$66,'Payroll Schedule'!$A$27:$A$66,12)),ABS('Payroll Schedule'!P15-SUMIFS('Payroll Schedule'!$G$27:$G$66,'Payroll Schedule'!$A$27:$A$66,13)),ABS('Payroll Schedule'!P16-SUMIFS('Payroll Schedule'!$H$27:$H$66,'Payroll Schedule'!$A$27:$A$66,13)),ABS('Payroll Schedule'!P17-SUMIFS('Payroll Schedule'!$M$27:$M$66,'Payroll Schedule'!$A$27:$A$66,13)),ABS('Payroll Schedule'!Q15-SUMIFS('Payroll Schedule'!$G$27:$G$66,'Payroll Schedule'!$A$27:$A$66,14)),ABS('Payroll Schedule'!Q16-SUMIFS('Payroll Schedule'!$H$27:$H$66,'Payroll Schedule'!$A$27:$A$66,14)),ABS('Payroll Schedule'!Q17-SUMIFS('Payroll Schedule'!$M$27:$M$66,'Payroll Schedule'!$A$27:$A$66,14)),ABS('Payroll Schedule'!R15-SUMIFS('Payroll Schedule'!$G$27:$G$66,'Payroll Schedule'!$A$27:$A$66,15)),ABS('Payroll Schedule'!R16-SUMIFS('Payroll Schedule'!$H$27:$H$66,'Payroll Schedule'!$A$27:$A$66,15)),ABS('Payroll Schedule'!R17-SUMIFS('Payroll Schedule'!$M$27:$M$66,'Payroll Schedule'!$A$27:$A$66,15)),ABS('Payroll Schedule'!S15-SUMIFS('Payroll Schedule'!$G$27:$G$66,'Payroll Schedule'!$A$27:$A$66,16)),ABS('Payroll Schedule'!S16-SUMIFS('Payroll Schedule'!$H$27:$H$66,'Payroll Schedule'!$A$27:$A$66,16)),ABS('Payroll Schedule'!S17-SUMIFS('Payroll Schedule'!$M$27:$M$66,'Payroll Schedule'!$A$27:$A$66,16)),ABS('Payroll Schedule'!T15-SUMIFS('Payroll Schedule'!$G$27:$G$66,'Payroll Schedule'!$A$27:$A$66,17)),ABS('Payroll Schedule'!T16-SUMIFS('Payroll Schedule'!$H$27:$H$66,'Payroll Schedule'!$A$27:$A$66,17)),ABS('Payroll Schedule'!T17-SUMIFS('Payroll Schedule'!$M$27:$M$66,'Payroll Schedule'!$A$27:$A$66,17)),ABS('Payroll Schedule'!U15-SUMIFS('Payroll Schedule'!$G$27:$G$66,'Payroll Schedule'!$A$27:$A$66,18)),ABS('Payroll Schedule'!U16-SUMIFS('Payroll Schedule'!$H$27:$H$66,'Payroll Schedule'!$A$27:$A$66,18)),ABS('Payroll Schedule'!U17-SUMIFS('Payroll Schedule'!$M$27:$M$66,'Payroll Schedule'!$A$27:$A$66,18)),ABS('Payroll Schedule'!V15-SUMIFS('Payroll Schedule'!$G$27:$G$66,'Payroll Schedule'!$A$27:$A$66,19)),ABS('Payroll Schedule'!V16-SUMIFS('Payroll Schedule'!$H$27:$H$66,'Payroll Schedule'!$A$27:$A$66,19)),ABS('Payroll Schedule'!V17-SUMIFS('Payroll Schedule'!$M$27:$M$66,'Payroll Schedule'!$A$27:$A$66,19)),ABS('Payroll Schedule'!W15-SUMIFS('Payroll Schedule'!$G$27:$G$66,'Payroll Schedule'!$A$27:$A$66,20)),ABS('Payroll Schedule'!W16-SUMIFS('Payroll Schedule'!$H$27:$H$66,'Payroll Schedule'!$A$27:$A$66,20)),ABS('Payroll Schedule'!W17-SUMIFS('Payroll Schedule'!$M$27:$M$66,'Payroll Schedule'!$A$27:$A$66,20)))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E27:H66</t>
        </is>
      </c>
      <c r="E18" s="39">
        <f>SUMPRODUCT(ABS('Payroll Schedule'!G27:G66-('Payroll Schedule'!E27:E66+'Payroll Schedule'!F27:F66)))+SUMPRODUCT(ABS('Payroll Schedule'!H27:H66-(('Payroll Schedule'!E27:E66+'Payroll Schedule'!G27:G66)/2)))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I27:M66</t>
        </is>
      </c>
      <c r="E19" s="39">
        <f>SUMPRODUCT(ABS('Payroll Schedule'!K27:K66-('Payroll Schedule'!H27:H66*'Payroll Schedule'!I27:I66/4)))+SUMPRODUCT(ABS('Payroll Schedule'!L27:L66-('Payroll Schedule'!K27:K66*'Payroll Schedule'!J27:J66)))+SUMPRODUCT(ABS('Payroll Schedule'!M27:M66-('Payroll Schedule'!K27:K66+'Payroll Schedule'!L27:L66)))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calculation - lob_1_product_2</t>
        </is>
      </c>
      <c r="C23" t="inlineStr">
        <is>
          <t>Revenue Drivers</t>
        </is>
      </c>
      <c r="D23" t="inlineStr">
        <is>
          <t>'Revenue Drivers'!C17:W17</t>
        </is>
      </c>
      <c r="E23" s="39">
        <f>SUMPRODUCT(ABS('Revenue Drivers'!C17:W17-('Revenue Drivers'!C14:W14*'Revenue Drivers'!C15:W15*'Revenue Drivers'!C16:W16)))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Revenue rows must equal capacity x unit price x utilization.</t>
        </is>
      </c>
    </row>
    <row r="24">
      <c r="A24" t="inlineStr">
        <is>
          <t>Formula Logic</t>
        </is>
      </c>
      <c r="B24" t="inlineStr">
        <is>
          <t>Revenue calculation - lob_1_product_3</t>
        </is>
      </c>
      <c r="C24" t="inlineStr">
        <is>
          <t>Revenue Drivers</t>
        </is>
      </c>
      <c r="D24" t="inlineStr">
        <is>
          <t>'Revenue Drivers'!C23:W23</t>
        </is>
      </c>
      <c r="E24" s="39">
        <f>SUMPRODUCT(ABS('Revenue Drivers'!C23:W23-('Revenue Drivers'!C20:W20*'Revenue Drivers'!C21:W21*'Revenue Drivers'!C22:W22)))</f>
        <v/>
      </c>
      <c r="F24" s="39" t="n">
        <v>0</v>
      </c>
      <c r="G24" s="39">
        <f>E24-F24</f>
        <v/>
      </c>
      <c r="H24" s="39" t="n">
        <v>1</v>
      </c>
      <c r="I24" s="40">
        <f>IF(ABS(G24)&lt;=H24,"OK","FAIL")</f>
        <v/>
      </c>
      <c r="J24" t="inlineStr">
        <is>
          <t>Revenue rows must equal capacity x unit price x utilization.</t>
        </is>
      </c>
    </row>
    <row r="25">
      <c r="A25" t="inlineStr">
        <is>
          <t>Formula Logic</t>
        </is>
      </c>
      <c r="B25" t="inlineStr">
        <is>
          <t>Revenue total equals all revenue products</t>
        </is>
      </c>
      <c r="C25" t="inlineStr">
        <is>
          <t>Revenue Drivers</t>
        </is>
      </c>
      <c r="D25" t="inlineStr">
        <is>
          <t>'Revenue Drivers'!C26:W26</t>
        </is>
      </c>
      <c r="E25" s="39">
        <f>SUMPRODUCT(ABS('Revenue Drivers'!C26:W26-('Revenue Drivers'!C11:W11+'Revenue Drivers'!C17:W17+'Revenue Drivers'!C23:W23)))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Total revenue must stay tied to all revenue-product rows.</t>
        </is>
      </c>
    </row>
    <row r="26">
      <c r="A26" t="inlineStr">
        <is>
          <t>Formula Logic</t>
        </is>
      </c>
      <c r="B26" t="inlineStr">
        <is>
          <t>Revenue total capacity equals all capacity products</t>
        </is>
      </c>
      <c r="C26" t="inlineStr">
        <is>
          <t>Revenue Drivers</t>
        </is>
      </c>
      <c r="D26" t="inlineStr">
        <is>
          <t>'Revenue Drivers'!C25:W25</t>
        </is>
      </c>
      <c r="E26" s="39">
        <f>SUMPRODUCT(ABS('Revenue Drivers'!C25:W25-('Revenue Drivers'!C8:W8+'Revenue Drivers'!C14:W14+'Revenue Drivers'!C20:W20)))</f>
        <v/>
      </c>
      <c r="F26" s="39" t="n">
        <v>0</v>
      </c>
      <c r="G26" s="39">
        <f>E26-F26</f>
        <v/>
      </c>
      <c r="H26" s="39" t="n">
        <v>0.01</v>
      </c>
      <c r="I26" s="40">
        <f>IF(ABS(G26)&lt;=H26,"OK","FAIL")</f>
        <v/>
      </c>
      <c r="J26" t="inlineStr">
        <is>
          <t>Total capacity units must stay tied to all revenue-driver capacity rows.</t>
        </is>
      </c>
    </row>
    <row r="27">
      <c r="A27" t="inlineStr">
        <is>
          <t>Formula Logic</t>
        </is>
      </c>
      <c r="B27" t="inlineStr">
        <is>
          <t>Debt opening balance continuity</t>
        </is>
      </c>
      <c r="C27" t="inlineStr">
        <is>
          <t>Debt Schedule</t>
        </is>
      </c>
      <c r="D27" t="inlineStr">
        <is>
          <t>'Debt Schedule'!D7:W7</t>
        </is>
      </c>
      <c r="E27" s="39">
        <f>SUMPRODUCT(ABS('Debt Schedule'!D7:W7-'Debt Schedule'!C11:V11))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Each quarter's opening debt must equal the prior quarter's closing debt.</t>
        </is>
      </c>
    </row>
    <row r="28">
      <c r="A28" t="inlineStr">
        <is>
          <t>Formula Logic</t>
        </is>
      </c>
      <c r="B28" t="inlineStr">
        <is>
          <t>Actual debt repayment cap</t>
        </is>
      </c>
      <c r="C28" t="inlineStr">
        <is>
          <t>Debt Schedule</t>
        </is>
      </c>
      <c r="D28" t="inlineStr">
        <is>
          <t>'Debt Schedule'!C10:W10</t>
        </is>
      </c>
      <c r="E28" s="39">
        <f>SUMPRODUCT(--(('Debt Schedule'!C10:W10-'Debt Schedule'!C9:W9)&gt;1))+SUMPRODUCT(--(('Debt Schedule'!C10:W10-('Debt Schedule'!C7:W7+'Debt Schedule'!C8:W8))&gt;1))</f>
        <v/>
      </c>
      <c r="F28" s="39" t="n">
        <v>0</v>
      </c>
      <c r="G28" s="39">
        <f>E28-F28</f>
        <v/>
      </c>
      <c r="H28" s="39" t="n">
        <v>0</v>
      </c>
      <c r="I28" s="40">
        <f>IF(ABS(G28)&lt;=H28,"OK","FAIL")</f>
        <v/>
      </c>
      <c r="J28" t="inlineStr">
        <is>
          <t>Actual repayment must not exceed requested repayment or available debt balance.</t>
        </is>
      </c>
    </row>
    <row r="29">
      <c r="A29" t="inlineStr">
        <is>
          <t>Formula Logic</t>
        </is>
      </c>
      <c r="B29" t="inlineStr">
        <is>
          <t>Closing debt formula</t>
        </is>
      </c>
      <c r="C29" t="inlineStr">
        <is>
          <t>Debt Schedule</t>
        </is>
      </c>
      <c r="D29" t="inlineStr">
        <is>
          <t>'Debt Schedule'!C11:W11</t>
        </is>
      </c>
      <c r="E29" s="39">
        <f>SUMPRODUCT(ABS('Debt Schedule'!C11:W11-('Debt Schedule'!C7:W7+'Debt Schedule'!C8:W8-'Debt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Closing debt must equal opening debt plus issuance less actual repayment, floored at zero.</t>
        </is>
      </c>
    </row>
    <row r="30">
      <c r="A30" t="inlineStr">
        <is>
          <t>Formula Logic</t>
        </is>
      </c>
      <c r="B30" t="inlineStr">
        <is>
          <t>Interest expense formula</t>
        </is>
      </c>
      <c r="C30" t="inlineStr">
        <is>
          <t>Debt Schedule</t>
        </is>
      </c>
      <c r="D30" t="inlineStr">
        <is>
          <t>'Debt Schedule'!C13:W13</t>
        </is>
      </c>
      <c r="E30" s="39">
        <f>SUMPRODUCT(ABS('Debt Schedule'!C13:W13-((('Debt Schedule'!C7:W7+'Debt Schedule'!C11:W11)/2)*'Debt Schedule'!C12:W12)))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Interest expense must equal average debt balance times interest rate.</t>
        </is>
      </c>
    </row>
    <row r="31">
      <c r="A31" t="inlineStr">
        <is>
          <t>Formula Logic</t>
        </is>
      </c>
      <c r="B31" t="inlineStr">
        <is>
          <t>Debt service formula</t>
        </is>
      </c>
      <c r="C31" t="inlineStr">
        <is>
          <t>Debt Schedule</t>
        </is>
      </c>
      <c r="D31" t="inlineStr">
        <is>
          <t>'Debt Schedule'!C14:W14</t>
        </is>
      </c>
      <c r="E31" s="39">
        <f>SUMPRODUCT(ABS('Debt Schedule'!C14:W14-('Debt Schedule'!C13:W13+'Debt Schedule'!C10:W10)))</f>
        <v/>
      </c>
      <c r="F31" s="39" t="n">
        <v>0</v>
      </c>
      <c r="G31" s="39">
        <f>E31-F31</f>
        <v/>
      </c>
      <c r="H31" s="39" t="n">
        <v>1</v>
      </c>
      <c r="I31" s="40">
        <f>IF(ABS(G31)&lt;=H31,"OK","FAIL")</f>
        <v/>
      </c>
      <c r="J31" t="inlineStr">
        <is>
          <t>Debt service must equal interest expense plus actual debt repayment.</t>
        </is>
      </c>
    </row>
    <row r="32">
      <c r="A32" t="inlineStr">
        <is>
          <t>Formula Logic</t>
        </is>
      </c>
      <c r="B32" t="inlineStr">
        <is>
          <t>Lease opening balance continuity</t>
        </is>
      </c>
      <c r="C32" t="inlineStr">
        <is>
          <t>Debt Schedule</t>
        </is>
      </c>
      <c r="D32" t="inlineStr">
        <is>
          <t>'Debt Schedule'!D18:W18</t>
        </is>
      </c>
      <c r="E32" s="39">
        <f>SUMPRODUCT(ABS('Debt Schedule'!D18:W18-'Debt Schedule'!C23:V23))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Each quarter's opening lease balance must equal the prior quarter's closing lease balance.</t>
        </is>
      </c>
    </row>
    <row r="33">
      <c r="A33" t="inlineStr">
        <is>
          <t>Formula Logic</t>
        </is>
      </c>
      <c r="B33" t="inlineStr">
        <is>
          <t>Lease principal repayment cap</t>
        </is>
      </c>
      <c r="C33" t="inlineStr">
        <is>
          <t>Debt Schedule</t>
        </is>
      </c>
      <c r="D33" t="inlineStr">
        <is>
          <t>'Debt Schedule'!C20:W20</t>
        </is>
      </c>
      <c r="E33" s="39">
        <f>SUMPRODUCT(--(('Debt Schedule'!C20:W20-'Debt Schedule'!C19:W19)&gt;1))+SUMPRODUCT(--(('Debt Schedule'!C20:W20-('Debt Schedule'!C18:W18+'Debt Schedule'!C21:W21))&gt;1))</f>
        <v/>
      </c>
      <c r="F33" s="39" t="n">
        <v>0</v>
      </c>
      <c r="G33" s="39">
        <f>E33-F33</f>
        <v/>
      </c>
      <c r="H33" s="39" t="n">
        <v>0</v>
      </c>
      <c r="I33" s="40">
        <f>IF(ABS(G33)&lt;=H33,"OK","FAIL")</f>
        <v/>
      </c>
      <c r="J33" t="inlineStr">
        <is>
          <t>Lease principal repayment must not exceed requested repayment or available lease balance.</t>
        </is>
      </c>
    </row>
    <row r="34">
      <c r="A34" t="inlineStr">
        <is>
          <t>Formula Logic</t>
        </is>
      </c>
      <c r="B34" t="inlineStr">
        <is>
          <t>Lease closing balance formula</t>
        </is>
      </c>
      <c r="C34" t="inlineStr">
        <is>
          <t>Debt Schedule</t>
        </is>
      </c>
      <c r="D34" t="inlineStr">
        <is>
          <t>'Debt Schedule'!C23:W23</t>
        </is>
      </c>
      <c r="E34" s="39">
        <f>SUMPRODUCT(ABS('Debt Schedule'!C23:W23-('Debt Schedule'!C18:W18+'Debt Schedule'!C21:W21-'Debt Schedule'!C20:W20)))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Lease closing balance must equal opening balance plus additions less principal repayment, floored at zero.</t>
        </is>
      </c>
    </row>
    <row r="35">
      <c r="A35" t="inlineStr">
        <is>
          <t>Formula Logic</t>
        </is>
      </c>
      <c r="B35" t="inlineStr">
        <is>
          <t>PPE opening balance continuity</t>
        </is>
      </c>
      <c r="C35" t="inlineStr">
        <is>
          <t>CapEx Depreciation</t>
        </is>
      </c>
      <c r="D35" t="inlineStr">
        <is>
          <t>'CapEx Depreciation'!D7:W7</t>
        </is>
      </c>
      <c r="E35" s="39">
        <f>SUMPRODUCT(ABS('CapEx Depreciation'!D7:W7-'CapEx Depreciation'!C12:V12))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Each quarter's opening PPE must equal the prior quarter's closing PPE.</t>
        </is>
      </c>
    </row>
    <row r="36">
      <c r="A36" t="inlineStr">
        <is>
          <t>Formula Logic</t>
        </is>
      </c>
      <c r="B36" t="inlineStr">
        <is>
          <t>Depreciation expense formula</t>
        </is>
      </c>
      <c r="C36" t="inlineStr">
        <is>
          <t>CapEx Depreciation</t>
        </is>
      </c>
      <c r="D36" t="inlineStr">
        <is>
          <t>'CapEx Depreciation'!C11:W11</t>
        </is>
      </c>
      <c r="E36" s="39">
        <f>SUMPRODUCT(ABS('CapEx Depreciation'!C11:W11-('CapEx Depreciation'!C7:W7*'CapEx Depreciation'!C10:W10)))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Depreciation must equal opening PPE times rate, capped at opening PPE.</t>
        </is>
      </c>
    </row>
    <row r="37">
      <c r="A37" t="inlineStr">
        <is>
          <t>Formula Logic</t>
        </is>
      </c>
      <c r="B37" t="inlineStr">
        <is>
          <t>Closing PPE formula</t>
        </is>
      </c>
      <c r="C37" t="inlineStr">
        <is>
          <t>CapEx Depreciation</t>
        </is>
      </c>
      <c r="D37" t="inlineStr">
        <is>
          <t>'CapEx Depreciation'!C12:W12</t>
        </is>
      </c>
      <c r="E37" s="39">
        <f>SUMPRODUCT(ABS('CapEx Depreciation'!C12:W12-('CapEx Depreciation'!C7:W7+'CapEx Depreciation'!C8:W8+'CapEx Depreciation'!C9:W9-'CapEx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Closing PPE must include capex and lease additions and subtract depreciation.</t>
        </is>
      </c>
    </row>
    <row r="38">
      <c r="A38" t="inlineStr">
        <is>
          <t>Formula Logic</t>
        </is>
      </c>
      <c r="B38" t="inlineStr">
        <is>
          <t>Accumulated depreciation continuity</t>
        </is>
      </c>
      <c r="C38" t="inlineStr">
        <is>
          <t>CapEx Depreciation</t>
        </is>
      </c>
      <c r="D38" t="inlineStr">
        <is>
          <t>'CapEx Depreciation'!D13:W13</t>
        </is>
      </c>
      <c r="E38" s="39">
        <f>SUMPRODUCT(ABS('CapEx Depreciation'!D13:W13-'CapEx Depreciation'!C14:V14))</f>
        <v/>
      </c>
      <c r="F38" s="39" t="n">
        <v>0</v>
      </c>
      <c r="G38" s="39">
        <f>E38-F38</f>
        <v/>
      </c>
      <c r="H38" s="39" t="n">
        <v>1</v>
      </c>
      <c r="I38" s="40">
        <f>IF(ABS(G38)&lt;=H38,"OK","FAIL")</f>
        <v/>
      </c>
      <c r="J38" t="inlineStr">
        <is>
          <t>Opening accumulated depreciation must equal the prior quarter's accumulated depreciation.</t>
        </is>
      </c>
    </row>
    <row r="39">
      <c r="A39" t="inlineStr">
        <is>
          <t>Formula Logic</t>
        </is>
      </c>
      <c r="B39" t="inlineStr">
        <is>
          <t>Accumulated depreciation formula</t>
        </is>
      </c>
      <c r="C39" t="inlineStr">
        <is>
          <t>CapEx Depreciation</t>
        </is>
      </c>
      <c r="D39" t="inlineStr">
        <is>
          <t>'CapEx Depreciation'!C14:W14</t>
        </is>
      </c>
      <c r="E39" s="39">
        <f>SUMPRODUCT(ABS('CapEx Depreciation'!C14:W14-('CapEx Depreciation'!C13:W13-'CapEx Depreciation'!C11:W11)))</f>
        <v/>
      </c>
      <c r="F39" s="39" t="n">
        <v>0</v>
      </c>
      <c r="G39" s="39">
        <f>E39-F39</f>
        <v/>
      </c>
      <c r="H39" s="39" t="n">
        <v>1</v>
      </c>
      <c r="I39" s="40">
        <f>IF(ABS(G39)&lt;=H39,"OK","FAIL")</f>
        <v/>
      </c>
      <c r="J39" t="inlineStr">
        <is>
          <t>Accumulated depreciation must roll forward by depreciation expense.</t>
        </is>
      </c>
    </row>
    <row r="41">
      <c r="A41" s="7" t="inlineStr">
        <is>
          <t>Formula Manifest by Line Item</t>
        </is>
      </c>
    </row>
    <row r="42">
      <c r="A42" t="inlineStr">
        <is>
          <t>Formula Manifest</t>
        </is>
      </c>
      <c r="B42" t="inlineStr">
        <is>
          <t>Revenue Drivers - Total Revenue</t>
        </is>
      </c>
      <c r="C42" t="inlineStr">
        <is>
          <t>Revenue Drivers</t>
        </is>
      </c>
      <c r="D42" t="inlineStr">
        <is>
          <t>'Revenue Drivers'!C26:W26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Revenue Drivers - Total Capacity Units</t>
        </is>
      </c>
      <c r="C43" t="inlineStr">
        <is>
          <t>Revenue Drivers</t>
        </is>
      </c>
      <c r="D43" t="inlineStr">
        <is>
          <t>'Revenue Drivers'!C25:W25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Revenue Drivers - Actual Revenue QoQ Growth</t>
        </is>
      </c>
      <c r="C44" t="inlineStr">
        <is>
          <t>Revenue Drivers</t>
        </is>
      </c>
      <c r="D44" t="inlineStr">
        <is>
          <t>'Revenue Drivers'!C29:W29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Ending FTE</t>
        </is>
      </c>
      <c r="C45" t="inlineStr">
        <is>
          <t>Payroll Schedule</t>
        </is>
      </c>
      <c r="D45" t="inlineStr">
        <is>
          <t>'Payroll Schedule'!C15:W15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Average FTE</t>
        </is>
      </c>
      <c r="C46" t="inlineStr">
        <is>
          <t>Payroll Schedule</t>
        </is>
      </c>
      <c r="D46" t="inlineStr">
        <is>
          <t>'Payroll Schedule'!C16:W16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Payroll</t>
        </is>
      </c>
      <c r="C47" t="inlineStr">
        <is>
          <t>Payroll Schedule</t>
        </is>
      </c>
      <c r="D47" t="inlineStr">
        <is>
          <t>'Payroll Schedule'!C17:W17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Total Revenue</t>
        </is>
      </c>
      <c r="C48" t="inlineStr">
        <is>
          <t>Payroll Schedule</t>
        </is>
      </c>
      <c r="D48" t="inlineStr">
        <is>
          <t>'Payroll Schedule'!C18:W18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Total Capacity Units</t>
        </is>
      </c>
      <c r="C49" t="inlineStr">
        <is>
          <t>Payroll Schedule</t>
        </is>
      </c>
      <c r="D49" t="inlineStr">
        <is>
          <t>'Payroll Schedule'!C19:W19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Revenue per Employee</t>
        </is>
      </c>
      <c r="C50" t="inlineStr">
        <is>
          <t>Payroll Schedule</t>
        </is>
      </c>
      <c r="D50" t="inlineStr">
        <is>
          <t>'Payroll Schedule'!C20:W20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Payroll Schedule - Units per Employee</t>
        </is>
      </c>
      <c r="C51" t="inlineStr">
        <is>
          <t>Payroll Schedule</t>
        </is>
      </c>
      <c r="D51" t="inlineStr">
        <is>
          <t>'Payroll Schedule'!C21:W21</t>
        </is>
      </c>
      <c r="E51" s="39">
        <f>21</f>
        <v/>
      </c>
      <c r="F51" s="39" t="n">
        <v>21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Payroll Schedule - Payroll % of Revenue</t>
        </is>
      </c>
      <c r="C52" t="inlineStr">
        <is>
          <t>Payroll Schedule</t>
        </is>
      </c>
      <c r="D52" t="inlineStr">
        <is>
          <t>'Payroll Schedule'!C22:W22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CapEx Schedule - Lease Additions</t>
        </is>
      </c>
      <c r="C53" t="inlineStr">
        <is>
          <t>CapEx Depreciation</t>
        </is>
      </c>
      <c r="D53" t="inlineStr">
        <is>
          <t>'CapEx Depreciation'!D9:W9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CapEx Schedule - Closing PPE</t>
        </is>
      </c>
      <c r="C54" t="inlineStr">
        <is>
          <t>CapEx Depreciation</t>
        </is>
      </c>
      <c r="D54" t="inlineStr">
        <is>
          <t>'CapEx Depreciation'!C12:W12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Opening Debt</t>
        </is>
      </c>
      <c r="C55" t="inlineStr">
        <is>
          <t>Debt Schedule</t>
        </is>
      </c>
      <c r="D55" t="inlineStr">
        <is>
          <t>'Debt Schedule'!D7:W7</t>
        </is>
      </c>
      <c r="E55" s="39">
        <f>20</f>
        <v/>
      </c>
      <c r="F55" s="39" t="n">
        <v>20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Actual Debt Repayment</t>
        </is>
      </c>
      <c r="C56" t="inlineStr">
        <is>
          <t>Debt Schedule</t>
        </is>
      </c>
      <c r="D56" t="inlineStr">
        <is>
          <t>'Debt Schedule'!C10:W10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Closing Debt</t>
        </is>
      </c>
      <c r="C57" t="inlineStr">
        <is>
          <t>Debt Schedule</t>
        </is>
      </c>
      <c r="D57" t="inlineStr">
        <is>
          <t>'Debt Schedule'!C11:W11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Interest Expense</t>
        </is>
      </c>
      <c r="C58" t="inlineStr">
        <is>
          <t>Debt Schedule</t>
        </is>
      </c>
      <c r="D58" t="inlineStr">
        <is>
          <t>'Debt Schedule'!C13:W13</t>
        </is>
      </c>
      <c r="E58" s="39">
        <f>21</f>
        <v/>
      </c>
      <c r="F58" s="39" t="n">
        <v>21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Total Debt Service</t>
        </is>
      </c>
      <c r="C59" t="inlineStr">
        <is>
          <t>Debt Schedule</t>
        </is>
      </c>
      <c r="D59" t="inlineStr">
        <is>
          <t>'Debt Schedule'!C14:W14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Opening Balance</t>
        </is>
      </c>
      <c r="C60" t="inlineStr">
        <is>
          <t>Debt Schedule</t>
        </is>
      </c>
      <c r="D60" t="inlineStr">
        <is>
          <t>'Debt Schedule'!D18:W18</t>
        </is>
      </c>
      <c r="E60" s="39">
        <f>20</f>
        <v/>
      </c>
      <c r="F60" s="39" t="n">
        <v>20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Debt Schedule - Lease Principal Repayments</t>
        </is>
      </c>
      <c r="C61" t="inlineStr">
        <is>
          <t>Debt Schedule</t>
        </is>
      </c>
      <c r="D61" t="inlineStr">
        <is>
          <t>'Debt Schedule'!C20:W20</t>
        </is>
      </c>
      <c r="E61" s="39">
        <f>21</f>
        <v/>
      </c>
      <c r="F61" s="39" t="n">
        <v>21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Debt Schedule - Lease Closing Balance</t>
        </is>
      </c>
      <c r="C62" t="inlineStr">
        <is>
          <t>Debt Schedule</t>
        </is>
      </c>
      <c r="D62" t="inlineStr">
        <is>
          <t>'Debt Schedule'!C23:W23</t>
        </is>
      </c>
      <c r="E62" s="39">
        <f>21</f>
        <v/>
      </c>
      <c r="F62" s="39" t="n">
        <v>21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Ending FTE</t>
        </is>
      </c>
      <c r="C63" t="inlineStr">
        <is>
          <t>Payroll Schedule</t>
        </is>
      </c>
      <c r="D63" t="inlineStr">
        <is>
          <t>'Payroll Schedule'!G27:G66</t>
        </is>
      </c>
      <c r="E63" s="39">
        <f>40</f>
        <v/>
      </c>
      <c r="F63" s="39" t="n">
        <v>40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Average FTE</t>
        </is>
      </c>
      <c r="C64" t="inlineStr">
        <is>
          <t>Payroll Schedule</t>
        </is>
      </c>
      <c r="D64" t="inlineStr">
        <is>
          <t>'Payroll Schedule'!H27:H66</t>
        </is>
      </c>
      <c r="E64" s="39">
        <f>40</f>
        <v/>
      </c>
      <c r="F64" s="39" t="n">
        <v>40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Wage Cost</t>
        </is>
      </c>
      <c r="C65" t="inlineStr">
        <is>
          <t>Payroll Schedule</t>
        </is>
      </c>
      <c r="D65" t="inlineStr">
        <is>
          <t>'Payroll Schedule'!K27:K66</t>
        </is>
      </c>
      <c r="E65" s="39">
        <f>40</f>
        <v/>
      </c>
      <c r="F65" s="39" t="n">
        <v>40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Payroll Detail - Taxes &amp; Benefits</t>
        </is>
      </c>
      <c r="C66" t="inlineStr">
        <is>
          <t>Payroll Schedule</t>
        </is>
      </c>
      <c r="D66" t="inlineStr">
        <is>
          <t>'Payroll Schedule'!L27:L66</t>
        </is>
      </c>
      <c r="E66" s="39">
        <f>40</f>
        <v/>
      </c>
      <c r="F66" s="39" t="n">
        <v>40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Payroll Detail - Total Payroll</t>
        </is>
      </c>
      <c r="C67" t="inlineStr">
        <is>
          <t>Payroll Schedule</t>
        </is>
      </c>
      <c r="D67" t="inlineStr">
        <is>
          <t>'Payroll Schedule'!M27:M66</t>
        </is>
      </c>
      <c r="E67" s="39">
        <f>40</f>
        <v/>
      </c>
      <c r="F67" s="39" t="n">
        <v>40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revenue::lob_1_product_1::Capacity</t>
        </is>
      </c>
      <c r="C68" t="inlineStr">
        <is>
          <t>Model Inputs</t>
        </is>
      </c>
      <c r="D68" t="inlineStr">
        <is>
          <t>'Model Inputs'!C7:W7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revenue::lob_1_product_1::Unit Price</t>
        </is>
      </c>
      <c r="C69" t="inlineStr">
        <is>
          <t>Model Inputs</t>
        </is>
      </c>
      <c r="D69" t="inlineStr">
        <is>
          <t>'Model Inputs'!C8:W8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revenue::lob_1_product_1::Utilization</t>
        </is>
      </c>
      <c r="C70" t="inlineStr">
        <is>
          <t>Model Inputs</t>
        </is>
      </c>
      <c r="D70" t="inlineStr">
        <is>
          <t>'Model Inputs'!C9:W9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revenue::lob_1_product_1::Revenue</t>
        </is>
      </c>
      <c r="C71" t="inlineStr">
        <is>
          <t>Model Inputs</t>
        </is>
      </c>
      <c r="D71" t="inlineStr">
        <is>
          <t>'Model Inputs'!C10:W10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revenue::lob_1_product_2::Capacity</t>
        </is>
      </c>
      <c r="C72" t="inlineStr">
        <is>
          <t>Model Inputs</t>
        </is>
      </c>
      <c r="D72" t="inlineStr">
        <is>
          <t>'Model Inputs'!C11:W11</t>
        </is>
      </c>
      <c r="E72" s="39">
        <f>21</f>
        <v/>
      </c>
      <c r="F72" s="39" t="n">
        <v>21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revenue::lob_1_product_2::Unit Price</t>
        </is>
      </c>
      <c r="C73" t="inlineStr">
        <is>
          <t>Model Inputs</t>
        </is>
      </c>
      <c r="D73" t="inlineStr">
        <is>
          <t>'Model Inputs'!C12:W12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revenue::lob_1_product_2::Utilization</t>
        </is>
      </c>
      <c r="C74" t="inlineStr">
        <is>
          <t>Model Inputs</t>
        </is>
      </c>
      <c r="D74" t="inlineStr">
        <is>
          <t>'Model Inputs'!C13:W13</t>
        </is>
      </c>
      <c r="E74" s="39">
        <f>21</f>
        <v/>
      </c>
      <c r="F74" s="39" t="n">
        <v>21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revenue::lob_1_product_2::Revenue</t>
        </is>
      </c>
      <c r="C75" t="inlineStr">
        <is>
          <t>Model Inputs</t>
        </is>
      </c>
      <c r="D75" t="inlineStr">
        <is>
          <t>'Model Inputs'!C14:W14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revenue::lob_1_product_3::Capacity</t>
        </is>
      </c>
      <c r="C76" t="inlineStr">
        <is>
          <t>Model Inputs</t>
        </is>
      </c>
      <c r="D76" t="inlineStr">
        <is>
          <t>'Model Inputs'!C15:W15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revenue::lob_1_product_3::Unit Price</t>
        </is>
      </c>
      <c r="C77" t="inlineStr">
        <is>
          <t>Model Inputs</t>
        </is>
      </c>
      <c r="D77" t="inlineStr">
        <is>
          <t>'Model Inputs'!C16:W16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revenue::lob_1_product_3::Utilization</t>
        </is>
      </c>
      <c r="C78" t="inlineStr">
        <is>
          <t>Model Inputs</t>
        </is>
      </c>
      <c r="D78" t="inlineStr">
        <is>
          <t>'Model Inputs'!C17:W17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revenue::lob_1_product_3::Revenue</t>
        </is>
      </c>
      <c r="C79" t="inlineStr">
        <is>
          <t>Model Inputs</t>
        </is>
      </c>
      <c r="D79" t="inlineStr">
        <is>
          <t>'Model Inputs'!C18:W18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is::Revenue</t>
        </is>
      </c>
      <c r="C80" t="inlineStr">
        <is>
          <t>Model Inputs</t>
        </is>
      </c>
      <c r="D80" t="inlineStr">
        <is>
          <t>'Model Inputs'!C19:W19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is::Lease</t>
        </is>
      </c>
      <c r="C81" t="inlineStr">
        <is>
          <t>Model Inputs</t>
        </is>
      </c>
      <c r="D81" t="inlineStr">
        <is>
          <t>'Model Inputs'!C23:W23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is::Payroll</t>
        </is>
      </c>
      <c r="C82" t="inlineStr">
        <is>
          <t>Model Inputs</t>
        </is>
      </c>
      <c r="D82" t="inlineStr">
        <is>
          <t>'Model Inputs'!D24:W24</t>
        </is>
      </c>
      <c r="E82" s="39">
        <f>20</f>
        <v/>
      </c>
      <c r="F82" s="39" t="n">
        <v>20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is::Interest Rate</t>
        </is>
      </c>
      <c r="C83" t="inlineStr">
        <is>
          <t>Model Inputs</t>
        </is>
      </c>
      <c r="D83" t="inlineStr">
        <is>
          <t>'Model Inputs'!C26:W26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is::Interest Expense</t>
        </is>
      </c>
      <c r="C84" t="inlineStr">
        <is>
          <t>Model Inputs</t>
        </is>
      </c>
      <c r="D84" t="inlineStr">
        <is>
          <t>'Model Inputs'!D27:W27</t>
        </is>
      </c>
      <c r="E84" s="39">
        <f>20</f>
        <v/>
      </c>
      <c r="F84" s="39" t="n">
        <v>20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is::Depreciation</t>
        </is>
      </c>
      <c r="C85" t="inlineStr">
        <is>
          <t>Model Inputs</t>
        </is>
      </c>
      <c r="D85" t="inlineStr">
        <is>
          <t>'Model Inputs'!C28:W28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is::Depreciation Expense</t>
        </is>
      </c>
      <c r="C86" t="inlineStr">
        <is>
          <t>Model Inputs</t>
        </is>
      </c>
      <c r="D86" t="inlineStr">
        <is>
          <t>'Model Inputs'!C29:W29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bs::Accounts Receivable Days</t>
        </is>
      </c>
      <c r="C87" t="inlineStr">
        <is>
          <t>Model Inputs</t>
        </is>
      </c>
      <c r="D87" t="inlineStr">
        <is>
          <t>'Model Inputs'!C33:W33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bs::Inventory Days</t>
        </is>
      </c>
      <c r="C88" t="inlineStr">
        <is>
          <t>Model Inputs</t>
        </is>
      </c>
      <c r="D88" t="inlineStr">
        <is>
          <t>'Model Inputs'!C34:W34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bs::Accounts Payable Days</t>
        </is>
      </c>
      <c r="C89" t="inlineStr">
        <is>
          <t>Model Inputs</t>
        </is>
      </c>
      <c r="D89" t="inlineStr">
        <is>
          <t>'Model Inputs'!C35:W35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bs::Prepaid Expenses (% of Revenue)</t>
        </is>
      </c>
      <c r="C90" t="inlineStr">
        <is>
          <t>Model Inputs</t>
        </is>
      </c>
      <c r="D90" t="inlineStr">
        <is>
          <t>'Model Inputs'!C36:W36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bs::Deferred Revenue (% of Revenue)</t>
        </is>
      </c>
      <c r="C91" t="inlineStr">
        <is>
          <t>Model Inputs</t>
        </is>
      </c>
      <c r="D91" t="inlineStr">
        <is>
          <t>'Model Inputs'!C37:W37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bs::Short Term Debt (% of LTD)</t>
        </is>
      </c>
      <c r="C92" t="inlineStr">
        <is>
          <t>Model Inputs</t>
        </is>
      </c>
      <c r="D92" t="inlineStr">
        <is>
          <t>'Model Inputs'!C38:W38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bs::Owner's Capital</t>
        </is>
      </c>
      <c r="C93" t="inlineStr">
        <is>
          <t>Model Inputs</t>
        </is>
      </c>
      <c r="D93" t="inlineStr">
        <is>
          <t>'Model Inputs'!C39:W39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bs::Other Equity</t>
        </is>
      </c>
      <c r="C94" t="inlineStr">
        <is>
          <t>Model Inputs</t>
        </is>
      </c>
      <c r="D94" t="inlineStr">
        <is>
          <t>'Model Inputs'!C40:W40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bs::Distributions</t>
        </is>
      </c>
      <c r="C95" t="inlineStr">
        <is>
          <t>Model Inputs</t>
        </is>
      </c>
      <c r="D95" t="inlineStr">
        <is>
          <t>'Model Inputs'!C41:W41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cash::Cash Opening Balance</t>
        </is>
      </c>
      <c r="C96" t="inlineStr">
        <is>
          <t>Model Inputs</t>
        </is>
      </c>
      <c r="D96" t="inlineStr">
        <is>
          <t>'Model Inputs'!C44:W44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cash::Accounts Receivable Opening Balance</t>
        </is>
      </c>
      <c r="C97" t="inlineStr">
        <is>
          <t>Model Inputs</t>
        </is>
      </c>
      <c r="D97" t="inlineStr">
        <is>
          <t>'Model Inputs'!C45:W45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cash::Inventory Opening Balance</t>
        </is>
      </c>
      <c r="C98" t="inlineStr">
        <is>
          <t>Model Inputs</t>
        </is>
      </c>
      <c r="D98" t="inlineStr">
        <is>
          <t>'Model Inputs'!C46:W46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cash::Accounts Payable Opening Balance</t>
        </is>
      </c>
      <c r="C99" t="inlineStr">
        <is>
          <t>Model Inputs</t>
        </is>
      </c>
      <c r="D99" t="inlineStr">
        <is>
          <t>'Model Inputs'!C47:W47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cash::Short Term Debt Opening Balance</t>
        </is>
      </c>
      <c r="C100" t="inlineStr">
        <is>
          <t>Model Inputs</t>
        </is>
      </c>
      <c r="D100" t="inlineStr">
        <is>
          <t>'Model Inputs'!C48:W48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cash::Debt Opening Balance</t>
        </is>
      </c>
      <c r="C101" t="inlineStr">
        <is>
          <t>Model Inputs</t>
        </is>
      </c>
      <c r="D101" t="inlineStr">
        <is>
          <t>'Model Inputs'!C49:W49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cash::Debt Issuance</t>
        </is>
      </c>
      <c r="C102" t="inlineStr">
        <is>
          <t>Model Inputs</t>
        </is>
      </c>
      <c r="D102" t="inlineStr">
        <is>
          <t>'Model Inputs'!C50:W50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cash::Debt Repayment</t>
        </is>
      </c>
      <c r="C103" t="inlineStr">
        <is>
          <t>Model Inputs</t>
        </is>
      </c>
      <c r="D103" t="inlineStr">
        <is>
          <t>'Model Inputs'!C51:W51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cash::Debt Closing Balance</t>
        </is>
      </c>
      <c r="C104" t="inlineStr">
        <is>
          <t>Model Inputs</t>
        </is>
      </c>
      <c r="D104" t="inlineStr">
        <is>
          <t>'Model Inputs'!C52:W52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Model Inputs - cash::Lease Opening Balance</t>
        </is>
      </c>
      <c r="C105" t="inlineStr">
        <is>
          <t>Model Inputs</t>
        </is>
      </c>
      <c r="D105" t="inlineStr">
        <is>
          <t>'Model Inputs'!C53:W53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Formula bridge rows in Model Inputs must stay linked to schedules.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Model Inputs - cash::Lease Principal Repayments</t>
        </is>
      </c>
      <c r="C106" t="inlineStr">
        <is>
          <t>Model Inputs</t>
        </is>
      </c>
      <c r="D106" t="inlineStr">
        <is>
          <t>'Model Inputs'!C54:W54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Formula bridge rows in Model Inputs must stay linked to schedules.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Model Inputs - cash::Lease Net Additions</t>
        </is>
      </c>
      <c r="C107" t="inlineStr">
        <is>
          <t>Model Inputs</t>
        </is>
      </c>
      <c r="D107" t="inlineStr">
        <is>
          <t>'Model Inputs'!C55:W55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Formula bridge rows in Model Inputs must stay linked to schedules.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Model Inputs - cash::Lease Interest Expense</t>
        </is>
      </c>
      <c r="C108" t="inlineStr">
        <is>
          <t>Model Inputs</t>
        </is>
      </c>
      <c r="D108" t="inlineStr">
        <is>
          <t>'Model Inputs'!C56:W56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Formula bridge rows in Model Inputs must stay linked to schedules.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Model Inputs - cash::Lease Closing Balance</t>
        </is>
      </c>
      <c r="C109" t="inlineStr">
        <is>
          <t>Model Inputs</t>
        </is>
      </c>
      <c r="D109" t="inlineStr">
        <is>
          <t>'Model Inputs'!C57:W57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Formula bridge rows in Model Inputs must stay linked to schedules.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Model Inputs - cash::Right-of-Use Asset</t>
        </is>
      </c>
      <c r="C110" t="inlineStr">
        <is>
          <t>Model Inputs</t>
        </is>
      </c>
      <c r="D110" t="inlineStr">
        <is>
          <t>'Model Inputs'!C58:W58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Formula bridge rows in Model Inputs must stay linked to schedules.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Model Inputs - cash::Lease Asset Depreciation</t>
        </is>
      </c>
      <c r="C111" t="inlineStr">
        <is>
          <t>Model Inputs</t>
        </is>
      </c>
      <c r="D111" t="inlineStr">
        <is>
          <t>'Model Inputs'!C59:W59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Formula bridge rows in Model Inputs must stay linked to schedules.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Model Inputs - cash::Capital Expenditures</t>
        </is>
      </c>
      <c r="C112" t="inlineStr">
        <is>
          <t>Model Inputs</t>
        </is>
      </c>
      <c r="D112" t="inlineStr">
        <is>
          <t>'Model Inputs'!C60:W60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Formula bridge rows in Model Inputs must stay linked to schedules.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Model Inputs - cash::PPE Closing Balance</t>
        </is>
      </c>
      <c r="C113" t="inlineStr">
        <is>
          <t>Model Inputs</t>
        </is>
      </c>
      <c r="D113" t="inlineStr">
        <is>
          <t>'Model Inputs'!C61:W61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Formula bridge rows in Model Inputs must stay linked to schedules.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Model Inputs - cash::Accumulated Depreciation</t>
        </is>
      </c>
      <c r="C114" t="inlineStr">
        <is>
          <t>Model Inputs</t>
        </is>
      </c>
      <c r="D114" t="inlineStr">
        <is>
          <t>'Model Inputs'!C62:W62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Formula bridge rows in Model Inputs must stay linked to schedules.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Revenue</t>
        </is>
      </c>
      <c r="C115" t="inlineStr">
        <is>
          <t>FINMO</t>
        </is>
      </c>
      <c r="D115" t="inlineStr">
        <is>
          <t>'FINMO'!C8:W8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Cost of Goods Sold</t>
        </is>
      </c>
      <c r="C116" t="inlineStr">
        <is>
          <t>FINMO</t>
        </is>
      </c>
      <c r="D116" t="inlineStr">
        <is>
          <t>'FINMO'!C9:W9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Gross Profit</t>
        </is>
      </c>
      <c r="C117" t="inlineStr">
        <is>
          <t>FINMO</t>
        </is>
      </c>
      <c r="D117" t="inlineStr">
        <is>
          <t>'FINMO'!C10:W10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Income Statement - Marketing</t>
        </is>
      </c>
      <c r="C118" t="inlineStr">
        <is>
          <t>FINMO</t>
        </is>
      </c>
      <c r="D118" t="inlineStr">
        <is>
          <t>'FINMO'!C11:W11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Income Statement - Research &amp; Development</t>
        </is>
      </c>
      <c r="C119" t="inlineStr">
        <is>
          <t>FINMO</t>
        </is>
      </c>
      <c r="D119" t="inlineStr">
        <is>
          <t>'FINMO'!C12:W12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Income Statement - Lease/Rent</t>
        </is>
      </c>
      <c r="C120" t="inlineStr">
        <is>
          <t>FINMO</t>
        </is>
      </c>
      <c r="D120" t="inlineStr">
        <is>
          <t>'FINMO'!C13:W13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Income Statement - Payroll</t>
        </is>
      </c>
      <c r="C121" t="inlineStr">
        <is>
          <t>FINMO</t>
        </is>
      </c>
      <c r="D121" t="inlineStr">
        <is>
          <t>'FINMO'!C14:W14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Income Statement - General &amp; Administrative</t>
        </is>
      </c>
      <c r="C122" t="inlineStr">
        <is>
          <t>FINMO</t>
        </is>
      </c>
      <c r="D122" t="inlineStr">
        <is>
          <t>'FINMO'!C15:W15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Income Statement - EBITDA</t>
        </is>
      </c>
      <c r="C123" t="inlineStr">
        <is>
          <t>FINMO</t>
        </is>
      </c>
      <c r="D123" t="inlineStr">
        <is>
          <t>'FINMO'!C16:W16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Income Statement - Interest</t>
        </is>
      </c>
      <c r="C124" t="inlineStr">
        <is>
          <t>FINMO</t>
        </is>
      </c>
      <c r="D124" t="inlineStr">
        <is>
          <t>'FINMO'!C17:W17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Income Statement - Depreciation</t>
        </is>
      </c>
      <c r="C125" t="inlineStr">
        <is>
          <t>FINMO</t>
        </is>
      </c>
      <c r="D125" t="inlineStr">
        <is>
          <t>'FINMO'!C18:W18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Income Statement - Taxes</t>
        </is>
      </c>
      <c r="C126" t="inlineStr">
        <is>
          <t>FINMO</t>
        </is>
      </c>
      <c r="D126" t="inlineStr">
        <is>
          <t>'FINMO'!C19:W19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Income Statement - Net Income</t>
        </is>
      </c>
      <c r="C127" t="inlineStr">
        <is>
          <t>FINMO</t>
        </is>
      </c>
      <c r="D127" t="inlineStr">
        <is>
          <t>'FINMO'!C20:W20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Cash</t>
        </is>
      </c>
      <c r="C128" t="inlineStr">
        <is>
          <t>FINMO</t>
        </is>
      </c>
      <c r="D128" t="inlineStr">
        <is>
          <t>'FINMO'!C23:W23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Accounts Receivable</t>
        </is>
      </c>
      <c r="C129" t="inlineStr">
        <is>
          <t>FINMO</t>
        </is>
      </c>
      <c r="D129" t="inlineStr">
        <is>
          <t>'FINMO'!C24:W24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Inventory</t>
        </is>
      </c>
      <c r="C130" t="inlineStr">
        <is>
          <t>FINMO</t>
        </is>
      </c>
      <c r="D130" t="inlineStr">
        <is>
          <t>'FINMO'!C25:W25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Prepaid Expenses</t>
        </is>
      </c>
      <c r="C131" t="inlineStr">
        <is>
          <t>FINMO</t>
        </is>
      </c>
      <c r="D131" t="inlineStr">
        <is>
          <t>'FINMO'!C26:W26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Current Assets</t>
        </is>
      </c>
      <c r="C132" t="inlineStr">
        <is>
          <t>FINMO</t>
        </is>
      </c>
      <c r="D132" t="inlineStr">
        <is>
          <t>'FINMO'!C27:W27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PPE</t>
        </is>
      </c>
      <c r="C133" t="inlineStr">
        <is>
          <t>FINMO</t>
        </is>
      </c>
      <c r="D133" t="inlineStr">
        <is>
          <t>'FINMO'!C28:W28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Right-of-Use Asset (Capital Lease)</t>
        </is>
      </c>
      <c r="C134" t="inlineStr">
        <is>
          <t>FINMO</t>
        </is>
      </c>
      <c r="D134" t="inlineStr">
        <is>
          <t>'FINMO'!C29:W29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Accumulated Depreciation</t>
        </is>
      </c>
      <c r="C135" t="inlineStr">
        <is>
          <t>FINMO</t>
        </is>
      </c>
      <c r="D135" t="inlineStr">
        <is>
          <t>'FINMO'!C30:W30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Total Assets</t>
        </is>
      </c>
      <c r="C136" t="inlineStr">
        <is>
          <t>FINMO</t>
        </is>
      </c>
      <c r="D136" t="inlineStr">
        <is>
          <t>'FINMO'!C31:W31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Accounts Payable</t>
        </is>
      </c>
      <c r="C137" t="inlineStr">
        <is>
          <t>FINMO</t>
        </is>
      </c>
      <c r="D137" t="inlineStr">
        <is>
          <t>'FINMO'!C32:W32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Short Term Debt</t>
        </is>
      </c>
      <c r="C138" t="inlineStr">
        <is>
          <t>FINMO</t>
        </is>
      </c>
      <c r="D138" t="inlineStr">
        <is>
          <t>'FINMO'!C33:W33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Balance Sheet - Deferred Revenue</t>
        </is>
      </c>
      <c r="C139" t="inlineStr">
        <is>
          <t>FINMO</t>
        </is>
      </c>
      <c r="D139" t="inlineStr">
        <is>
          <t>'FINMO'!C34:W34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Balance Sheet - Current Liabilities</t>
        </is>
      </c>
      <c r="C140" t="inlineStr">
        <is>
          <t>FINMO</t>
        </is>
      </c>
      <c r="D140" t="inlineStr">
        <is>
          <t>'FINMO'!C35:W35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Balance Sheet - Long Term Debt</t>
        </is>
      </c>
      <c r="C141" t="inlineStr">
        <is>
          <t>FINMO</t>
        </is>
      </c>
      <c r="D141" t="inlineStr">
        <is>
          <t>'FINMO'!C36:W36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Balance Sheet - Capital Lease Obligation</t>
        </is>
      </c>
      <c r="C142" t="inlineStr">
        <is>
          <t>FINMO</t>
        </is>
      </c>
      <c r="D142" t="inlineStr">
        <is>
          <t>'FINMO'!C37:W37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Balance Sheet - Total Liabilities</t>
        </is>
      </c>
      <c r="C143" t="inlineStr">
        <is>
          <t>FINMO</t>
        </is>
      </c>
      <c r="D143" t="inlineStr">
        <is>
          <t>'FINMO'!C38:W38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Balance Sheet - Owner's Capital</t>
        </is>
      </c>
      <c r="C144" t="inlineStr">
        <is>
          <t>FINMO</t>
        </is>
      </c>
      <c r="D144" t="inlineStr">
        <is>
          <t>'FINMO'!C39:W39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Balance Sheet - Retained Earnings</t>
        </is>
      </c>
      <c r="C145" t="inlineStr">
        <is>
          <t>FINMO</t>
        </is>
      </c>
      <c r="D145" t="inlineStr">
        <is>
          <t>'FINMO'!C40:W40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Balance Sheet - Other Equity</t>
        </is>
      </c>
      <c r="C146" t="inlineStr">
        <is>
          <t>FINMO</t>
        </is>
      </c>
      <c r="D146" t="inlineStr">
        <is>
          <t>'FINMO'!C41:W41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Balance Sheet - Total Equity</t>
        </is>
      </c>
      <c r="C147" t="inlineStr">
        <is>
          <t>FINMO</t>
        </is>
      </c>
      <c r="D147" t="inlineStr">
        <is>
          <t>'FINMO'!C42:W42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Balance Sheet - Total Liabilities &amp; Equity</t>
        </is>
      </c>
      <c r="C148" t="inlineStr">
        <is>
          <t>FINMO</t>
        </is>
      </c>
      <c r="D148" t="inlineStr">
        <is>
          <t>'FINMO'!C43:W43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Beginning Cash</t>
        </is>
      </c>
      <c r="C149" t="inlineStr">
        <is>
          <t>FINMO</t>
        </is>
      </c>
      <c r="D149" t="inlineStr">
        <is>
          <t>'FINMO'!C46:W46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Net Income</t>
        </is>
      </c>
      <c r="C150" t="inlineStr">
        <is>
          <t>FINMO</t>
        </is>
      </c>
      <c r="D150" t="inlineStr">
        <is>
          <t>'FINMO'!C47:W47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Depreciation</t>
        </is>
      </c>
      <c r="C151" t="inlineStr">
        <is>
          <t>FINMO</t>
        </is>
      </c>
      <c r="D151" t="inlineStr">
        <is>
          <t>'FINMO'!C48:W48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Changes in Current Assets</t>
        </is>
      </c>
      <c r="C152" t="inlineStr">
        <is>
          <t>FINMO</t>
        </is>
      </c>
      <c r="D152" t="inlineStr">
        <is>
          <t>'FINMO'!C49:W49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Changes in Current Liabilities</t>
        </is>
      </c>
      <c r="C153" t="inlineStr">
        <is>
          <t>FINMO</t>
        </is>
      </c>
      <c r="D153" t="inlineStr">
        <is>
          <t>'FINMO'!C50:W50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Operating Cash Flow</t>
        </is>
      </c>
      <c r="C154" t="inlineStr">
        <is>
          <t>FINMO</t>
        </is>
      </c>
      <c r="D154" t="inlineStr">
        <is>
          <t>'FINMO'!C51:W51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5">
      <c r="A155" t="inlineStr">
        <is>
          <t>Formula Manifest</t>
        </is>
      </c>
      <c r="B155" t="inlineStr">
        <is>
          <t>FINMO - Cash Flow - Capital Expenditures</t>
        </is>
      </c>
      <c r="C155" t="inlineStr">
        <is>
          <t>FINMO</t>
        </is>
      </c>
      <c r="D155" t="inlineStr">
        <is>
          <t>'FINMO'!C52:W52</t>
        </is>
      </c>
      <c r="E155" s="39">
        <f>21</f>
        <v/>
      </c>
      <c r="F155" s="39" t="n">
        <v>21</v>
      </c>
      <c r="G155" s="39">
        <f>E155-F155</f>
        <v/>
      </c>
      <c r="H155" s="39" t="n">
        <v>0</v>
      </c>
      <c r="I155" s="40">
        <f>IF(G155=0,"OK","FAIL")</f>
        <v/>
      </c>
      <c r="J155" t="inlineStr">
        <is>
          <t>FINMO statement lines must remain formula-driven. Formula presence is verified at export; live edit integrity is covered by the logic and bridge checks above.</t>
        </is>
      </c>
    </row>
    <row r="156">
      <c r="A156" t="inlineStr">
        <is>
          <t>Formula Manifest</t>
        </is>
      </c>
      <c r="B156" t="inlineStr">
        <is>
          <t>FINMO - Cash Flow - Investing Cash Flow</t>
        </is>
      </c>
      <c r="C156" t="inlineStr">
        <is>
          <t>FINMO</t>
        </is>
      </c>
      <c r="D156" t="inlineStr">
        <is>
          <t>'FINMO'!C53:W53</t>
        </is>
      </c>
      <c r="E156" s="39">
        <f>21</f>
        <v/>
      </c>
      <c r="F156" s="39" t="n">
        <v>21</v>
      </c>
      <c r="G156" s="39">
        <f>E156-F156</f>
        <v/>
      </c>
      <c r="H156" s="39" t="n">
        <v>0</v>
      </c>
      <c r="I156" s="40">
        <f>IF(G156=0,"OK","FAIL")</f>
        <v/>
      </c>
      <c r="J156" t="inlineStr">
        <is>
          <t>FINMO statement lines must remain formula-driven. Formula presence is verified at export; live edit integrity is covered by the logic and bridge checks above.</t>
        </is>
      </c>
    </row>
    <row r="157">
      <c r="A157" t="inlineStr">
        <is>
          <t>Formula Manifest</t>
        </is>
      </c>
      <c r="B157" t="inlineStr">
        <is>
          <t>FINMO - Cash Flow - Debt Issuance (New Borrowing)</t>
        </is>
      </c>
      <c r="C157" t="inlineStr">
        <is>
          <t>FINMO</t>
        </is>
      </c>
      <c r="D157" t="inlineStr">
        <is>
          <t>'FINMO'!C54:W54</t>
        </is>
      </c>
      <c r="E157" s="39">
        <f>21</f>
        <v/>
      </c>
      <c r="F157" s="39" t="n">
        <v>21</v>
      </c>
      <c r="G157" s="39">
        <f>E157-F157</f>
        <v/>
      </c>
      <c r="H157" s="39" t="n">
        <v>0</v>
      </c>
      <c r="I157" s="40">
        <f>IF(G157=0,"OK","FAIL")</f>
        <v/>
      </c>
      <c r="J157" t="inlineStr">
        <is>
          <t>FINMO statement lines must remain formula-driven. Formula presence is verified at export; live edit integrity is covered by the logic and bridge checks above.</t>
        </is>
      </c>
    </row>
    <row r="158">
      <c r="A158" t="inlineStr">
        <is>
          <t>Formula Manifest</t>
        </is>
      </c>
      <c r="B158" t="inlineStr">
        <is>
          <t>FINMO - Cash Flow - Debt Repayment</t>
        </is>
      </c>
      <c r="C158" t="inlineStr">
        <is>
          <t>FINMO</t>
        </is>
      </c>
      <c r="D158" t="inlineStr">
        <is>
          <t>'FINMO'!C55:W55</t>
        </is>
      </c>
      <c r="E158" s="39">
        <f>21</f>
        <v/>
      </c>
      <c r="F158" s="39" t="n">
        <v>21</v>
      </c>
      <c r="G158" s="39">
        <f>E158-F158</f>
        <v/>
      </c>
      <c r="H158" s="39" t="n">
        <v>0</v>
      </c>
      <c r="I158" s="40">
        <f>IF(G158=0,"OK","FAIL")</f>
        <v/>
      </c>
      <c r="J158" t="inlineStr">
        <is>
          <t>FINMO statement lines must remain formula-driven. Formula presence is verified at export; live edit integrity is covered by the logic and bridge checks above.</t>
        </is>
      </c>
    </row>
    <row r="159">
      <c r="A159" t="inlineStr">
        <is>
          <t>Formula Manifest</t>
        </is>
      </c>
      <c r="B159" t="inlineStr">
        <is>
          <t>FINMO - Cash Flow - Equity</t>
        </is>
      </c>
      <c r="C159" t="inlineStr">
        <is>
          <t>FINMO</t>
        </is>
      </c>
      <c r="D159" t="inlineStr">
        <is>
          <t>'FINMO'!C56:W56</t>
        </is>
      </c>
      <c r="E159" s="39">
        <f>21</f>
        <v/>
      </c>
      <c r="F159" s="39" t="n">
        <v>21</v>
      </c>
      <c r="G159" s="39">
        <f>E159-F159</f>
        <v/>
      </c>
      <c r="H159" s="39" t="n">
        <v>0</v>
      </c>
      <c r="I159" s="40">
        <f>IF(G159=0,"OK","FAIL")</f>
        <v/>
      </c>
      <c r="J159" t="inlineStr">
        <is>
          <t>FINMO statement lines must remain formula-driven. Formula presence is verified at export; live edit integrity is covered by the logic and bridge checks above.</t>
        </is>
      </c>
    </row>
    <row r="160">
      <c r="A160" t="inlineStr">
        <is>
          <t>Formula Manifest</t>
        </is>
      </c>
      <c r="B160" t="inlineStr">
        <is>
          <t>FINMO - Cash Flow - Distributions</t>
        </is>
      </c>
      <c r="C160" t="inlineStr">
        <is>
          <t>FINMO</t>
        </is>
      </c>
      <c r="D160" t="inlineStr">
        <is>
          <t>'FINMO'!C57:W57</t>
        </is>
      </c>
      <c r="E160" s="39">
        <f>21</f>
        <v/>
      </c>
      <c r="F160" s="39" t="n">
        <v>21</v>
      </c>
      <c r="G160" s="39">
        <f>E160-F160</f>
        <v/>
      </c>
      <c r="H160" s="39" t="n">
        <v>0</v>
      </c>
      <c r="I160" s="40">
        <f>IF(G160=0,"OK","FAIL")</f>
        <v/>
      </c>
      <c r="J160" t="inlineStr">
        <is>
          <t>FINMO statement lines must remain formula-driven. Formula presence is verified at export; live edit integrity is covered by the logic and bridge checks above.</t>
        </is>
      </c>
    </row>
    <row r="161">
      <c r="A161" t="inlineStr">
        <is>
          <t>Formula Manifest</t>
        </is>
      </c>
      <c r="B161" t="inlineStr">
        <is>
          <t>FINMO - Cash Flow - Capital Lease Principal Payments</t>
        </is>
      </c>
      <c r="C161" t="inlineStr">
        <is>
          <t>FINMO</t>
        </is>
      </c>
      <c r="D161" t="inlineStr">
        <is>
          <t>'FINMO'!C58:W58</t>
        </is>
      </c>
      <c r="E161" s="39">
        <f>21</f>
        <v/>
      </c>
      <c r="F161" s="39" t="n">
        <v>21</v>
      </c>
      <c r="G161" s="39">
        <f>E161-F161</f>
        <v/>
      </c>
      <c r="H161" s="39" t="n">
        <v>0</v>
      </c>
      <c r="I161" s="40">
        <f>IF(G161=0,"OK","FAIL")</f>
        <v/>
      </c>
      <c r="J161" t="inlineStr">
        <is>
          <t>FINMO statement lines must remain formula-driven. Formula presence is verified at export; live edit integrity is covered by the logic and bridge checks above.</t>
        </is>
      </c>
    </row>
    <row r="162">
      <c r="A162" t="inlineStr">
        <is>
          <t>Formula Manifest</t>
        </is>
      </c>
      <c r="B162" t="inlineStr">
        <is>
          <t>FINMO - Cash Flow - Financing Cash Flow</t>
        </is>
      </c>
      <c r="C162" t="inlineStr">
        <is>
          <t>FINMO</t>
        </is>
      </c>
      <c r="D162" t="inlineStr">
        <is>
          <t>'FINMO'!C59:W59</t>
        </is>
      </c>
      <c r="E162" s="39">
        <f>21</f>
        <v/>
      </c>
      <c r="F162" s="39" t="n">
        <v>21</v>
      </c>
      <c r="G162" s="39">
        <f>E162-F162</f>
        <v/>
      </c>
      <c r="H162" s="39" t="n">
        <v>0</v>
      </c>
      <c r="I162" s="40">
        <f>IF(G162=0,"OK","FAIL")</f>
        <v/>
      </c>
      <c r="J162" t="inlineStr">
        <is>
          <t>FINMO statement lines must remain formula-driven. Formula presence is verified at export; live edit integrity is covered by the logic and bridge checks above.</t>
        </is>
      </c>
    </row>
    <row r="163">
      <c r="A163" t="inlineStr">
        <is>
          <t>Formula Manifest</t>
        </is>
      </c>
      <c r="B163" t="inlineStr">
        <is>
          <t>FINMO - Cash Flow - Net Cash Flow</t>
        </is>
      </c>
      <c r="C163" t="inlineStr">
        <is>
          <t>FINMO</t>
        </is>
      </c>
      <c r="D163" t="inlineStr">
        <is>
          <t>'FINMO'!C60:W60</t>
        </is>
      </c>
      <c r="E163" s="39">
        <f>21</f>
        <v/>
      </c>
      <c r="F163" s="39" t="n">
        <v>21</v>
      </c>
      <c r="G163" s="39">
        <f>E163-F163</f>
        <v/>
      </c>
      <c r="H163" s="39" t="n">
        <v>0</v>
      </c>
      <c r="I163" s="40">
        <f>IF(G163=0,"OK","FAIL")</f>
        <v/>
      </c>
      <c r="J163" t="inlineStr">
        <is>
          <t>FINMO statement lines must remain formula-driven. Formula presence is verified at export; live edit integrity is covered by the logic and bridge checks above.</t>
        </is>
      </c>
    </row>
    <row r="164">
      <c r="A164" t="inlineStr">
        <is>
          <t>Formula Manifest</t>
        </is>
      </c>
      <c r="B164" t="inlineStr">
        <is>
          <t>FINMO - Cash Flow - Ending Cash</t>
        </is>
      </c>
      <c r="C164" t="inlineStr">
        <is>
          <t>FINMO</t>
        </is>
      </c>
      <c r="D164" t="inlineStr">
        <is>
          <t>'FINMO'!C61:W61</t>
        </is>
      </c>
      <c r="E164" s="39">
        <f>21</f>
        <v/>
      </c>
      <c r="F164" s="39" t="n">
        <v>21</v>
      </c>
      <c r="G164" s="39">
        <f>E164-F164</f>
        <v/>
      </c>
      <c r="H164" s="39" t="n">
        <v>0</v>
      </c>
      <c r="I164" s="40">
        <f>IF(G164=0,"OK","FAIL")</f>
        <v/>
      </c>
      <c r="J164" t="inlineStr">
        <is>
          <t>FINMO statement lines must remain formula-driven. Formula presence is verified at export; live edit integrity is covered by the logic and bridge checks above.</t>
        </is>
      </c>
    </row>
    <row r="166">
      <c r="A166" s="7" t="inlineStr">
        <is>
          <t>Formula Error Scans</t>
        </is>
      </c>
    </row>
    <row r="167">
      <c r="A167" t="inlineStr">
        <is>
          <t>Formula Error Scan</t>
        </is>
      </c>
      <c r="B167" t="inlineStr">
        <is>
          <t>Revenue Drivers formula/error scan</t>
        </is>
      </c>
      <c r="C167" t="inlineStr">
        <is>
          <t>Revenue Drivers</t>
        </is>
      </c>
      <c r="D167" t="inlineStr">
        <is>
          <t>'Revenue Drivers'!C7:W40</t>
        </is>
      </c>
      <c r="E167" s="39">
        <f>SUMPRODUCT(--ISERROR('Revenue Drivers'!C7:W40))</f>
        <v/>
      </c>
      <c r="F167" s="39" t="n">
        <v>0</v>
      </c>
      <c r="G167" s="39">
        <f>E167-F167</f>
        <v/>
      </c>
      <c r="H167" s="39" t="n">
        <v>0</v>
      </c>
      <c r="I167" s="40">
        <f>IF(E167=0,"OK","FAIL")</f>
        <v/>
      </c>
      <c r="J167" t="inlineStr">
        <is>
          <t>Counts Excel error values in the range.</t>
        </is>
      </c>
    </row>
    <row r="168">
      <c r="A168" t="inlineStr">
        <is>
          <t>Formula Error Scan</t>
        </is>
      </c>
      <c r="B168" t="inlineStr">
        <is>
          <t>Payroll Schedule formula/error scan</t>
        </is>
      </c>
      <c r="C168" t="inlineStr">
        <is>
          <t>Payroll Schedule</t>
        </is>
      </c>
      <c r="D168" t="inlineStr">
        <is>
          <t>'Payroll Schedule'!C15:W66</t>
        </is>
      </c>
      <c r="E168" s="39">
        <f>SUMPRODUCT(--ISERROR('Payroll Schedule'!C15:W66))</f>
        <v/>
      </c>
      <c r="F168" s="39" t="n">
        <v>0</v>
      </c>
      <c r="G168" s="39">
        <f>E168-F168</f>
        <v/>
      </c>
      <c r="H168" s="39" t="n">
        <v>0</v>
      </c>
      <c r="I168" s="40">
        <f>IF(E168=0,"OK","FAIL")</f>
        <v/>
      </c>
      <c r="J168" t="inlineStr">
        <is>
          <t>Counts Excel error values in the range.</t>
        </is>
      </c>
    </row>
    <row r="169">
      <c r="A169" t="inlineStr">
        <is>
          <t>Formula Error Scan</t>
        </is>
      </c>
      <c r="B169" t="inlineStr">
        <is>
          <t>Debt Schedule formula/error scan</t>
        </is>
      </c>
      <c r="C169" t="inlineStr">
        <is>
          <t>Debt Schedule</t>
        </is>
      </c>
      <c r="D169" t="inlineStr">
        <is>
          <t>'Debt Schedule'!C7:W26</t>
        </is>
      </c>
      <c r="E169" s="39">
        <f>SUMPRODUCT(--ISERROR('Debt Schedule'!C7:W26))</f>
        <v/>
      </c>
      <c r="F169" s="39" t="n">
        <v>0</v>
      </c>
      <c r="G169" s="39">
        <f>E169-F169</f>
        <v/>
      </c>
      <c r="H169" s="39" t="n">
        <v>0</v>
      </c>
      <c r="I169" s="40">
        <f>IF(E169=0,"OK","FAIL")</f>
        <v/>
      </c>
      <c r="J169" t="inlineStr">
        <is>
          <t>Counts Excel error values in the range.</t>
        </is>
      </c>
    </row>
    <row r="170">
      <c r="A170" t="inlineStr">
        <is>
          <t>Formula Error Scan</t>
        </is>
      </c>
      <c r="B170" t="inlineStr">
        <is>
          <t>CapEx Depreciation formula/error scan</t>
        </is>
      </c>
      <c r="C170" t="inlineStr">
        <is>
          <t>CapEx Depreciation</t>
        </is>
      </c>
      <c r="D170" t="inlineStr">
        <is>
          <t>'CapEx Depreciation'!C7:W14</t>
        </is>
      </c>
      <c r="E170" s="39">
        <f>SUMPRODUCT(--ISERROR('CapEx Depreciation'!C7:W14))</f>
        <v/>
      </c>
      <c r="F170" s="39" t="n">
        <v>0</v>
      </c>
      <c r="G170" s="39">
        <f>E170-F170</f>
        <v/>
      </c>
      <c r="H170" s="39" t="n">
        <v>0</v>
      </c>
      <c r="I170" s="40">
        <f>IF(E170=0,"OK","FAIL")</f>
        <v/>
      </c>
      <c r="J170" t="inlineStr">
        <is>
          <t>Counts Excel error values in the range.</t>
        </is>
      </c>
    </row>
    <row r="171">
      <c r="A171" t="inlineStr">
        <is>
          <t>Formula Error Scan</t>
        </is>
      </c>
      <c r="B171" t="inlineStr">
        <is>
          <t>Cash Equity Schedule formula/error scan</t>
        </is>
      </c>
      <c r="C171" t="inlineStr">
        <is>
          <t>Cash Equity Schedule</t>
        </is>
      </c>
      <c r="D171" t="inlineStr">
        <is>
          <t>'Cash Equity Schedule'!C7:W12</t>
        </is>
      </c>
      <c r="E171" s="39">
        <f>SUMPRODUCT(--ISERROR('Cash Equity Schedule'!C7:W12))</f>
        <v/>
      </c>
      <c r="F171" s="39" t="n">
        <v>0</v>
      </c>
      <c r="G171" s="39">
        <f>E171-F171</f>
        <v/>
      </c>
      <c r="H171" s="39" t="n">
        <v>0</v>
      </c>
      <c r="I171" s="40">
        <f>IF(E171=0,"OK","FAIL")</f>
        <v/>
      </c>
      <c r="J171" t="inlineStr">
        <is>
          <t>Counts Excel error values in the range.</t>
        </is>
      </c>
    </row>
    <row r="172">
      <c r="A172" t="inlineStr">
        <is>
          <t>Formula Error Scan</t>
        </is>
      </c>
      <c r="B172" t="inlineStr">
        <is>
          <t>Model Inputs formula/error scan</t>
        </is>
      </c>
      <c r="C172" t="inlineStr">
        <is>
          <t>Model Inputs</t>
        </is>
      </c>
      <c r="D172" t="inlineStr">
        <is>
          <t>'Model Inputs'!C7:W62</t>
        </is>
      </c>
      <c r="E172" s="39">
        <f>SUMPRODUCT(--ISERROR('Model Inputs'!C7:W62))</f>
        <v/>
      </c>
      <c r="F172" s="39" t="n">
        <v>0</v>
      </c>
      <c r="G172" s="39">
        <f>E172-F172</f>
        <v/>
      </c>
      <c r="H172" s="39" t="n">
        <v>0</v>
      </c>
      <c r="I172" s="40">
        <f>IF(E172=0,"OK","FAIL")</f>
        <v/>
      </c>
      <c r="J172" t="inlineStr">
        <is>
          <t>Counts Excel error values in the range.</t>
        </is>
      </c>
    </row>
    <row r="173">
      <c r="A173" t="inlineStr">
        <is>
          <t>Formula Error Scan</t>
        </is>
      </c>
      <c r="B173" t="inlineStr">
        <is>
          <t>FINMO formula/error scan</t>
        </is>
      </c>
      <c r="C173" t="inlineStr">
        <is>
          <t>FINMO</t>
        </is>
      </c>
      <c r="D173" t="inlineStr">
        <is>
          <t>'FINMO'!C8:W61</t>
        </is>
      </c>
      <c r="E173" s="39">
        <f>SUMPRODUCT(--ISERROR('FINMO'!C8:W61))</f>
        <v/>
      </c>
      <c r="F173" s="39" t="n">
        <v>0</v>
      </c>
      <c r="G173" s="39">
        <f>E173-F173</f>
        <v/>
      </c>
      <c r="H173" s="39" t="n">
        <v>0</v>
      </c>
      <c r="I173" s="40">
        <f>IF(E173=0,"OK","FAIL")</f>
        <v/>
      </c>
      <c r="J173" t="inlineStr">
        <is>
          <t>Counts Excel error values in the range.</t>
        </is>
      </c>
    </row>
    <row r="175">
      <c r="A175" s="7" t="inlineStr">
        <is>
          <t>Persisted Baseline Reconciliation</t>
        </is>
      </c>
    </row>
    <row r="176">
      <c r="A176" t="inlineStr">
        <is>
          <t>Persisted Baseline</t>
        </is>
      </c>
      <c r="B176" t="inlineStr">
        <is>
          <t>Revenue Q20</t>
        </is>
      </c>
      <c r="C176" t="inlineStr">
        <is>
          <t>FINMO vs Audit Source</t>
        </is>
      </c>
      <c r="D176" t="inlineStr">
        <is>
          <t>'FINMO'!W8</t>
        </is>
      </c>
      <c r="E176" s="39">
        <f>'FINMO'!W8</f>
        <v/>
      </c>
      <c r="F176" s="39">
        <f>'Audit Source'!W7</f>
        <v/>
      </c>
      <c r="G176" s="39">
        <f>E176-F176</f>
        <v/>
      </c>
      <c r="H176" s="39" t="n">
        <v>1</v>
      </c>
      <c r="I176" s="40">
        <f>IF(ABS(G176)&lt;=H176,"MATCH","CHANGED")</f>
        <v/>
      </c>
      <c r="J176" t="inlineStr">
        <is>
          <t>CHANGED means assumptions were edited from the persisted run; it is informational and does not fail Model Status.</t>
        </is>
      </c>
    </row>
    <row r="177">
      <c r="A177" t="inlineStr">
        <is>
          <t>Persisted Baseline</t>
        </is>
      </c>
      <c r="B177" t="inlineStr">
        <is>
          <t>Payroll Q20</t>
        </is>
      </c>
      <c r="C177" t="inlineStr">
        <is>
          <t>FINMO vs Audit Source</t>
        </is>
      </c>
      <c r="D177" t="inlineStr">
        <is>
          <t>'FINMO'!W14</t>
        </is>
      </c>
      <c r="E177" s="39">
        <f>'FINMO'!W14</f>
        <v/>
      </c>
      <c r="F177" s="39">
        <f>'Audit Source'!W13</f>
        <v/>
      </c>
      <c r="G177" s="39">
        <f>E177-F177</f>
        <v/>
      </c>
      <c r="H177" s="39" t="n">
        <v>1</v>
      </c>
      <c r="I177" s="40">
        <f>IF(ABS(G177)&lt;=H177,"MATCH","CHANGED")</f>
        <v/>
      </c>
      <c r="J177" t="inlineStr">
        <is>
          <t>CHANGED means assumptions were edited from the persisted run; it is informational and does not fail Model Status.</t>
        </is>
      </c>
    </row>
    <row r="178">
      <c r="A178" t="inlineStr">
        <is>
          <t>Persisted Baseline</t>
        </is>
      </c>
      <c r="B178" t="inlineStr">
        <is>
          <t>Net Income Q20</t>
        </is>
      </c>
      <c r="C178" t="inlineStr">
        <is>
          <t>FINMO vs Audit Source</t>
        </is>
      </c>
      <c r="D178" t="inlineStr">
        <is>
          <t>'FINMO'!W20</t>
        </is>
      </c>
      <c r="E178" s="39">
        <f>'FINMO'!W20</f>
        <v/>
      </c>
      <c r="F178" s="39">
        <f>'Audit Source'!W19</f>
        <v/>
      </c>
      <c r="G178" s="39">
        <f>E178-F178</f>
        <v/>
      </c>
      <c r="H178" s="39" t="n">
        <v>1</v>
      </c>
      <c r="I178" s="40">
        <f>IF(ABS(G178)&lt;=H178,"MATCH","CHANGED")</f>
        <v/>
      </c>
      <c r="J178" t="inlineStr">
        <is>
          <t>CHANGED means assumptions were edited from the persisted run; it is informational and does not fail Model Status.</t>
        </is>
      </c>
    </row>
    <row r="179">
      <c r="A179" t="inlineStr">
        <is>
          <t>Persisted Baseline</t>
        </is>
      </c>
      <c r="B179" t="inlineStr">
        <is>
          <t>Cash Q20</t>
        </is>
      </c>
      <c r="C179" t="inlineStr">
        <is>
          <t>FINMO vs Audit Source</t>
        </is>
      </c>
      <c r="D179" t="inlineStr">
        <is>
          <t>'FINMO'!W23</t>
        </is>
      </c>
      <c r="E179" s="39">
        <f>'FINMO'!W23</f>
        <v/>
      </c>
      <c r="F179" s="39">
        <f>'Audit Source'!W23</f>
        <v/>
      </c>
      <c r="G179" s="39">
        <f>E179-F179</f>
        <v/>
      </c>
      <c r="H179" s="39" t="n">
        <v>1</v>
      </c>
      <c r="I179" s="40">
        <f>IF(ABS(G179)&lt;=H179,"MATCH","CHANGED")</f>
        <v/>
      </c>
      <c r="J179" t="inlineStr">
        <is>
          <t>CHANGED means assumptions were edited from the persisted run; it is informational and does not fail Model Status.</t>
        </is>
      </c>
    </row>
    <row r="180">
      <c r="A180" t="inlineStr">
        <is>
          <t>Persisted Baseline</t>
        </is>
      </c>
      <c r="B180" t="inlineStr">
        <is>
          <t>Total Assets Q20</t>
        </is>
      </c>
      <c r="C180" t="inlineStr">
        <is>
          <t>FINMO vs Audit Source</t>
        </is>
      </c>
      <c r="D180" t="inlineStr">
        <is>
          <t>'FINMO'!W31</t>
        </is>
      </c>
      <c r="E180" s="39">
        <f>'FINMO'!W31</f>
        <v/>
      </c>
      <c r="F180" s="39">
        <f>'Audit Source'!W29</f>
        <v/>
      </c>
      <c r="G180" s="39">
        <f>E180-F180</f>
        <v/>
      </c>
      <c r="H180" s="39" t="n">
        <v>1</v>
      </c>
      <c r="I180" s="40">
        <f>IF(ABS(G180)&lt;=H180,"MATCH","CHANGED")</f>
        <v/>
      </c>
      <c r="J180" t="inlineStr">
        <is>
          <t>CHANGED means assumptions were edited from the persisted run; it is informational and does not fail Model Status.</t>
        </is>
      </c>
    </row>
    <row r="181">
      <c r="A181" t="inlineStr">
        <is>
          <t>Persisted Baseline</t>
        </is>
      </c>
      <c r="B181" t="inlineStr">
        <is>
          <t>Total Liabilities &amp; Equity Q20</t>
        </is>
      </c>
      <c r="C181" t="inlineStr">
        <is>
          <t>FINMO vs Audit Source</t>
        </is>
      </c>
      <c r="D181" t="inlineStr">
        <is>
          <t>'FINMO'!W43</t>
        </is>
      </c>
      <c r="E181" s="39">
        <f>'FINMO'!W43</f>
        <v/>
      </c>
      <c r="F181" s="39">
        <f>'Audit Source'!W41</f>
        <v/>
      </c>
      <c r="G181" s="39">
        <f>E181-F181</f>
        <v/>
      </c>
      <c r="H181" s="39" t="n">
        <v>1</v>
      </c>
      <c r="I181" s="40">
        <f>IF(ABS(G181)&lt;=H181,"MATCH","CHANGED")</f>
        <v/>
      </c>
      <c r="J181" t="inlineStr">
        <is>
          <t>CHANGED means assumptions were edited from the persisted run; it is informational and does not fail Model Status.</t>
        </is>
      </c>
    </row>
    <row r="182">
      <c r="A182" t="inlineStr">
        <is>
          <t>Persisted Baseline</t>
        </is>
      </c>
      <c r="B182" t="inlineStr">
        <is>
          <t>Ending Cash Q20</t>
        </is>
      </c>
      <c r="C182" t="inlineStr">
        <is>
          <t>FINMO vs Audit Source</t>
        </is>
      </c>
      <c r="D182" t="inlineStr">
        <is>
          <t>'FINMO'!W61</t>
        </is>
      </c>
      <c r="E182" s="39">
        <f>'FINMO'!W61</f>
        <v/>
      </c>
      <c r="F182" s="39">
        <f>'Audit Source'!W59</f>
        <v/>
      </c>
      <c r="G182" s="39">
        <f>E182-F182</f>
        <v/>
      </c>
      <c r="H182" s="39" t="n">
        <v>1</v>
      </c>
      <c r="I182" s="40">
        <f>IF(ABS(G182)&lt;=H182,"MATCH","CHANGED")</f>
        <v/>
      </c>
      <c r="J18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166:J166"/>
    <mergeCell ref="A175:J175"/>
    <mergeCell ref="A41:J41"/>
  </mergeCells>
  <conditionalFormatting sqref="I7:I18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turnaround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Revitalize Mobile IV Therapy</t>
        </is>
      </c>
    </row>
    <row r="8">
      <c r="A8" s="45" t="inlineStr">
        <is>
          <t>Business Start Date</t>
        </is>
      </c>
      <c r="B8" s="46" t="inlineStr">
        <is>
          <t>8/5/2024</t>
        </is>
      </c>
    </row>
    <row r="9">
      <c r="A9" s="45" t="inlineStr">
        <is>
          <t>NAICS-6</t>
        </is>
      </c>
      <c r="B9" s="46" t="inlineStr">
        <is>
          <t>621999</t>
        </is>
      </c>
    </row>
    <row r="10">
      <c r="A10" s="45" t="inlineStr">
        <is>
          <t>Draft ID</t>
        </is>
      </c>
      <c r="B10" s="46" t="inlineStr">
        <is>
          <t>71ac5266acad4720badabbd6fd5715a9</t>
        </is>
      </c>
    </row>
    <row r="11">
      <c r="A11" s="45" t="inlineStr">
        <is>
          <t>Planning Run ID</t>
        </is>
      </c>
      <c r="B11" s="46" t="inlineStr">
        <is>
          <t>ca04b735ff324c63bf66653b112f5682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2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Revitalize Mobile IV Therapy Financial Model</dc:title>
  <dc:subject>Client financial model workbook</dc:subject>
  <dcterms:created xsi:type="dcterms:W3CDTF">2026-05-20T06:36:33Z</dcterms:created>
  <dcterms:modified xsi:type="dcterms:W3CDTF">2026-05-20T06:36:35Z</dcterms:modified>
</cp:coreProperties>
</file>