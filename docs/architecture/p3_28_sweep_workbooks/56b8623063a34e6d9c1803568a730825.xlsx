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shipment</t>
        </is>
      </c>
    </row>
    <row r="8">
      <c r="A8" s="8" t="inlineStr">
        <is>
          <t>Primary line of business / shipment - Capacity</t>
        </is>
      </c>
      <c r="B8" s="8" t="inlineStr">
        <is>
          <t>Source driver</t>
        </is>
      </c>
      <c r="C8" s="9" t="n">
        <v>1950000</v>
      </c>
      <c r="D8" s="9" t="n">
        <v>165600</v>
      </c>
      <c r="E8" s="9" t="n">
        <v>165600</v>
      </c>
      <c r="F8" s="9" t="n">
        <v>165600</v>
      </c>
      <c r="G8" s="9" t="n">
        <v>165600</v>
      </c>
      <c r="H8" s="9" t="n">
        <v>165600</v>
      </c>
      <c r="I8" s="9" t="n">
        <v>165600</v>
      </c>
      <c r="J8" s="9" t="n">
        <v>165600</v>
      </c>
      <c r="K8" s="9" t="n">
        <v>165600</v>
      </c>
      <c r="L8" s="9" t="n">
        <v>165600</v>
      </c>
      <c r="M8" s="9" t="n">
        <v>165600</v>
      </c>
      <c r="N8" s="9" t="n">
        <v>165600</v>
      </c>
      <c r="O8" s="9" t="n">
        <v>165600</v>
      </c>
      <c r="P8" s="9" t="n">
        <v>165600</v>
      </c>
      <c r="Q8" s="9" t="n">
        <v>165600</v>
      </c>
      <c r="R8" s="9" t="n">
        <v>165600</v>
      </c>
      <c r="S8" s="9" t="n">
        <v>165600</v>
      </c>
      <c r="T8" s="9" t="n">
        <v>165600</v>
      </c>
      <c r="U8" s="9" t="n">
        <v>165600</v>
      </c>
      <c r="V8" s="9" t="n">
        <v>165600</v>
      </c>
      <c r="W8" s="9" t="n">
        <v>165600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shipment - Unit Price</t>
        </is>
      </c>
      <c r="B9" s="8" t="inlineStr">
        <is>
          <t>Source driver</t>
        </is>
      </c>
      <c r="C9" s="11" t="n">
        <v>25</v>
      </c>
      <c r="D9" s="11" t="n">
        <v>24.21</v>
      </c>
      <c r="E9" s="11" t="n">
        <v>24.558219</v>
      </c>
      <c r="F9" s="11" t="n">
        <v>24.861361</v>
      </c>
      <c r="G9" s="11" t="n">
        <v>25.125262</v>
      </c>
      <c r="H9" s="11" t="n">
        <v>25.355001</v>
      </c>
      <c r="I9" s="11" t="n">
        <v>25.555</v>
      </c>
      <c r="J9" s="11" t="n">
        <v>25.729109</v>
      </c>
      <c r="K9" s="11" t="n">
        <v>25.880681</v>
      </c>
      <c r="L9" s="11" t="n">
        <v>26.012631</v>
      </c>
      <c r="M9" s="11" t="n">
        <v>26.1275</v>
      </c>
      <c r="N9" s="11" t="n">
        <v>26.2275</v>
      </c>
      <c r="O9" s="11" t="n">
        <v>26.314555</v>
      </c>
      <c r="P9" s="11" t="n">
        <v>26.39034</v>
      </c>
      <c r="Q9" s="11" t="n">
        <v>26.456315</v>
      </c>
      <c r="R9" s="11" t="n">
        <v>26.51375</v>
      </c>
      <c r="S9" s="11" t="n">
        <v>26.56375</v>
      </c>
      <c r="T9" s="11" t="n">
        <v>26.607277</v>
      </c>
      <c r="U9" s="11" t="n">
        <v>26.64517</v>
      </c>
      <c r="V9" s="11" t="n">
        <v>26.678158</v>
      </c>
      <c r="W9" s="11" t="n">
        <v>26.706875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shipment - Utilization</t>
        </is>
      </c>
      <c r="B10" s="8" t="inlineStr">
        <is>
          <t>Source driver</t>
        </is>
      </c>
      <c r="C10" s="13" t="n">
        <v>0.8</v>
      </c>
      <c r="D10" s="13" t="n">
        <v>0.72004</v>
      </c>
      <c r="E10" s="13" t="n">
        <v>0.720089</v>
      </c>
      <c r="F10" s="13" t="n">
        <v>0.720198</v>
      </c>
      <c r="G10" s="13" t="n">
        <v>0.7204390000000001</v>
      </c>
      <c r="H10" s="13" t="n">
        <v>0.72097</v>
      </c>
      <c r="I10" s="13" t="n">
        <v>0.722128</v>
      </c>
      <c r="J10" s="13" t="n">
        <v>0.724586</v>
      </c>
      <c r="K10" s="13" t="n">
        <v>0.729536</v>
      </c>
      <c r="L10" s="13" t="n">
        <v>0.738518</v>
      </c>
      <c r="M10" s="13" t="n">
        <v>0.752105</v>
      </c>
      <c r="N10" s="13" t="n">
        <v>0.767895</v>
      </c>
      <c r="O10" s="13" t="n">
        <v>0.781482</v>
      </c>
      <c r="P10" s="13" t="n">
        <v>0.7904640000000001</v>
      </c>
      <c r="Q10" s="13" t="n">
        <v>0.795414</v>
      </c>
      <c r="R10" s="13" t="n">
        <v>0.797872</v>
      </c>
      <c r="S10" s="13" t="n">
        <v>0.79903</v>
      </c>
      <c r="T10" s="13" t="n">
        <v>0.799561</v>
      </c>
      <c r="U10" s="13" t="n">
        <v>0.799802</v>
      </c>
      <c r="V10" s="13" t="n">
        <v>0.799911</v>
      </c>
      <c r="W10" s="13" t="n">
        <v>0.79996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shipment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0.01</v>
      </c>
      <c r="E18" s="13" t="n">
        <v>0.01</v>
      </c>
      <c r="F18" s="13" t="n">
        <v>0.01</v>
      </c>
      <c r="G18" s="13" t="n">
        <v>0.01</v>
      </c>
      <c r="H18" s="13" t="n">
        <v>0.01</v>
      </c>
      <c r="I18" s="13" t="n">
        <v>0.01</v>
      </c>
      <c r="J18" s="13" t="n">
        <v>0.01</v>
      </c>
      <c r="K18" s="13" t="n">
        <v>0.01</v>
      </c>
      <c r="L18" s="13" t="n">
        <v>0.01</v>
      </c>
      <c r="M18" s="13" t="n">
        <v>0.01</v>
      </c>
      <c r="N18" s="13" t="n">
        <v>0.01</v>
      </c>
      <c r="O18" s="13" t="n">
        <v>0.01</v>
      </c>
      <c r="P18" s="13" t="n">
        <v>0.01</v>
      </c>
      <c r="Q18" s="13" t="n">
        <v>0.01</v>
      </c>
      <c r="R18" s="13" t="n">
        <v>0.01</v>
      </c>
      <c r="S18" s="13" t="n">
        <v>0.01</v>
      </c>
      <c r="T18" s="13" t="n">
        <v>0.01</v>
      </c>
      <c r="U18" s="13" t="n">
        <v>0.01</v>
      </c>
      <c r="V18" s="13" t="n">
        <v>0.01</v>
      </c>
      <c r="W18" s="13" t="n">
        <v>0.01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0.12</v>
      </c>
      <c r="E19" s="13" t="n">
        <v>0.12</v>
      </c>
      <c r="F19" s="13" t="n">
        <v>0.12</v>
      </c>
      <c r="G19" s="13" t="n">
        <v>0.12</v>
      </c>
      <c r="H19" s="13" t="n">
        <v>0.12</v>
      </c>
      <c r="I19" s="13" t="n">
        <v>0.12</v>
      </c>
      <c r="J19" s="13" t="n">
        <v>0.12</v>
      </c>
      <c r="K19" s="13" t="n">
        <v>0.12</v>
      </c>
      <c r="L19" s="13" t="n">
        <v>0.12</v>
      </c>
      <c r="M19" s="13" t="n">
        <v>0.12</v>
      </c>
      <c r="N19" s="13" t="n">
        <v>0.12</v>
      </c>
      <c r="O19" s="13" t="n">
        <v>0.12</v>
      </c>
      <c r="P19" s="13" t="n">
        <v>0.12</v>
      </c>
      <c r="Q19" s="13" t="n">
        <v>0.12</v>
      </c>
      <c r="R19" s="13" t="n">
        <v>0.12</v>
      </c>
      <c r="S19" s="13" t="n">
        <v>0.12</v>
      </c>
      <c r="T19" s="13" t="n">
        <v>0.12</v>
      </c>
      <c r="U19" s="13" t="n">
        <v>0.12</v>
      </c>
      <c r="V19" s="13" t="n">
        <v>0.12</v>
      </c>
      <c r="W19" s="13" t="n">
        <v>0.12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0.12</v>
      </c>
      <c r="E20" s="13" t="n">
        <v>0.12</v>
      </c>
      <c r="F20" s="13" t="n">
        <v>0.12</v>
      </c>
      <c r="G20" s="13" t="n">
        <v>0.12</v>
      </c>
      <c r="H20" s="13" t="n">
        <v>0.12</v>
      </c>
      <c r="I20" s="13" t="n">
        <v>0.12</v>
      </c>
      <c r="J20" s="13" t="n">
        <v>0.12</v>
      </c>
      <c r="K20" s="13" t="n">
        <v>0.12</v>
      </c>
      <c r="L20" s="13" t="n">
        <v>0.12</v>
      </c>
      <c r="M20" s="13" t="n">
        <v>0.12</v>
      </c>
      <c r="N20" s="13" t="n">
        <v>0.12</v>
      </c>
      <c r="O20" s="13" t="n">
        <v>0.12</v>
      </c>
      <c r="P20" s="13" t="n">
        <v>0.12</v>
      </c>
      <c r="Q20" s="13" t="n">
        <v>0.12</v>
      </c>
      <c r="R20" s="13" t="n">
        <v>0.12</v>
      </c>
      <c r="S20" s="13" t="n">
        <v>0.12</v>
      </c>
      <c r="T20" s="13" t="n">
        <v>0.12</v>
      </c>
      <c r="U20" s="13" t="n">
        <v>0.12</v>
      </c>
      <c r="V20" s="13" t="n">
        <v>0.12</v>
      </c>
      <c r="W20" s="13" t="n">
        <v>0.12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0.85</v>
      </c>
      <c r="E22" s="13" t="n">
        <v>0.85</v>
      </c>
      <c r="F22" s="13" t="n">
        <v>0.85</v>
      </c>
      <c r="G22" s="13" t="n">
        <v>0.85</v>
      </c>
      <c r="H22" s="13" t="n">
        <v>0.85</v>
      </c>
      <c r="I22" s="13" t="n">
        <v>0.85</v>
      </c>
      <c r="J22" s="13" t="n">
        <v>0.85</v>
      </c>
      <c r="K22" s="13" t="n">
        <v>0.85</v>
      </c>
      <c r="L22" s="13" t="n">
        <v>0.85</v>
      </c>
      <c r="M22" s="13" t="n">
        <v>0.85</v>
      </c>
      <c r="N22" s="13" t="n">
        <v>0.85</v>
      </c>
      <c r="O22" s="13" t="n">
        <v>0.85</v>
      </c>
      <c r="P22" s="13" t="n">
        <v>0.85</v>
      </c>
      <c r="Q22" s="13" t="n">
        <v>0.85</v>
      </c>
      <c r="R22" s="13" t="n">
        <v>0.85</v>
      </c>
      <c r="S22" s="13" t="n">
        <v>0.85</v>
      </c>
      <c r="T22" s="13" t="n">
        <v>0.85</v>
      </c>
      <c r="U22" s="13" t="n">
        <v>0.85</v>
      </c>
      <c r="V22" s="13" t="n">
        <v>0.85</v>
      </c>
      <c r="W22" s="13" t="n">
        <v>0.85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0.9</v>
      </c>
      <c r="E23" s="13" t="n">
        <v>0.9</v>
      </c>
      <c r="F23" s="13" t="n">
        <v>0.9</v>
      </c>
      <c r="G23" s="13" t="n">
        <v>0.9</v>
      </c>
      <c r="H23" s="13" t="n">
        <v>0.9</v>
      </c>
      <c r="I23" s="13" t="n">
        <v>0.9</v>
      </c>
      <c r="J23" s="13" t="n">
        <v>0.9</v>
      </c>
      <c r="K23" s="13" t="n">
        <v>0.9</v>
      </c>
      <c r="L23" s="13" t="n">
        <v>0.9</v>
      </c>
      <c r="M23" s="13" t="n">
        <v>0.9</v>
      </c>
      <c r="N23" s="13" t="n">
        <v>0.9</v>
      </c>
      <c r="O23" s="13" t="n">
        <v>0.9</v>
      </c>
      <c r="P23" s="13" t="n">
        <v>0.9</v>
      </c>
      <c r="Q23" s="13" t="n">
        <v>0.9</v>
      </c>
      <c r="R23" s="13" t="n">
        <v>0.9</v>
      </c>
      <c r="S23" s="13" t="n">
        <v>0.9</v>
      </c>
      <c r="T23" s="13" t="n">
        <v>0.9</v>
      </c>
      <c r="U23" s="13" t="n">
        <v>0.9</v>
      </c>
      <c r="V23" s="13" t="n">
        <v>0.9</v>
      </c>
      <c r="W23" s="13" t="n">
        <v>0.9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0.23</v>
      </c>
      <c r="E24" s="13" t="n">
        <v>0.23</v>
      </c>
      <c r="F24" s="13" t="n">
        <v>0.23</v>
      </c>
      <c r="G24" s="13" t="n">
        <v>0.23</v>
      </c>
      <c r="H24" s="13" t="n">
        <v>0.23</v>
      </c>
      <c r="I24" s="13" t="n">
        <v>0.23</v>
      </c>
      <c r="J24" s="13" t="n">
        <v>0.23</v>
      </c>
      <c r="K24" s="13" t="n">
        <v>0.23</v>
      </c>
      <c r="L24" s="13" t="n">
        <v>0.23</v>
      </c>
      <c r="M24" s="13" t="n">
        <v>0.23</v>
      </c>
      <c r="N24" s="13" t="n">
        <v>0.23</v>
      </c>
      <c r="O24" s="13" t="n">
        <v>0.23</v>
      </c>
      <c r="P24" s="13" t="n">
        <v>0.23</v>
      </c>
      <c r="Q24" s="13" t="n">
        <v>0.23</v>
      </c>
      <c r="R24" s="13" t="n">
        <v>0.23</v>
      </c>
      <c r="S24" s="13" t="n">
        <v>0.23</v>
      </c>
      <c r="T24" s="13" t="n">
        <v>0.23</v>
      </c>
      <c r="U24" s="13" t="n">
        <v>0.23</v>
      </c>
      <c r="V24" s="13" t="n">
        <v>0.23</v>
      </c>
      <c r="W24" s="13" t="n">
        <v>0.23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0.03</v>
      </c>
      <c r="E25" s="13" t="n">
        <v>0.03</v>
      </c>
      <c r="F25" s="13" t="n">
        <v>0.03</v>
      </c>
      <c r="G25" s="13" t="n">
        <v>0.03</v>
      </c>
      <c r="H25" s="13" t="n">
        <v>0.03</v>
      </c>
      <c r="I25" s="13" t="n">
        <v>0.03</v>
      </c>
      <c r="J25" s="13" t="n">
        <v>0.03</v>
      </c>
      <c r="K25" s="13" t="n">
        <v>0.03</v>
      </c>
      <c r="L25" s="13" t="n">
        <v>0.03</v>
      </c>
      <c r="M25" s="13" t="n">
        <v>0.03</v>
      </c>
      <c r="N25" s="13" t="n">
        <v>0.03</v>
      </c>
      <c r="O25" s="13" t="n">
        <v>0.03</v>
      </c>
      <c r="P25" s="13" t="n">
        <v>0.03</v>
      </c>
      <c r="Q25" s="13" t="n">
        <v>0.03</v>
      </c>
      <c r="R25" s="13" t="n">
        <v>0.03</v>
      </c>
      <c r="S25" s="13" t="n">
        <v>0.03</v>
      </c>
      <c r="T25" s="13" t="n">
        <v>0.03</v>
      </c>
      <c r="U25" s="13" t="n">
        <v>0.03</v>
      </c>
      <c r="V25" s="13" t="n">
        <v>0.03</v>
      </c>
      <c r="W25" s="13" t="n">
        <v>0.03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0.23</v>
      </c>
      <c r="E26" s="13" t="n">
        <v>0.23</v>
      </c>
      <c r="F26" s="13" t="n">
        <v>0.23</v>
      </c>
      <c r="G26" s="13" t="n">
        <v>0.23</v>
      </c>
      <c r="H26" s="13" t="n">
        <v>0.23</v>
      </c>
      <c r="I26" s="13" t="n">
        <v>0.23</v>
      </c>
      <c r="J26" s="13" t="n">
        <v>0.23</v>
      </c>
      <c r="K26" s="13" t="n">
        <v>0.23</v>
      </c>
      <c r="L26" s="13" t="n">
        <v>0.23</v>
      </c>
      <c r="M26" s="13" t="n">
        <v>0.23</v>
      </c>
      <c r="N26" s="13" t="n">
        <v>0.23</v>
      </c>
      <c r="O26" s="13" t="n">
        <v>0.23</v>
      </c>
      <c r="P26" s="13" t="n">
        <v>0.23</v>
      </c>
      <c r="Q26" s="13" t="n">
        <v>0.23</v>
      </c>
      <c r="R26" s="13" t="n">
        <v>0.23</v>
      </c>
      <c r="S26" s="13" t="n">
        <v>0.23</v>
      </c>
      <c r="T26" s="13" t="n">
        <v>0.23</v>
      </c>
      <c r="U26" s="13" t="n">
        <v>0.23</v>
      </c>
      <c r="V26" s="13" t="n">
        <v>0.23</v>
      </c>
      <c r="W26" s="13" t="n">
        <v>0.23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0.11</v>
      </c>
      <c r="E27" s="13" t="n">
        <v>0.11</v>
      </c>
      <c r="F27" s="13" t="n">
        <v>0.11</v>
      </c>
      <c r="G27" s="13" t="n">
        <v>0.11</v>
      </c>
      <c r="H27" s="13" t="n">
        <v>0.11</v>
      </c>
      <c r="I27" s="13" t="n">
        <v>0.11</v>
      </c>
      <c r="J27" s="13" t="n">
        <v>0.11</v>
      </c>
      <c r="K27" s="13" t="n">
        <v>0.11</v>
      </c>
      <c r="L27" s="13" t="n">
        <v>0.11</v>
      </c>
      <c r="M27" s="13" t="n">
        <v>0.11</v>
      </c>
      <c r="N27" s="13" t="n">
        <v>0.11</v>
      </c>
      <c r="O27" s="13" t="n">
        <v>0.11</v>
      </c>
      <c r="P27" s="13" t="n">
        <v>0.11</v>
      </c>
      <c r="Q27" s="13" t="n">
        <v>0.11</v>
      </c>
      <c r="R27" s="13" t="n">
        <v>0.11</v>
      </c>
      <c r="S27" s="13" t="n">
        <v>0.11</v>
      </c>
      <c r="T27" s="13" t="n">
        <v>0.11</v>
      </c>
      <c r="U27" s="13" t="n">
        <v>0.11</v>
      </c>
      <c r="V27" s="13" t="n">
        <v>0.11</v>
      </c>
      <c r="W27" s="13" t="n">
        <v>0.11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1.25</v>
      </c>
    </row>
    <row r="11">
      <c r="A11" t="inlineStr">
        <is>
          <t>Capacity Units per Supporting FTE</t>
        </is>
      </c>
      <c r="B11" t="n">
        <v>7200</v>
      </c>
    </row>
    <row r="12">
      <c r="A12" t="inlineStr">
        <is>
          <t>Target Payroll % of Revenue</t>
        </is>
      </c>
      <c r="B12" t="n">
        <v>0.32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SUMIFS($G$27:$G$106,$A$27:$A$106,0)</f>
        <v/>
      </c>
      <c r="D15" s="23">
        <f>SUMIFS($G$27:$G$106,$A$27:$A$106,1)</f>
        <v/>
      </c>
      <c r="E15" s="23">
        <f>SUMIFS($G$27:$G$106,$A$27:$A$106,2)</f>
        <v/>
      </c>
      <c r="F15" s="23">
        <f>SUMIFS($G$27:$G$106,$A$27:$A$106,3)</f>
        <v/>
      </c>
      <c r="G15" s="23">
        <f>SUMIFS($G$27:$G$106,$A$27:$A$106,4)</f>
        <v/>
      </c>
      <c r="H15" s="23">
        <f>SUMIFS($G$27:$G$106,$A$27:$A$106,5)</f>
        <v/>
      </c>
      <c r="I15" s="23">
        <f>SUMIFS($G$27:$G$106,$A$27:$A$106,6)</f>
        <v/>
      </c>
      <c r="J15" s="23">
        <f>SUMIFS($G$27:$G$106,$A$27:$A$106,7)</f>
        <v/>
      </c>
      <c r="K15" s="23">
        <f>SUMIFS($G$27:$G$106,$A$27:$A$106,8)</f>
        <v/>
      </c>
      <c r="L15" s="23">
        <f>SUMIFS($G$27:$G$106,$A$27:$A$106,9)</f>
        <v/>
      </c>
      <c r="M15" s="23">
        <f>SUMIFS($G$27:$G$106,$A$27:$A$106,10)</f>
        <v/>
      </c>
      <c r="N15" s="23">
        <f>SUMIFS($G$27:$G$106,$A$27:$A$106,11)</f>
        <v/>
      </c>
      <c r="O15" s="23">
        <f>SUMIFS($G$27:$G$106,$A$27:$A$106,12)</f>
        <v/>
      </c>
      <c r="P15" s="23">
        <f>SUMIFS($G$27:$G$106,$A$27:$A$106,13)</f>
        <v/>
      </c>
      <c r="Q15" s="23">
        <f>SUMIFS($G$27:$G$106,$A$27:$A$106,14)</f>
        <v/>
      </c>
      <c r="R15" s="23">
        <f>SUMIFS($G$27:$G$106,$A$27:$A$106,15)</f>
        <v/>
      </c>
      <c r="S15" s="23">
        <f>SUMIFS($G$27:$G$106,$A$27:$A$106,16)</f>
        <v/>
      </c>
      <c r="T15" s="23">
        <f>SUMIFS($G$27:$G$106,$A$27:$A$106,17)</f>
        <v/>
      </c>
      <c r="U15" s="23">
        <f>SUMIFS($G$27:$G$106,$A$27:$A$106,18)</f>
        <v/>
      </c>
      <c r="V15" s="23">
        <f>SUMIFS($G$27:$G$106,$A$27:$A$106,19)</f>
        <v/>
      </c>
      <c r="W15" s="23">
        <f>SUMIFS($G$27:$G$106,$A$27:$A$106,20)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SUMIFS($H$27:$H$106,$A$27:$A$106,0)</f>
        <v/>
      </c>
      <c r="D16" s="23">
        <f>SUMIFS($H$27:$H$106,$A$27:$A$106,1)</f>
        <v/>
      </c>
      <c r="E16" s="23">
        <f>SUMIFS($H$27:$H$106,$A$27:$A$106,2)</f>
        <v/>
      </c>
      <c r="F16" s="23">
        <f>SUMIFS($H$27:$H$106,$A$27:$A$106,3)</f>
        <v/>
      </c>
      <c r="G16" s="23">
        <f>SUMIFS($H$27:$H$106,$A$27:$A$106,4)</f>
        <v/>
      </c>
      <c r="H16" s="23">
        <f>SUMIFS($H$27:$H$106,$A$27:$A$106,5)</f>
        <v/>
      </c>
      <c r="I16" s="23">
        <f>SUMIFS($H$27:$H$106,$A$27:$A$106,6)</f>
        <v/>
      </c>
      <c r="J16" s="23">
        <f>SUMIFS($H$27:$H$106,$A$27:$A$106,7)</f>
        <v/>
      </c>
      <c r="K16" s="23">
        <f>SUMIFS($H$27:$H$106,$A$27:$A$106,8)</f>
        <v/>
      </c>
      <c r="L16" s="23">
        <f>SUMIFS($H$27:$H$106,$A$27:$A$106,9)</f>
        <v/>
      </c>
      <c r="M16" s="23">
        <f>SUMIFS($H$27:$H$106,$A$27:$A$106,10)</f>
        <v/>
      </c>
      <c r="N16" s="23">
        <f>SUMIFS($H$27:$H$106,$A$27:$A$106,11)</f>
        <v/>
      </c>
      <c r="O16" s="23">
        <f>SUMIFS($H$27:$H$106,$A$27:$A$106,12)</f>
        <v/>
      </c>
      <c r="P16" s="23">
        <f>SUMIFS($H$27:$H$106,$A$27:$A$106,13)</f>
        <v/>
      </c>
      <c r="Q16" s="23">
        <f>SUMIFS($H$27:$H$106,$A$27:$A$106,14)</f>
        <v/>
      </c>
      <c r="R16" s="23">
        <f>SUMIFS($H$27:$H$106,$A$27:$A$106,15)</f>
        <v/>
      </c>
      <c r="S16" s="23">
        <f>SUMIFS($H$27:$H$106,$A$27:$A$106,16)</f>
        <v/>
      </c>
      <c r="T16" s="23">
        <f>SUMIFS($H$27:$H$106,$A$27:$A$106,17)</f>
        <v/>
      </c>
      <c r="U16" s="23">
        <f>SUMIFS($H$27:$H$106,$A$27:$A$106,18)</f>
        <v/>
      </c>
      <c r="V16" s="23">
        <f>SUMIFS($H$27:$H$106,$A$27:$A$106,19)</f>
        <v/>
      </c>
      <c r="W16" s="23">
        <f>SUMIFS($H$27:$H$106,$A$27:$A$106,20)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SUMIFS($M$27:$M$106,$A$27:$A$106,0)</f>
        <v/>
      </c>
      <c r="D17" s="25">
        <f>SUMIFS($M$27:$M$106,$A$27:$A$106,1)</f>
        <v/>
      </c>
      <c r="E17" s="25">
        <f>SUMIFS($M$27:$M$106,$A$27:$A$106,2)</f>
        <v/>
      </c>
      <c r="F17" s="25">
        <f>SUMIFS($M$27:$M$106,$A$27:$A$106,3)</f>
        <v/>
      </c>
      <c r="G17" s="25">
        <f>SUMIFS($M$27:$M$106,$A$27:$A$106,4)</f>
        <v/>
      </c>
      <c r="H17" s="25">
        <f>SUMIFS($M$27:$M$106,$A$27:$A$106,5)</f>
        <v/>
      </c>
      <c r="I17" s="25">
        <f>SUMIFS($M$27:$M$106,$A$27:$A$106,6)</f>
        <v/>
      </c>
      <c r="J17" s="25">
        <f>SUMIFS($M$27:$M$106,$A$27:$A$106,7)</f>
        <v/>
      </c>
      <c r="K17" s="25">
        <f>SUMIFS($M$27:$M$106,$A$27:$A$106,8)</f>
        <v/>
      </c>
      <c r="L17" s="25">
        <f>SUMIFS($M$27:$M$106,$A$27:$A$106,9)</f>
        <v/>
      </c>
      <c r="M17" s="25">
        <f>SUMIFS($M$27:$M$106,$A$27:$A$106,10)</f>
        <v/>
      </c>
      <c r="N17" s="25">
        <f>SUMIFS($M$27:$M$106,$A$27:$A$106,11)</f>
        <v/>
      </c>
      <c r="O17" s="25">
        <f>SUMIFS($M$27:$M$106,$A$27:$A$106,12)</f>
        <v/>
      </c>
      <c r="P17" s="25">
        <f>SUMIFS($M$27:$M$106,$A$27:$A$106,13)</f>
        <v/>
      </c>
      <c r="Q17" s="25">
        <f>SUMIFS($M$27:$M$106,$A$27:$A$106,14)</f>
        <v/>
      </c>
      <c r="R17" s="25">
        <f>SUMIFS($M$27:$M$106,$A$27:$A$106,15)</f>
        <v/>
      </c>
      <c r="S17" s="25">
        <f>SUMIFS($M$27:$M$106,$A$27:$A$106,16)</f>
        <v/>
      </c>
      <c r="T17" s="25">
        <f>SUMIFS($M$27:$M$106,$A$27:$A$106,17)</f>
        <v/>
      </c>
      <c r="U17" s="25">
        <f>SUMIFS($M$27:$M$106,$A$27:$A$106,18)</f>
        <v/>
      </c>
      <c r="V17" s="25">
        <f>SUMIFS($M$27:$M$106,$A$27:$A$106,19)</f>
        <v/>
      </c>
      <c r="W17" s="25">
        <f>SUMIFS($M$27:$M$106,$A$27:$A$106,20)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CEO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160000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gpt_estimate</t>
        </is>
      </c>
    </row>
    <row r="28">
      <c r="A28" t="n">
        <v>2</v>
      </c>
      <c r="B28" t="inlineStr">
        <is>
          <t>key_person</t>
        </is>
      </c>
      <c r="C28" t="inlineStr">
        <is>
          <t>CEO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160000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gpt_estimate</t>
        </is>
      </c>
    </row>
    <row r="29">
      <c r="A29" t="n">
        <v>3</v>
      </c>
      <c r="B29" t="inlineStr">
        <is>
          <t>key_person</t>
        </is>
      </c>
      <c r="C29" t="inlineStr">
        <is>
          <t>CEO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160000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gpt_estimate</t>
        </is>
      </c>
    </row>
    <row r="30">
      <c r="A30" t="n">
        <v>4</v>
      </c>
      <c r="B30" t="inlineStr">
        <is>
          <t>key_person</t>
        </is>
      </c>
      <c r="C30" t="inlineStr">
        <is>
          <t>CEO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160000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gpt_estimate</t>
        </is>
      </c>
    </row>
    <row r="31">
      <c r="A31" t="n">
        <v>5</v>
      </c>
      <c r="B31" t="inlineStr">
        <is>
          <t>key_person</t>
        </is>
      </c>
      <c r="C31" t="inlineStr">
        <is>
          <t>CEO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164800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gpt_estimate</t>
        </is>
      </c>
    </row>
    <row r="32">
      <c r="A32" t="n">
        <v>6</v>
      </c>
      <c r="B32" t="inlineStr">
        <is>
          <t>key_person</t>
        </is>
      </c>
      <c r="C32" t="inlineStr">
        <is>
          <t>CEO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164800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gpt_estimate</t>
        </is>
      </c>
    </row>
    <row r="33">
      <c r="A33" t="n">
        <v>7</v>
      </c>
      <c r="B33" t="inlineStr">
        <is>
          <t>key_person</t>
        </is>
      </c>
      <c r="C33" t="inlineStr">
        <is>
          <t>CEO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164800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gpt_estimate</t>
        </is>
      </c>
    </row>
    <row r="34">
      <c r="A34" t="n">
        <v>8</v>
      </c>
      <c r="B34" t="inlineStr">
        <is>
          <t>key_person</t>
        </is>
      </c>
      <c r="C34" t="inlineStr">
        <is>
          <t>CEO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164800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gpt_estimate</t>
        </is>
      </c>
    </row>
    <row r="35">
      <c r="A35" t="n">
        <v>9</v>
      </c>
      <c r="B35" t="inlineStr">
        <is>
          <t>key_person</t>
        </is>
      </c>
      <c r="C35" t="inlineStr">
        <is>
          <t>CEO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169744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gpt_estimate</t>
        </is>
      </c>
    </row>
    <row r="36">
      <c r="A36" t="n">
        <v>10</v>
      </c>
      <c r="B36" t="inlineStr">
        <is>
          <t>key_person</t>
        </is>
      </c>
      <c r="C36" t="inlineStr">
        <is>
          <t>CEO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169744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gpt_estimate</t>
        </is>
      </c>
    </row>
    <row r="37">
      <c r="A37" t="n">
        <v>11</v>
      </c>
      <c r="B37" t="inlineStr">
        <is>
          <t>key_person</t>
        </is>
      </c>
      <c r="C37" t="inlineStr">
        <is>
          <t>CEO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169744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gpt_estimate</t>
        </is>
      </c>
    </row>
    <row r="38">
      <c r="A38" t="n">
        <v>12</v>
      </c>
      <c r="B38" t="inlineStr">
        <is>
          <t>key_person</t>
        </is>
      </c>
      <c r="C38" t="inlineStr">
        <is>
          <t>CEO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169744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gpt_estimate</t>
        </is>
      </c>
    </row>
    <row r="39">
      <c r="A39" t="n">
        <v>13</v>
      </c>
      <c r="B39" t="inlineStr">
        <is>
          <t>key_person</t>
        </is>
      </c>
      <c r="C39" t="inlineStr">
        <is>
          <t>CEO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174836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gpt_estimate</t>
        </is>
      </c>
    </row>
    <row r="40">
      <c r="A40" t="n">
        <v>14</v>
      </c>
      <c r="B40" t="inlineStr">
        <is>
          <t>key_person</t>
        </is>
      </c>
      <c r="C40" t="inlineStr">
        <is>
          <t>CEO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174836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gpt_estimate</t>
        </is>
      </c>
    </row>
    <row r="41">
      <c r="A41" t="n">
        <v>15</v>
      </c>
      <c r="B41" t="inlineStr">
        <is>
          <t>key_person</t>
        </is>
      </c>
      <c r="C41" t="inlineStr">
        <is>
          <t>CEO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174836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gpt_estimate</t>
        </is>
      </c>
    </row>
    <row r="42">
      <c r="A42" t="n">
        <v>16</v>
      </c>
      <c r="B42" t="inlineStr">
        <is>
          <t>key_person</t>
        </is>
      </c>
      <c r="C42" t="inlineStr">
        <is>
          <t>CEO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174836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gpt_estimate</t>
        </is>
      </c>
    </row>
    <row r="43">
      <c r="A43" t="n">
        <v>17</v>
      </c>
      <c r="B43" t="inlineStr">
        <is>
          <t>key_person</t>
        </is>
      </c>
      <c r="C43" t="inlineStr">
        <is>
          <t>CEO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180081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gpt_estimate</t>
        </is>
      </c>
    </row>
    <row r="44">
      <c r="A44" t="n">
        <v>18</v>
      </c>
      <c r="B44" t="inlineStr">
        <is>
          <t>key_person</t>
        </is>
      </c>
      <c r="C44" t="inlineStr">
        <is>
          <t>CEO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180081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gpt_estimate</t>
        </is>
      </c>
    </row>
    <row r="45">
      <c r="A45" t="n">
        <v>19</v>
      </c>
      <c r="B45" t="inlineStr">
        <is>
          <t>key_person</t>
        </is>
      </c>
      <c r="C45" t="inlineStr">
        <is>
          <t>CEO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180081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gpt_estimate</t>
        </is>
      </c>
    </row>
    <row r="46">
      <c r="A46" t="n">
        <v>20</v>
      </c>
      <c r="B46" t="inlineStr">
        <is>
          <t>key_person</t>
        </is>
      </c>
      <c r="C46" t="inlineStr">
        <is>
          <t>CEO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180081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gpt_estimate</t>
        </is>
      </c>
    </row>
    <row r="47">
      <c r="A47" t="n">
        <v>1</v>
      </c>
      <c r="B47" t="inlineStr">
        <is>
          <t>key_person</t>
        </is>
      </c>
      <c r="C47" t="inlineStr">
        <is>
          <t>Chief Operations Officer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98800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Chief Operations Officer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98800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Chief Operations Officer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98800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Chief Operations Officer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98800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Chief Operations Officer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101764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Chief Operations Officer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101764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Chief Operations Officer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101764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Chief Operations Officer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101764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Chief Operations Officer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104817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Chief Operations Officer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104817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Chief Operations Officer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104817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Chief Operations Officer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104817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Chief Operations Officer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107961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Chief Operations Officer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107961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Chief Operations Officer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107961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Chief Operations Officer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107961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Chief Operations Officer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111200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Chief Operations Officer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111200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Chief Operations Officer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111200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Chief Operations Officer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111200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key_person</t>
        </is>
      </c>
      <c r="C67" t="inlineStr">
        <is>
          <t>Chief Financial Officer</t>
        </is>
      </c>
      <c r="D67" t="inlineStr"/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142810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oews_median</t>
        </is>
      </c>
    </row>
    <row r="68">
      <c r="A68" t="n">
        <v>2</v>
      </c>
      <c r="B68" t="inlineStr">
        <is>
          <t>key_person</t>
        </is>
      </c>
      <c r="C68" t="inlineStr">
        <is>
          <t>Chief Financial Officer</t>
        </is>
      </c>
      <c r="D68" t="inlineStr"/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142810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oews_median</t>
        </is>
      </c>
    </row>
    <row r="69">
      <c r="A69" t="n">
        <v>3</v>
      </c>
      <c r="B69" t="inlineStr">
        <is>
          <t>key_person</t>
        </is>
      </c>
      <c r="C69" t="inlineStr">
        <is>
          <t>Chief Financial Officer</t>
        </is>
      </c>
      <c r="D69" t="inlineStr"/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142810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oews_median</t>
        </is>
      </c>
    </row>
    <row r="70">
      <c r="A70" t="n">
        <v>4</v>
      </c>
      <c r="B70" t="inlineStr">
        <is>
          <t>key_person</t>
        </is>
      </c>
      <c r="C70" t="inlineStr">
        <is>
          <t>Chief Financial Officer</t>
        </is>
      </c>
      <c r="D70" t="inlineStr"/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142810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oews_median</t>
        </is>
      </c>
    </row>
    <row r="71">
      <c r="A71" t="n">
        <v>5</v>
      </c>
      <c r="B71" t="inlineStr">
        <is>
          <t>key_person</t>
        </is>
      </c>
      <c r="C71" t="inlineStr">
        <is>
          <t>Chief Financial Officer</t>
        </is>
      </c>
      <c r="D71" t="inlineStr"/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147094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oews_median</t>
        </is>
      </c>
    </row>
    <row r="72">
      <c r="A72" t="n">
        <v>6</v>
      </c>
      <c r="B72" t="inlineStr">
        <is>
          <t>key_person</t>
        </is>
      </c>
      <c r="C72" t="inlineStr">
        <is>
          <t>Chief Financial Officer</t>
        </is>
      </c>
      <c r="D72" t="inlineStr"/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147094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oews_median</t>
        </is>
      </c>
    </row>
    <row r="73">
      <c r="A73" t="n">
        <v>7</v>
      </c>
      <c r="B73" t="inlineStr">
        <is>
          <t>key_person</t>
        </is>
      </c>
      <c r="C73" t="inlineStr">
        <is>
          <t>Chief Financial Officer</t>
        </is>
      </c>
      <c r="D73" t="inlineStr"/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147094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oews_median</t>
        </is>
      </c>
    </row>
    <row r="74">
      <c r="A74" t="n">
        <v>8</v>
      </c>
      <c r="B74" t="inlineStr">
        <is>
          <t>key_person</t>
        </is>
      </c>
      <c r="C74" t="inlineStr">
        <is>
          <t>Chief Financial Officer</t>
        </is>
      </c>
      <c r="D74" t="inlineStr"/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147094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oews_median</t>
        </is>
      </c>
    </row>
    <row r="75">
      <c r="A75" t="n">
        <v>9</v>
      </c>
      <c r="B75" t="inlineStr">
        <is>
          <t>key_person</t>
        </is>
      </c>
      <c r="C75" t="inlineStr">
        <is>
          <t>Chief Financial Officer</t>
        </is>
      </c>
      <c r="D75" t="inlineStr"/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151507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oews_median</t>
        </is>
      </c>
    </row>
    <row r="76">
      <c r="A76" t="n">
        <v>10</v>
      </c>
      <c r="B76" t="inlineStr">
        <is>
          <t>key_person</t>
        </is>
      </c>
      <c r="C76" t="inlineStr">
        <is>
          <t>Chief Financial Officer</t>
        </is>
      </c>
      <c r="D76" t="inlineStr"/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151507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oews_median</t>
        </is>
      </c>
    </row>
    <row r="77">
      <c r="A77" t="n">
        <v>11</v>
      </c>
      <c r="B77" t="inlineStr">
        <is>
          <t>key_person</t>
        </is>
      </c>
      <c r="C77" t="inlineStr">
        <is>
          <t>Chief Financial Officer</t>
        </is>
      </c>
      <c r="D77" t="inlineStr"/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151507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oews_median</t>
        </is>
      </c>
    </row>
    <row r="78">
      <c r="A78" t="n">
        <v>12</v>
      </c>
      <c r="B78" t="inlineStr">
        <is>
          <t>key_person</t>
        </is>
      </c>
      <c r="C78" t="inlineStr">
        <is>
          <t>Chief Financial Officer</t>
        </is>
      </c>
      <c r="D78" t="inlineStr"/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151507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oews_median</t>
        </is>
      </c>
    </row>
    <row r="79">
      <c r="A79" t="n">
        <v>13</v>
      </c>
      <c r="B79" t="inlineStr">
        <is>
          <t>key_person</t>
        </is>
      </c>
      <c r="C79" t="inlineStr">
        <is>
          <t>Chief Financial Officer</t>
        </is>
      </c>
      <c r="D79" t="inlineStr"/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156052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oews_median</t>
        </is>
      </c>
    </row>
    <row r="80">
      <c r="A80" t="n">
        <v>14</v>
      </c>
      <c r="B80" t="inlineStr">
        <is>
          <t>key_person</t>
        </is>
      </c>
      <c r="C80" t="inlineStr">
        <is>
          <t>Chief Financial Officer</t>
        </is>
      </c>
      <c r="D80" t="inlineStr"/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156052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oews_median</t>
        </is>
      </c>
    </row>
    <row r="81">
      <c r="A81" t="n">
        <v>15</v>
      </c>
      <c r="B81" t="inlineStr">
        <is>
          <t>key_person</t>
        </is>
      </c>
      <c r="C81" t="inlineStr">
        <is>
          <t>Chief Financial Officer</t>
        </is>
      </c>
      <c r="D81" t="inlineStr"/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156052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oews_median</t>
        </is>
      </c>
    </row>
    <row r="82">
      <c r="A82" t="n">
        <v>16</v>
      </c>
      <c r="B82" t="inlineStr">
        <is>
          <t>key_person</t>
        </is>
      </c>
      <c r="C82" t="inlineStr">
        <is>
          <t>Chief Financial Officer</t>
        </is>
      </c>
      <c r="D82" t="inlineStr"/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156052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oews_median</t>
        </is>
      </c>
    </row>
    <row r="83">
      <c r="A83" t="n">
        <v>17</v>
      </c>
      <c r="B83" t="inlineStr">
        <is>
          <t>key_person</t>
        </is>
      </c>
      <c r="C83" t="inlineStr">
        <is>
          <t>Chief Financial Officer</t>
        </is>
      </c>
      <c r="D83" t="inlineStr"/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160734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oews_median</t>
        </is>
      </c>
    </row>
    <row r="84">
      <c r="A84" t="n">
        <v>18</v>
      </c>
      <c r="B84" t="inlineStr">
        <is>
          <t>key_person</t>
        </is>
      </c>
      <c r="C84" t="inlineStr">
        <is>
          <t>Chief Financial Officer</t>
        </is>
      </c>
      <c r="D84" t="inlineStr"/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160734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oews_median</t>
        </is>
      </c>
    </row>
    <row r="85">
      <c r="A85" t="n">
        <v>19</v>
      </c>
      <c r="B85" t="inlineStr">
        <is>
          <t>key_person</t>
        </is>
      </c>
      <c r="C85" t="inlineStr">
        <is>
          <t>Chief Financial Officer</t>
        </is>
      </c>
      <c r="D85" t="inlineStr"/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160734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oews_median</t>
        </is>
      </c>
    </row>
    <row r="86">
      <c r="A86" t="n">
        <v>20</v>
      </c>
      <c r="B86" t="inlineStr">
        <is>
          <t>key_person</t>
        </is>
      </c>
      <c r="C86" t="inlineStr">
        <is>
          <t>Chief Financial Officer</t>
        </is>
      </c>
      <c r="D86" t="inlineStr"/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160734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oews_median</t>
        </is>
      </c>
    </row>
    <row r="87">
      <c r="A87" t="n">
        <v>1</v>
      </c>
      <c r="B87" t="inlineStr">
        <is>
          <t>supporting_staff</t>
        </is>
      </c>
      <c r="C87" t="inlineStr">
        <is>
          <t>Heavy and Tractor-Trailer Truck Drivers</t>
        </is>
      </c>
      <c r="D87" t="inlineStr">
        <is>
          <t>Heavy and Tractor-Trailer Truck Drivers</t>
        </is>
      </c>
      <c r="E87" s="29" t="n">
        <v>20</v>
      </c>
      <c r="F87" s="29" t="n">
        <v>0</v>
      </c>
      <c r="G87" s="30">
        <f>E87+F87</f>
        <v/>
      </c>
      <c r="H87" s="30">
        <f>(E87+G87)/2</f>
        <v/>
      </c>
      <c r="I87" s="31" t="n">
        <v>59225</v>
      </c>
      <c r="J87" s="32" t="n">
        <v>0.22</v>
      </c>
      <c r="K87" s="33">
        <f>H87*I87/4</f>
        <v/>
      </c>
      <c r="L87" s="33">
        <f>K87*J87</f>
        <v/>
      </c>
      <c r="M87" s="33">
        <f>K87+L87</f>
        <v/>
      </c>
      <c r="N87" t="inlineStr">
        <is>
          <t>oews_title_catalog:oews_median</t>
        </is>
      </c>
    </row>
    <row r="88">
      <c r="A88" t="n">
        <v>2</v>
      </c>
      <c r="B88" t="inlineStr">
        <is>
          <t>supporting_staff</t>
        </is>
      </c>
      <c r="C88" t="inlineStr">
        <is>
          <t>Heavy and Tractor-Trailer Truck Drivers</t>
        </is>
      </c>
      <c r="D88" t="inlineStr">
        <is>
          <t>Heavy and Tractor-Trailer Truck Drivers</t>
        </is>
      </c>
      <c r="E88" s="29" t="n">
        <v>20</v>
      </c>
      <c r="F88" s="29" t="n">
        <v>0</v>
      </c>
      <c r="G88" s="30">
        <f>E88+F88</f>
        <v/>
      </c>
      <c r="H88" s="30">
        <f>(E88+G88)/2</f>
        <v/>
      </c>
      <c r="I88" s="31" t="n">
        <v>59225</v>
      </c>
      <c r="J88" s="32" t="n">
        <v>0.22</v>
      </c>
      <c r="K88" s="33">
        <f>H88*I88/4</f>
        <v/>
      </c>
      <c r="L88" s="33">
        <f>K88*J88</f>
        <v/>
      </c>
      <c r="M88" s="33">
        <f>K88+L88</f>
        <v/>
      </c>
      <c r="N88" t="inlineStr">
        <is>
          <t>oews_title_catalog:oews_median</t>
        </is>
      </c>
    </row>
    <row r="89">
      <c r="A89" t="n">
        <v>3</v>
      </c>
      <c r="B89" t="inlineStr">
        <is>
          <t>supporting_staff</t>
        </is>
      </c>
      <c r="C89" t="inlineStr">
        <is>
          <t>Heavy and Tractor-Trailer Truck Drivers</t>
        </is>
      </c>
      <c r="D89" t="inlineStr">
        <is>
          <t>Heavy and Tractor-Trailer Truck Drivers</t>
        </is>
      </c>
      <c r="E89" s="29" t="n">
        <v>20</v>
      </c>
      <c r="F89" s="29" t="n">
        <v>0</v>
      </c>
      <c r="G89" s="30">
        <f>E89+F89</f>
        <v/>
      </c>
      <c r="H89" s="30">
        <f>(E89+G89)/2</f>
        <v/>
      </c>
      <c r="I89" s="31" t="n">
        <v>59225</v>
      </c>
      <c r="J89" s="32" t="n">
        <v>0.22</v>
      </c>
      <c r="K89" s="33">
        <f>H89*I89/4</f>
        <v/>
      </c>
      <c r="L89" s="33">
        <f>K89*J89</f>
        <v/>
      </c>
      <c r="M89" s="33">
        <f>K89+L89</f>
        <v/>
      </c>
      <c r="N89" t="inlineStr">
        <is>
          <t>oews_title_catalog:oews_median</t>
        </is>
      </c>
    </row>
    <row r="90">
      <c r="A90" t="n">
        <v>4</v>
      </c>
      <c r="B90" t="inlineStr">
        <is>
          <t>supporting_staff</t>
        </is>
      </c>
      <c r="C90" t="inlineStr">
        <is>
          <t>Heavy and Tractor-Trailer Truck Drivers</t>
        </is>
      </c>
      <c r="D90" t="inlineStr">
        <is>
          <t>Heavy and Tractor-Trailer Truck Drivers</t>
        </is>
      </c>
      <c r="E90" s="29" t="n">
        <v>20</v>
      </c>
      <c r="F90" s="29" t="n">
        <v>0</v>
      </c>
      <c r="G90" s="30">
        <f>E90+F90</f>
        <v/>
      </c>
      <c r="H90" s="30">
        <f>(E90+G90)/2</f>
        <v/>
      </c>
      <c r="I90" s="31" t="n">
        <v>59225</v>
      </c>
      <c r="J90" s="32" t="n">
        <v>0.22</v>
      </c>
      <c r="K90" s="33">
        <f>H90*I90/4</f>
        <v/>
      </c>
      <c r="L90" s="33">
        <f>K90*J90</f>
        <v/>
      </c>
      <c r="M90" s="33">
        <f>K90+L90</f>
        <v/>
      </c>
      <c r="N90" t="inlineStr">
        <is>
          <t>oews_title_catalog:oews_median</t>
        </is>
      </c>
    </row>
    <row r="91">
      <c r="A91" t="n">
        <v>5</v>
      </c>
      <c r="B91" t="inlineStr">
        <is>
          <t>supporting_staff</t>
        </is>
      </c>
      <c r="C91" t="inlineStr">
        <is>
          <t>Heavy and Tractor-Trailer Truck Drivers</t>
        </is>
      </c>
      <c r="D91" t="inlineStr">
        <is>
          <t>Heavy and Tractor-Trailer Truck Drivers</t>
        </is>
      </c>
      <c r="E91" s="29" t="n">
        <v>20</v>
      </c>
      <c r="F91" s="29" t="n">
        <v>0</v>
      </c>
      <c r="G91" s="30">
        <f>E91+F91</f>
        <v/>
      </c>
      <c r="H91" s="30">
        <f>(E91+G91)/2</f>
        <v/>
      </c>
      <c r="I91" s="31" t="n">
        <v>61002</v>
      </c>
      <c r="J91" s="32" t="n">
        <v>0.22</v>
      </c>
      <c r="K91" s="33">
        <f>H91*I91/4</f>
        <v/>
      </c>
      <c r="L91" s="33">
        <f>K91*J91</f>
        <v/>
      </c>
      <c r="M91" s="33">
        <f>K91+L91</f>
        <v/>
      </c>
      <c r="N91" t="inlineStr">
        <is>
          <t>oews_title_catalog:oews_median</t>
        </is>
      </c>
    </row>
    <row r="92">
      <c r="A92" t="n">
        <v>6</v>
      </c>
      <c r="B92" t="inlineStr">
        <is>
          <t>supporting_staff</t>
        </is>
      </c>
      <c r="C92" t="inlineStr">
        <is>
          <t>Heavy and Tractor-Trailer Truck Drivers</t>
        </is>
      </c>
      <c r="D92" t="inlineStr">
        <is>
          <t>Heavy and Tractor-Trailer Truck Drivers</t>
        </is>
      </c>
      <c r="E92" s="29" t="n">
        <v>20</v>
      </c>
      <c r="F92" s="29" t="n">
        <v>0</v>
      </c>
      <c r="G92" s="30">
        <f>E92+F92</f>
        <v/>
      </c>
      <c r="H92" s="30">
        <f>(E92+G92)/2</f>
        <v/>
      </c>
      <c r="I92" s="31" t="n">
        <v>61002</v>
      </c>
      <c r="J92" s="32" t="n">
        <v>0.22</v>
      </c>
      <c r="K92" s="33">
        <f>H92*I92/4</f>
        <v/>
      </c>
      <c r="L92" s="33">
        <f>K92*J92</f>
        <v/>
      </c>
      <c r="M92" s="33">
        <f>K92+L92</f>
        <v/>
      </c>
      <c r="N92" t="inlineStr">
        <is>
          <t>oews_title_catalog:oews_median</t>
        </is>
      </c>
    </row>
    <row r="93">
      <c r="A93" t="n">
        <v>7</v>
      </c>
      <c r="B93" t="inlineStr">
        <is>
          <t>supporting_staff</t>
        </is>
      </c>
      <c r="C93" t="inlineStr">
        <is>
          <t>Heavy and Tractor-Trailer Truck Drivers</t>
        </is>
      </c>
      <c r="D93" t="inlineStr">
        <is>
          <t>Heavy and Tractor-Trailer Truck Drivers</t>
        </is>
      </c>
      <c r="E93" s="29" t="n">
        <v>20</v>
      </c>
      <c r="F93" s="29" t="n">
        <v>0</v>
      </c>
      <c r="G93" s="30">
        <f>E93+F93</f>
        <v/>
      </c>
      <c r="H93" s="30">
        <f>(E93+G93)/2</f>
        <v/>
      </c>
      <c r="I93" s="31" t="n">
        <v>61002</v>
      </c>
      <c r="J93" s="32" t="n">
        <v>0.22</v>
      </c>
      <c r="K93" s="33">
        <f>H93*I93/4</f>
        <v/>
      </c>
      <c r="L93" s="33">
        <f>K93*J93</f>
        <v/>
      </c>
      <c r="M93" s="33">
        <f>K93+L93</f>
        <v/>
      </c>
      <c r="N93" t="inlineStr">
        <is>
          <t>oews_title_catalog:oews_median</t>
        </is>
      </c>
    </row>
    <row r="94">
      <c r="A94" t="n">
        <v>8</v>
      </c>
      <c r="B94" t="inlineStr">
        <is>
          <t>supporting_staff</t>
        </is>
      </c>
      <c r="C94" t="inlineStr">
        <is>
          <t>Heavy and Tractor-Trailer Truck Drivers</t>
        </is>
      </c>
      <c r="D94" t="inlineStr">
        <is>
          <t>Heavy and Tractor-Trailer Truck Drivers</t>
        </is>
      </c>
      <c r="E94" s="29" t="n">
        <v>20</v>
      </c>
      <c r="F94" s="29" t="n">
        <v>0</v>
      </c>
      <c r="G94" s="30">
        <f>E94+F94</f>
        <v/>
      </c>
      <c r="H94" s="30">
        <f>(E94+G94)/2</f>
        <v/>
      </c>
      <c r="I94" s="31" t="n">
        <v>61002</v>
      </c>
      <c r="J94" s="32" t="n">
        <v>0.22</v>
      </c>
      <c r="K94" s="33">
        <f>H94*I94/4</f>
        <v/>
      </c>
      <c r="L94" s="33">
        <f>K94*J94</f>
        <v/>
      </c>
      <c r="M94" s="33">
        <f>K94+L94</f>
        <v/>
      </c>
      <c r="N94" t="inlineStr">
        <is>
          <t>oews_title_catalog:oews_median</t>
        </is>
      </c>
    </row>
    <row r="95">
      <c r="A95" t="n">
        <v>9</v>
      </c>
      <c r="B95" t="inlineStr">
        <is>
          <t>supporting_staff</t>
        </is>
      </c>
      <c r="C95" t="inlineStr">
        <is>
          <t>Heavy and Tractor-Trailer Truck Drivers</t>
        </is>
      </c>
      <c r="D95" t="inlineStr">
        <is>
          <t>Heavy and Tractor-Trailer Truck Drivers</t>
        </is>
      </c>
      <c r="E95" s="29" t="n">
        <v>20</v>
      </c>
      <c r="F95" s="29" t="n">
        <v>0</v>
      </c>
      <c r="G95" s="30">
        <f>E95+F95</f>
        <v/>
      </c>
      <c r="H95" s="30">
        <f>(E95+G95)/2</f>
        <v/>
      </c>
      <c r="I95" s="31" t="n">
        <v>62832</v>
      </c>
      <c r="J95" s="32" t="n">
        <v>0.22</v>
      </c>
      <c r="K95" s="33">
        <f>H95*I95/4</f>
        <v/>
      </c>
      <c r="L95" s="33">
        <f>K95*J95</f>
        <v/>
      </c>
      <c r="M95" s="33">
        <f>K95+L95</f>
        <v/>
      </c>
      <c r="N95" t="inlineStr">
        <is>
          <t>oews_title_catalog:oews_median</t>
        </is>
      </c>
    </row>
    <row r="96">
      <c r="A96" t="n">
        <v>10</v>
      </c>
      <c r="B96" t="inlineStr">
        <is>
          <t>supporting_staff</t>
        </is>
      </c>
      <c r="C96" t="inlineStr">
        <is>
          <t>Heavy and Tractor-Trailer Truck Drivers</t>
        </is>
      </c>
      <c r="D96" t="inlineStr">
        <is>
          <t>Heavy and Tractor-Trailer Truck Drivers</t>
        </is>
      </c>
      <c r="E96" s="29" t="n">
        <v>20</v>
      </c>
      <c r="F96" s="29" t="n">
        <v>0</v>
      </c>
      <c r="G96" s="30">
        <f>E96+F96</f>
        <v/>
      </c>
      <c r="H96" s="30">
        <f>(E96+G96)/2</f>
        <v/>
      </c>
      <c r="I96" s="31" t="n">
        <v>62832</v>
      </c>
      <c r="J96" s="32" t="n">
        <v>0.22</v>
      </c>
      <c r="K96" s="33">
        <f>H96*I96/4</f>
        <v/>
      </c>
      <c r="L96" s="33">
        <f>K96*J96</f>
        <v/>
      </c>
      <c r="M96" s="33">
        <f>K96+L96</f>
        <v/>
      </c>
      <c r="N96" t="inlineStr">
        <is>
          <t>oews_title_catalog:oews_median</t>
        </is>
      </c>
    </row>
    <row r="97">
      <c r="A97" t="n">
        <v>11</v>
      </c>
      <c r="B97" t="inlineStr">
        <is>
          <t>supporting_staff</t>
        </is>
      </c>
      <c r="C97" t="inlineStr">
        <is>
          <t>Heavy and Tractor-Trailer Truck Drivers</t>
        </is>
      </c>
      <c r="D97" t="inlineStr">
        <is>
          <t>Heavy and Tractor-Trailer Truck Drivers</t>
        </is>
      </c>
      <c r="E97" s="29" t="n">
        <v>20</v>
      </c>
      <c r="F97" s="29" t="n">
        <v>0</v>
      </c>
      <c r="G97" s="30">
        <f>E97+F97</f>
        <v/>
      </c>
      <c r="H97" s="30">
        <f>(E97+G97)/2</f>
        <v/>
      </c>
      <c r="I97" s="31" t="n">
        <v>62832</v>
      </c>
      <c r="J97" s="32" t="n">
        <v>0.22</v>
      </c>
      <c r="K97" s="33">
        <f>H97*I97/4</f>
        <v/>
      </c>
      <c r="L97" s="33">
        <f>K97*J97</f>
        <v/>
      </c>
      <c r="M97" s="33">
        <f>K97+L97</f>
        <v/>
      </c>
      <c r="N97" t="inlineStr">
        <is>
          <t>oews_title_catalog:oews_median</t>
        </is>
      </c>
    </row>
    <row r="98">
      <c r="A98" t="n">
        <v>12</v>
      </c>
      <c r="B98" t="inlineStr">
        <is>
          <t>supporting_staff</t>
        </is>
      </c>
      <c r="C98" t="inlineStr">
        <is>
          <t>Heavy and Tractor-Trailer Truck Drivers</t>
        </is>
      </c>
      <c r="D98" t="inlineStr">
        <is>
          <t>Heavy and Tractor-Trailer Truck Drivers</t>
        </is>
      </c>
      <c r="E98" s="29" t="n">
        <v>20</v>
      </c>
      <c r="F98" s="29" t="n">
        <v>0</v>
      </c>
      <c r="G98" s="30">
        <f>E98+F98</f>
        <v/>
      </c>
      <c r="H98" s="30">
        <f>(E98+G98)/2</f>
        <v/>
      </c>
      <c r="I98" s="31" t="n">
        <v>62832</v>
      </c>
      <c r="J98" s="32" t="n">
        <v>0.22</v>
      </c>
      <c r="K98" s="33">
        <f>H98*I98/4</f>
        <v/>
      </c>
      <c r="L98" s="33">
        <f>K98*J98</f>
        <v/>
      </c>
      <c r="M98" s="33">
        <f>K98+L98</f>
        <v/>
      </c>
      <c r="N98" t="inlineStr">
        <is>
          <t>oews_title_catalog:oews_median</t>
        </is>
      </c>
    </row>
    <row r="99">
      <c r="A99" t="n">
        <v>13</v>
      </c>
      <c r="B99" t="inlineStr">
        <is>
          <t>supporting_staff</t>
        </is>
      </c>
      <c r="C99" t="inlineStr">
        <is>
          <t>Heavy and Tractor-Trailer Truck Drivers</t>
        </is>
      </c>
      <c r="D99" t="inlineStr">
        <is>
          <t>Heavy and Tractor-Trailer Truck Drivers</t>
        </is>
      </c>
      <c r="E99" s="29" t="n">
        <v>20</v>
      </c>
      <c r="F99" s="29" t="n">
        <v>0</v>
      </c>
      <c r="G99" s="30">
        <f>E99+F99</f>
        <v/>
      </c>
      <c r="H99" s="30">
        <f>(E99+G99)/2</f>
        <v/>
      </c>
      <c r="I99" s="31" t="n">
        <v>64717</v>
      </c>
      <c r="J99" s="32" t="n">
        <v>0.22</v>
      </c>
      <c r="K99" s="33">
        <f>H99*I99/4</f>
        <v/>
      </c>
      <c r="L99" s="33">
        <f>K99*J99</f>
        <v/>
      </c>
      <c r="M99" s="33">
        <f>K99+L99</f>
        <v/>
      </c>
      <c r="N99" t="inlineStr">
        <is>
          <t>oews_title_catalog:oews_median</t>
        </is>
      </c>
    </row>
    <row r="100">
      <c r="A100" t="n">
        <v>14</v>
      </c>
      <c r="B100" t="inlineStr">
        <is>
          <t>supporting_staff</t>
        </is>
      </c>
      <c r="C100" t="inlineStr">
        <is>
          <t>Heavy and Tractor-Trailer Truck Drivers</t>
        </is>
      </c>
      <c r="D100" t="inlineStr">
        <is>
          <t>Heavy and Tractor-Trailer Truck Drivers</t>
        </is>
      </c>
      <c r="E100" s="29" t="n">
        <v>20</v>
      </c>
      <c r="F100" s="29" t="n">
        <v>0</v>
      </c>
      <c r="G100" s="30">
        <f>E100+F100</f>
        <v/>
      </c>
      <c r="H100" s="30">
        <f>(E100+G100)/2</f>
        <v/>
      </c>
      <c r="I100" s="31" t="n">
        <v>64717</v>
      </c>
      <c r="J100" s="32" t="n">
        <v>0.22</v>
      </c>
      <c r="K100" s="33">
        <f>H100*I100/4</f>
        <v/>
      </c>
      <c r="L100" s="33">
        <f>K100*J100</f>
        <v/>
      </c>
      <c r="M100" s="33">
        <f>K100+L100</f>
        <v/>
      </c>
      <c r="N100" t="inlineStr">
        <is>
          <t>oews_title_catalog:oews_median</t>
        </is>
      </c>
    </row>
    <row r="101">
      <c r="A101" t="n">
        <v>15</v>
      </c>
      <c r="B101" t="inlineStr">
        <is>
          <t>supporting_staff</t>
        </is>
      </c>
      <c r="C101" t="inlineStr">
        <is>
          <t>Heavy and Tractor-Trailer Truck Drivers</t>
        </is>
      </c>
      <c r="D101" t="inlineStr">
        <is>
          <t>Heavy and Tractor-Trailer Truck Drivers</t>
        </is>
      </c>
      <c r="E101" s="29" t="n">
        <v>20</v>
      </c>
      <c r="F101" s="29" t="n">
        <v>0</v>
      </c>
      <c r="G101" s="30">
        <f>E101+F101</f>
        <v/>
      </c>
      <c r="H101" s="30">
        <f>(E101+G101)/2</f>
        <v/>
      </c>
      <c r="I101" s="31" t="n">
        <v>64717</v>
      </c>
      <c r="J101" s="32" t="n">
        <v>0.22</v>
      </c>
      <c r="K101" s="33">
        <f>H101*I101/4</f>
        <v/>
      </c>
      <c r="L101" s="33">
        <f>K101*J101</f>
        <v/>
      </c>
      <c r="M101" s="33">
        <f>K101+L101</f>
        <v/>
      </c>
      <c r="N101" t="inlineStr">
        <is>
          <t>oews_title_catalog:oews_median</t>
        </is>
      </c>
    </row>
    <row r="102">
      <c r="A102" t="n">
        <v>16</v>
      </c>
      <c r="B102" t="inlineStr">
        <is>
          <t>supporting_staff</t>
        </is>
      </c>
      <c r="C102" t="inlineStr">
        <is>
          <t>Heavy and Tractor-Trailer Truck Drivers</t>
        </is>
      </c>
      <c r="D102" t="inlineStr">
        <is>
          <t>Heavy and Tractor-Trailer Truck Drivers</t>
        </is>
      </c>
      <c r="E102" s="29" t="n">
        <v>20</v>
      </c>
      <c r="F102" s="29" t="n">
        <v>0</v>
      </c>
      <c r="G102" s="30">
        <f>E102+F102</f>
        <v/>
      </c>
      <c r="H102" s="30">
        <f>(E102+G102)/2</f>
        <v/>
      </c>
      <c r="I102" s="31" t="n">
        <v>64717</v>
      </c>
      <c r="J102" s="32" t="n">
        <v>0.22</v>
      </c>
      <c r="K102" s="33">
        <f>H102*I102/4</f>
        <v/>
      </c>
      <c r="L102" s="33">
        <f>K102*J102</f>
        <v/>
      </c>
      <c r="M102" s="33">
        <f>K102+L102</f>
        <v/>
      </c>
      <c r="N102" t="inlineStr">
        <is>
          <t>oews_title_catalog:oews_median</t>
        </is>
      </c>
    </row>
    <row r="103">
      <c r="A103" t="n">
        <v>17</v>
      </c>
      <c r="B103" t="inlineStr">
        <is>
          <t>supporting_staff</t>
        </is>
      </c>
      <c r="C103" t="inlineStr">
        <is>
          <t>Heavy and Tractor-Trailer Truck Drivers</t>
        </is>
      </c>
      <c r="D103" t="inlineStr">
        <is>
          <t>Heavy and Tractor-Trailer Truck Drivers</t>
        </is>
      </c>
      <c r="E103" s="29" t="n">
        <v>20</v>
      </c>
      <c r="F103" s="29" t="n">
        <v>0</v>
      </c>
      <c r="G103" s="30">
        <f>E103+F103</f>
        <v/>
      </c>
      <c r="H103" s="30">
        <f>(E103+G103)/2</f>
        <v/>
      </c>
      <c r="I103" s="31" t="n">
        <v>66658</v>
      </c>
      <c r="J103" s="32" t="n">
        <v>0.22</v>
      </c>
      <c r="K103" s="33">
        <f>H103*I103/4</f>
        <v/>
      </c>
      <c r="L103" s="33">
        <f>K103*J103</f>
        <v/>
      </c>
      <c r="M103" s="33">
        <f>K103+L103</f>
        <v/>
      </c>
      <c r="N103" t="inlineStr">
        <is>
          <t>oews_title_catalog:oews_median</t>
        </is>
      </c>
    </row>
    <row r="104">
      <c r="A104" t="n">
        <v>18</v>
      </c>
      <c r="B104" t="inlineStr">
        <is>
          <t>supporting_staff</t>
        </is>
      </c>
      <c r="C104" t="inlineStr">
        <is>
          <t>Heavy and Tractor-Trailer Truck Drivers</t>
        </is>
      </c>
      <c r="D104" t="inlineStr">
        <is>
          <t>Heavy and Tractor-Trailer Truck Drivers</t>
        </is>
      </c>
      <c r="E104" s="29" t="n">
        <v>20</v>
      </c>
      <c r="F104" s="29" t="n">
        <v>0</v>
      </c>
      <c r="G104" s="30">
        <f>E104+F104</f>
        <v/>
      </c>
      <c r="H104" s="30">
        <f>(E104+G104)/2</f>
        <v/>
      </c>
      <c r="I104" s="31" t="n">
        <v>66658</v>
      </c>
      <c r="J104" s="32" t="n">
        <v>0.22</v>
      </c>
      <c r="K104" s="33">
        <f>H104*I104/4</f>
        <v/>
      </c>
      <c r="L104" s="33">
        <f>K104*J104</f>
        <v/>
      </c>
      <c r="M104" s="33">
        <f>K104+L104</f>
        <v/>
      </c>
      <c r="N104" t="inlineStr">
        <is>
          <t>oews_title_catalog:oews_median</t>
        </is>
      </c>
    </row>
    <row r="105">
      <c r="A105" t="n">
        <v>19</v>
      </c>
      <c r="B105" t="inlineStr">
        <is>
          <t>supporting_staff</t>
        </is>
      </c>
      <c r="C105" t="inlineStr">
        <is>
          <t>Heavy and Tractor-Trailer Truck Drivers</t>
        </is>
      </c>
      <c r="D105" t="inlineStr">
        <is>
          <t>Heavy and Tractor-Trailer Truck Drivers</t>
        </is>
      </c>
      <c r="E105" s="29" t="n">
        <v>20</v>
      </c>
      <c r="F105" s="29" t="n">
        <v>0</v>
      </c>
      <c r="G105" s="30">
        <f>E105+F105</f>
        <v/>
      </c>
      <c r="H105" s="30">
        <f>(E105+G105)/2</f>
        <v/>
      </c>
      <c r="I105" s="31" t="n">
        <v>66658</v>
      </c>
      <c r="J105" s="32" t="n">
        <v>0.22</v>
      </c>
      <c r="K105" s="33">
        <f>H105*I105/4</f>
        <v/>
      </c>
      <c r="L105" s="33">
        <f>K105*J105</f>
        <v/>
      </c>
      <c r="M105" s="33">
        <f>K105+L105</f>
        <v/>
      </c>
      <c r="N105" t="inlineStr">
        <is>
          <t>oews_title_catalog:oews_median</t>
        </is>
      </c>
    </row>
    <row r="106">
      <c r="A106" t="n">
        <v>20</v>
      </c>
      <c r="B106" t="inlineStr">
        <is>
          <t>supporting_staff</t>
        </is>
      </c>
      <c r="C106" t="inlineStr">
        <is>
          <t>Heavy and Tractor-Trailer Truck Drivers</t>
        </is>
      </c>
      <c r="D106" t="inlineStr">
        <is>
          <t>Heavy and Tractor-Trailer Truck Drivers</t>
        </is>
      </c>
      <c r="E106" s="29" t="n">
        <v>20</v>
      </c>
      <c r="F106" s="29" t="n">
        <v>0</v>
      </c>
      <c r="G106" s="30">
        <f>E106+F106</f>
        <v/>
      </c>
      <c r="H106" s="30">
        <f>(E106+G106)/2</f>
        <v/>
      </c>
      <c r="I106" s="31" t="n">
        <v>66658</v>
      </c>
      <c r="J106" s="32" t="n">
        <v>0.22</v>
      </c>
      <c r="K106" s="33">
        <f>H106*I106/4</f>
        <v/>
      </c>
      <c r="L106" s="33">
        <f>K106*J106</f>
        <v/>
      </c>
      <c r="M106" s="33">
        <f>K106+L106</f>
        <v/>
      </c>
      <c r="N106" t="inlineStr">
        <is>
          <t>oews_title_catalog:oews_median</t>
        </is>
      </c>
    </row>
  </sheetData>
  <autoFilter ref="A26:N10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1500000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75000</v>
      </c>
      <c r="E9" s="11" t="n">
        <v>75000</v>
      </c>
      <c r="F9" s="11" t="n">
        <v>75000</v>
      </c>
      <c r="G9" s="11" t="n">
        <v>75000</v>
      </c>
      <c r="H9" s="11" t="n">
        <v>75000</v>
      </c>
      <c r="I9" s="11" t="n">
        <v>75000</v>
      </c>
      <c r="J9" s="11" t="n">
        <v>75000</v>
      </c>
      <c r="K9" s="11" t="n">
        <v>75000</v>
      </c>
      <c r="L9" s="11" t="n">
        <v>75000</v>
      </c>
      <c r="M9" s="11" t="n">
        <v>75000</v>
      </c>
      <c r="N9" s="11" t="n">
        <v>75000</v>
      </c>
      <c r="O9" s="11" t="n">
        <v>75000</v>
      </c>
      <c r="P9" s="11" t="n">
        <v>75000</v>
      </c>
      <c r="Q9" s="11" t="n">
        <v>75000</v>
      </c>
      <c r="R9" s="11" t="n">
        <v>75000</v>
      </c>
      <c r="S9" s="11" t="n">
        <v>75000</v>
      </c>
      <c r="T9" s="11" t="n">
        <v>75000</v>
      </c>
      <c r="U9" s="11" t="n">
        <v>75000</v>
      </c>
      <c r="V9" s="11" t="n">
        <v>75000</v>
      </c>
      <c r="W9" s="11" t="n">
        <v>75000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0.03</v>
      </c>
      <c r="D12" s="13" t="n">
        <v>0.025625</v>
      </c>
      <c r="E12" s="13" t="n">
        <v>0.025625</v>
      </c>
      <c r="F12" s="13" t="n">
        <v>0.025625</v>
      </c>
      <c r="G12" s="13" t="n">
        <v>0.025625</v>
      </c>
      <c r="H12" s="13" t="n">
        <v>0.025625</v>
      </c>
      <c r="I12" s="13" t="n">
        <v>0.025625</v>
      </c>
      <c r="J12" s="13" t="n">
        <v>0.025625</v>
      </c>
      <c r="K12" s="13" t="n">
        <v>0.025625</v>
      </c>
      <c r="L12" s="13" t="n">
        <v>0.025625</v>
      </c>
      <c r="M12" s="13" t="n">
        <v>0.025625</v>
      </c>
      <c r="N12" s="13" t="n">
        <v>0.025625</v>
      </c>
      <c r="O12" s="13" t="n">
        <v>0.025625</v>
      </c>
      <c r="P12" s="13" t="n">
        <v>0.025625</v>
      </c>
      <c r="Q12" s="13" t="n">
        <v>0.025625</v>
      </c>
      <c r="R12" s="13" t="n">
        <v>0.025625</v>
      </c>
      <c r="S12" s="13" t="n">
        <v>0.025625</v>
      </c>
      <c r="T12" s="13" t="n">
        <v>0.025625</v>
      </c>
      <c r="U12" s="13" t="n">
        <v>0.025625</v>
      </c>
      <c r="V12" s="13" t="n">
        <v>0.025625</v>
      </c>
      <c r="W12" s="13" t="n">
        <v>0.025625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60000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30000</v>
      </c>
      <c r="E19" s="26" t="n">
        <v>30000</v>
      </c>
      <c r="F19" s="26" t="n">
        <v>30000</v>
      </c>
      <c r="G19" s="26" t="n">
        <v>30000</v>
      </c>
      <c r="H19" s="26" t="n">
        <v>30000</v>
      </c>
      <c r="I19" s="26" t="n">
        <v>30000</v>
      </c>
      <c r="J19" s="26" t="n">
        <v>30000</v>
      </c>
      <c r="K19" s="26" t="n">
        <v>30000</v>
      </c>
      <c r="L19" s="26" t="n">
        <v>30000</v>
      </c>
      <c r="M19" s="26" t="n">
        <v>30000</v>
      </c>
      <c r="N19" s="26" t="n">
        <v>30000</v>
      </c>
      <c r="O19" s="26" t="n">
        <v>30000</v>
      </c>
      <c r="P19" s="26" t="n">
        <v>30000</v>
      </c>
      <c r="Q19" s="26" t="n">
        <v>30000</v>
      </c>
      <c r="R19" s="26" t="n">
        <v>30000</v>
      </c>
      <c r="S19" s="26" t="n">
        <v>30000</v>
      </c>
      <c r="T19" s="26" t="n">
        <v>30000</v>
      </c>
      <c r="U19" s="26" t="n">
        <v>30000</v>
      </c>
      <c r="V19" s="26" t="n">
        <v>30000</v>
      </c>
      <c r="W19" s="26" t="n">
        <v>30000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60000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1200000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9364.799999999999</v>
      </c>
      <c r="E8" s="35" t="n">
        <v>9434.230627000001</v>
      </c>
      <c r="F8" s="35" t="n">
        <v>9500.515531999999</v>
      </c>
      <c r="G8" s="35" t="n">
        <v>9563.617956</v>
      </c>
      <c r="H8" s="35" t="n">
        <v>9623.476640999999</v>
      </c>
      <c r="I8" s="35" t="n">
        <v>9680.05306</v>
      </c>
      <c r="J8" s="35" t="n">
        <v>9733.293352000001</v>
      </c>
      <c r="K8" s="35" t="n">
        <v>9783.147279999999</v>
      </c>
      <c r="L8" s="35" t="n">
        <v>9829.568314</v>
      </c>
      <c r="M8" s="35" t="n">
        <v>9872.523526999999</v>
      </c>
      <c r="N8" s="35" t="n">
        <v>9911.954385999999</v>
      </c>
      <c r="O8" s="35" t="n">
        <v>9947.825749</v>
      </c>
      <c r="P8" s="35" t="n">
        <v>9980.096496</v>
      </c>
      <c r="Q8" s="35" t="n">
        <v>10008.729393</v>
      </c>
      <c r="R8" s="35" t="n">
        <v>10033.681155</v>
      </c>
      <c r="S8" s="35" t="n">
        <v>10054.912425</v>
      </c>
      <c r="T8" s="35" t="n">
        <v>10072.387862</v>
      </c>
      <c r="U8" s="35" t="n">
        <v>10086.066165</v>
      </c>
      <c r="V8" s="35" t="n">
        <v>10095.910166</v>
      </c>
      <c r="W8" s="35" t="n">
        <v>10101.89704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0.00039</v>
      </c>
      <c r="E10" s="13" t="n">
        <v>0.000778</v>
      </c>
      <c r="F10" s="13" t="n">
        <v>0.001162</v>
      </c>
      <c r="G10" s="13" t="n">
        <v>0.001545</v>
      </c>
      <c r="H10" s="13" t="n">
        <v>0.001925</v>
      </c>
      <c r="I10" s="13" t="n">
        <v>0.002304</v>
      </c>
      <c r="J10" s="13" t="n">
        <v>0.002682</v>
      </c>
      <c r="K10" s="13" t="n">
        <v>0.003059</v>
      </c>
      <c r="L10" s="13" t="n">
        <v>0.003434</v>
      </c>
      <c r="M10" s="13" t="n">
        <v>0.00381</v>
      </c>
      <c r="N10" s="13" t="n">
        <v>0.004185</v>
      </c>
      <c r="O10" s="13" t="n">
        <v>0.00456</v>
      </c>
      <c r="P10" s="13" t="n">
        <v>0.004935</v>
      </c>
      <c r="Q10" s="13" t="n">
        <v>0.005311</v>
      </c>
      <c r="R10" s="13" t="n">
        <v>0.005688</v>
      </c>
      <c r="S10" s="13" t="n">
        <v>0.006066</v>
      </c>
      <c r="T10" s="13" t="n">
        <v>0.006446</v>
      </c>
      <c r="U10" s="13" t="n">
        <v>0.006828</v>
      </c>
      <c r="V10" s="13" t="n">
        <v>0.007211</v>
      </c>
      <c r="W10" s="13" t="n">
        <v>0.007597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45.62</v>
      </c>
      <c r="E7" s="9" t="n">
        <v>45.62</v>
      </c>
      <c r="F7" s="9" t="n">
        <v>45.143293</v>
      </c>
      <c r="G7" s="9" t="n">
        <v>45.62</v>
      </c>
      <c r="H7" s="9" t="n">
        <v>45.697291</v>
      </c>
      <c r="I7" s="9" t="n">
        <v>45.715543</v>
      </c>
      <c r="J7" s="9" t="n">
        <v>45.698325</v>
      </c>
      <c r="K7" s="9" t="n">
        <v>45.717224</v>
      </c>
      <c r="L7" s="9" t="n">
        <v>45.77434</v>
      </c>
      <c r="M7" s="9" t="n">
        <v>45.792616</v>
      </c>
      <c r="N7" s="9" t="n">
        <v>45.736976</v>
      </c>
      <c r="O7" s="9" t="n">
        <v>45.790137</v>
      </c>
      <c r="P7" s="9" t="n">
        <v>45.844988</v>
      </c>
      <c r="Q7" s="9" t="n">
        <v>45.86166</v>
      </c>
      <c r="R7" s="9" t="n">
        <v>45.805163</v>
      </c>
      <c r="S7" s="9" t="n">
        <v>45.859379</v>
      </c>
      <c r="T7" s="9" t="n">
        <v>45.915242</v>
      </c>
      <c r="U7" s="9" t="n">
        <v>45.932429</v>
      </c>
      <c r="V7" s="9" t="n">
        <v>45.87625</v>
      </c>
      <c r="W7" s="9" t="n">
        <v>45.930545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10</v>
      </c>
      <c r="E8" s="9" t="n">
        <v>10</v>
      </c>
      <c r="F8" s="9" t="n">
        <v>9.885954999999999</v>
      </c>
      <c r="G8" s="9" t="n">
        <v>10</v>
      </c>
      <c r="H8" s="9" t="n">
        <v>11.587727</v>
      </c>
      <c r="I8" s="9" t="n">
        <v>11.962646</v>
      </c>
      <c r="J8" s="9" t="n">
        <v>11.608952</v>
      </c>
      <c r="K8" s="9" t="n">
        <v>11.997183</v>
      </c>
      <c r="L8" s="9" t="n">
        <v>13.170475</v>
      </c>
      <c r="M8" s="9" t="n">
        <v>13.545903</v>
      </c>
      <c r="N8" s="9" t="n">
        <v>12.402926</v>
      </c>
      <c r="O8" s="9" t="n">
        <v>13.494965</v>
      </c>
      <c r="P8" s="9" t="n">
        <v>14.621725</v>
      </c>
      <c r="Q8" s="9" t="n">
        <v>14.964209</v>
      </c>
      <c r="R8" s="9" t="n">
        <v>13.803637</v>
      </c>
      <c r="S8" s="9" t="n">
        <v>14.917352</v>
      </c>
      <c r="T8" s="9" t="n">
        <v>16.064882</v>
      </c>
      <c r="U8" s="9" t="n">
        <v>16.417939</v>
      </c>
      <c r="V8" s="9" t="n">
        <v>15.263909</v>
      </c>
      <c r="W8" s="9" t="n">
        <v>16.379255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60</v>
      </c>
      <c r="E9" s="9" t="n">
        <v>60</v>
      </c>
      <c r="F9" s="9" t="n">
        <v>60</v>
      </c>
      <c r="G9" s="9" t="n">
        <v>60</v>
      </c>
      <c r="H9" s="9" t="n">
        <v>60</v>
      </c>
      <c r="I9" s="9" t="n">
        <v>60</v>
      </c>
      <c r="J9" s="9" t="n">
        <v>60</v>
      </c>
      <c r="K9" s="9" t="n">
        <v>60</v>
      </c>
      <c r="L9" s="9" t="n">
        <v>60</v>
      </c>
      <c r="M9" s="9" t="n">
        <v>60</v>
      </c>
      <c r="N9" s="9" t="n">
        <v>60</v>
      </c>
      <c r="O9" s="9" t="n">
        <v>60</v>
      </c>
      <c r="P9" s="9" t="n">
        <v>60</v>
      </c>
      <c r="Q9" s="9" t="n">
        <v>60</v>
      </c>
      <c r="R9" s="9" t="n">
        <v>60</v>
      </c>
      <c r="S9" s="9" t="n">
        <v>60</v>
      </c>
      <c r="T9" s="9" t="n">
        <v>60</v>
      </c>
      <c r="U9" s="9" t="n">
        <v>60</v>
      </c>
      <c r="V9" s="9" t="n">
        <v>60</v>
      </c>
      <c r="W9" s="9" t="n">
        <v>60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0.01</v>
      </c>
      <c r="E10" s="13" t="n">
        <v>0.01</v>
      </c>
      <c r="F10" s="13" t="n">
        <v>0.009934999999999999</v>
      </c>
      <c r="G10" s="13" t="n">
        <v>0.01</v>
      </c>
      <c r="H10" s="13" t="n">
        <v>0.010118</v>
      </c>
      <c r="I10" s="13" t="n">
        <v>0.010146</v>
      </c>
      <c r="J10" s="13" t="n">
        <v>0.010119</v>
      </c>
      <c r="K10" s="13" t="n">
        <v>0.010148</v>
      </c>
      <c r="L10" s="13" t="n">
        <v>0.010235</v>
      </c>
      <c r="M10" s="13" t="n">
        <v>0.010263</v>
      </c>
      <c r="N10" s="13" t="n">
        <v>0.010178</v>
      </c>
      <c r="O10" s="13" t="n">
        <v>0.01026</v>
      </c>
      <c r="P10" s="13" t="n">
        <v>0.010343</v>
      </c>
      <c r="Q10" s="13" t="n">
        <v>0.010369</v>
      </c>
      <c r="R10" s="13" t="n">
        <v>0.010282</v>
      </c>
      <c r="S10" s="13" t="n">
        <v>0.010365</v>
      </c>
      <c r="T10" s="13" t="n">
        <v>0.01045</v>
      </c>
      <c r="U10" s="13" t="n">
        <v>0.010477</v>
      </c>
      <c r="V10" s="13" t="n">
        <v>0.010391</v>
      </c>
      <c r="W10" s="13" t="n">
        <v>0.010474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250000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300000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120000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75000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4000000</v>
      </c>
      <c r="D7" s="11" t="n">
        <v>6137826</v>
      </c>
      <c r="E7" s="11" t="n">
        <v>6297873</v>
      </c>
      <c r="F7" s="11" t="n">
        <v>6414593</v>
      </c>
      <c r="G7" s="11" t="n">
        <v>6512394</v>
      </c>
      <c r="H7" s="11" t="n">
        <v>6602648</v>
      </c>
      <c r="I7" s="11" t="n">
        <v>6676050</v>
      </c>
      <c r="J7" s="11" t="n">
        <v>6732165</v>
      </c>
      <c r="K7" s="11" t="n">
        <v>6787367</v>
      </c>
      <c r="L7" s="11" t="n">
        <v>6842224</v>
      </c>
      <c r="M7" s="11" t="n">
        <v>6899743</v>
      </c>
      <c r="N7" s="11" t="n">
        <v>6939017</v>
      </c>
      <c r="O7" s="11" t="n">
        <v>6985488</v>
      </c>
      <c r="P7" s="11" t="n">
        <v>7004703</v>
      </c>
      <c r="Q7" s="11" t="n">
        <v>7006718</v>
      </c>
      <c r="R7" s="11" t="n">
        <v>7006718</v>
      </c>
      <c r="S7" s="11" t="n">
        <v>7006718</v>
      </c>
      <c r="T7" s="11" t="n">
        <v>7006718</v>
      </c>
      <c r="U7" s="11" t="n">
        <v>7006718</v>
      </c>
      <c r="V7" s="11" t="n">
        <v>7006718</v>
      </c>
      <c r="W7" s="11" t="n">
        <v>7006718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75000</v>
      </c>
      <c r="D12" s="11" t="n">
        <v>75000</v>
      </c>
      <c r="E12" s="11" t="n">
        <v>75000</v>
      </c>
      <c r="F12" s="11" t="n">
        <v>75000</v>
      </c>
      <c r="G12" s="11" t="n">
        <v>75000</v>
      </c>
      <c r="H12" s="11" t="n">
        <v>75000</v>
      </c>
      <c r="I12" s="11" t="n">
        <v>75000</v>
      </c>
      <c r="J12" s="11" t="n">
        <v>75000</v>
      </c>
      <c r="K12" s="11" t="n">
        <v>75000</v>
      </c>
      <c r="L12" s="11" t="n">
        <v>75000</v>
      </c>
      <c r="M12" s="11" t="n">
        <v>75000</v>
      </c>
      <c r="N12" s="11" t="n">
        <v>75000</v>
      </c>
      <c r="O12" s="11" t="n">
        <v>75000</v>
      </c>
      <c r="P12" s="11" t="n">
        <v>75000</v>
      </c>
      <c r="Q12" s="11" t="n">
        <v>75000</v>
      </c>
      <c r="R12" s="11" t="n">
        <v>75000</v>
      </c>
      <c r="S12" s="11" t="n">
        <v>75000</v>
      </c>
      <c r="T12" s="11" t="n">
        <v>75000</v>
      </c>
      <c r="U12" s="11" t="n">
        <v>75000</v>
      </c>
      <c r="V12" s="11" t="n">
        <v>75000</v>
      </c>
      <c r="W12" s="11" t="n">
        <v>75000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shipment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shipment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shipment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shipment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0.7</v>
      </c>
      <c r="D12" s="14" t="n">
        <v>0.7150836746387167</v>
      </c>
      <c r="E12" s="14" t="n">
        <v>0.7140136147145899</v>
      </c>
      <c r="F12" s="14" t="n">
        <v>0.7127247371271745</v>
      </c>
      <c r="G12" s="14" t="n">
        <v>0.7112677246227582</v>
      </c>
      <c r="H12" s="14" t="n">
        <v>0.7059535515240192</v>
      </c>
      <c r="I12" s="14" t="n">
        <v>0.7054792862010388</v>
      </c>
      <c r="J12" s="14" t="n">
        <v>0.7039754522632033</v>
      </c>
      <c r="K12" s="14" t="n">
        <v>0.7027188754425543</v>
      </c>
      <c r="L12" s="14" t="n">
        <v>0.6993508271252724</v>
      </c>
      <c r="M12" s="14" t="n">
        <v>0.6990898412445731</v>
      </c>
      <c r="N12" s="14" t="n">
        <v>0.6989664166173286</v>
      </c>
      <c r="O12" s="14" t="n">
        <v>0.7015239402352212</v>
      </c>
      <c r="P12" s="14" t="n">
        <v>0.7010286658145147</v>
      </c>
      <c r="Q12" s="14" t="n">
        <v>0.7024398074862792</v>
      </c>
      <c r="R12" s="14" t="n">
        <v>0.7035195003754746</v>
      </c>
      <c r="S12" s="14" t="n">
        <v>0.7044184635817086</v>
      </c>
      <c r="T12" s="14" t="n">
        <v>0.7027863395858835</v>
      </c>
      <c r="U12" s="14" t="n">
        <v>0.7035389304190376</v>
      </c>
      <c r="V12" s="14" t="n">
        <v>0.7042579664565749</v>
      </c>
      <c r="W12" s="14" t="n">
        <v>0.7049544306765463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0.11</v>
      </c>
      <c r="D13" s="14" t="n">
        <v>0.04268559987124928</v>
      </c>
      <c r="E13" s="14" t="n">
        <v>0.04235039814842474</v>
      </c>
      <c r="F13" s="14" t="n">
        <v>0.04192335608899464</v>
      </c>
      <c r="G13" s="14" t="n">
        <v>0.04142322206504891</v>
      </c>
      <c r="H13" s="14" t="n">
        <v>0.03934640340076523</v>
      </c>
      <c r="I13" s="14" t="n">
        <v>0.03922623605183001</v>
      </c>
      <c r="J13" s="14" t="n">
        <v>0.03867990154719245</v>
      </c>
      <c r="K13" s="14" t="n">
        <v>0.03822922420887334</v>
      </c>
      <c r="L13" s="14" t="n">
        <v>0.03688924416260043</v>
      </c>
      <c r="M13" s="14" t="n">
        <v>0.03683999319198672</v>
      </c>
      <c r="N13" s="14" t="n">
        <v>0.03684870358990611</v>
      </c>
      <c r="O13" s="14" t="n">
        <v>0.03793397744241897</v>
      </c>
      <c r="P13" s="14" t="n">
        <v>0.03772380992926261</v>
      </c>
      <c r="Q13" s="14" t="n">
        <v>0.03832262166567942</v>
      </c>
      <c r="R13" s="14" t="n">
        <v>0.03878078457498359</v>
      </c>
      <c r="S13" s="14" t="n">
        <v>0.03916225564147596</v>
      </c>
      <c r="T13" s="14" t="n">
        <v>0.0384696710317638</v>
      </c>
      <c r="U13" s="14" t="n">
        <v>0.03878902962816103</v>
      </c>
      <c r="V13" s="14" t="n">
        <v>0.03909414939522566</v>
      </c>
      <c r="W13" s="14" t="n">
        <v>0.0393896909111897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0.000985</v>
      </c>
      <c r="E14" s="14" t="n">
        <v>0.0009829999999999999</v>
      </c>
      <c r="F14" s="14" t="n">
        <v>0.0009810000000000001</v>
      </c>
      <c r="G14" s="14" t="n">
        <v>0.00098</v>
      </c>
      <c r="H14" s="14" t="n">
        <v>0.0009779999999999999</v>
      </c>
      <c r="I14" s="14" t="n">
        <v>0.000976</v>
      </c>
      <c r="J14" s="14" t="n">
        <v>0.000974</v>
      </c>
      <c r="K14" s="14" t="n">
        <v>0.000972</v>
      </c>
      <c r="L14" s="14" t="n">
        <v>0.0009700000000000001</v>
      </c>
      <c r="M14" s="14" t="n">
        <v>0.000968</v>
      </c>
      <c r="N14" s="14" t="n">
        <v>0.000966</v>
      </c>
      <c r="O14" s="14" t="n">
        <v>0.000966</v>
      </c>
      <c r="P14" s="14" t="n">
        <v>0.000966</v>
      </c>
      <c r="Q14" s="14" t="n">
        <v>0.000966</v>
      </c>
      <c r="R14" s="14" t="n">
        <v>0.000966</v>
      </c>
      <c r="S14" s="14" t="n">
        <v>0.000966</v>
      </c>
      <c r="T14" s="14" t="n">
        <v>0.000966</v>
      </c>
      <c r="U14" s="14" t="n">
        <v>0.000966</v>
      </c>
      <c r="V14" s="14" t="n">
        <v>0.000966</v>
      </c>
      <c r="W14" s="14" t="n">
        <v>0.000966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131261.875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6.499999999999999e-05</v>
      </c>
      <c r="D17" s="14" t="n">
        <v>0.04268559987124928</v>
      </c>
      <c r="E17" s="14" t="n">
        <v>0.04235039814842474</v>
      </c>
      <c r="F17" s="14" t="n">
        <v>0.04192335608899464</v>
      </c>
      <c r="G17" s="14" t="n">
        <v>0.04142322206504891</v>
      </c>
      <c r="H17" s="14" t="n">
        <v>0.03934640340076523</v>
      </c>
      <c r="I17" s="14" t="n">
        <v>0.03922623605183001</v>
      </c>
      <c r="J17" s="14" t="n">
        <v>0.03867990154719245</v>
      </c>
      <c r="K17" s="14" t="n">
        <v>0.03822922420887334</v>
      </c>
      <c r="L17" s="14" t="n">
        <v>0.03688924416260043</v>
      </c>
      <c r="M17" s="14" t="n">
        <v>0.03683999319198672</v>
      </c>
      <c r="N17" s="14" t="n">
        <v>0.03684870358990611</v>
      </c>
      <c r="O17" s="14" t="n">
        <v>0.03793397744241897</v>
      </c>
      <c r="P17" s="14" t="n">
        <v>0.03772380992926261</v>
      </c>
      <c r="Q17" s="14" t="n">
        <v>0.03832262166567942</v>
      </c>
      <c r="R17" s="14" t="n">
        <v>0.03878078457498359</v>
      </c>
      <c r="S17" s="14" t="n">
        <v>0.03916225564147596</v>
      </c>
      <c r="T17" s="14" t="n">
        <v>0.0384696710317638</v>
      </c>
      <c r="U17" s="14" t="n">
        <v>0.03878902962816103</v>
      </c>
      <c r="V17" s="14" t="n">
        <v>0.03909414939522566</v>
      </c>
      <c r="W17" s="14" t="n">
        <v>0.0393896909111897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0.183976</v>
      </c>
      <c r="D22" s="14" t="n">
        <v>0.183976</v>
      </c>
      <c r="E22" s="14" t="n">
        <v>0.183976</v>
      </c>
      <c r="F22" s="14" t="n">
        <v>0.183976</v>
      </c>
      <c r="G22" s="14" t="n">
        <v>0.183976</v>
      </c>
      <c r="H22" s="14" t="n">
        <v>0.183976</v>
      </c>
      <c r="I22" s="14" t="n">
        <v>0.183976</v>
      </c>
      <c r="J22" s="14" t="n">
        <v>0.183976</v>
      </c>
      <c r="K22" s="14" t="n">
        <v>0.183976</v>
      </c>
      <c r="L22" s="14" t="n">
        <v>0.183976</v>
      </c>
      <c r="M22" s="14" t="n">
        <v>0.183976</v>
      </c>
      <c r="N22" s="14" t="n">
        <v>0.183976</v>
      </c>
      <c r="O22" s="14" t="n">
        <v>0.183976</v>
      </c>
      <c r="P22" s="14" t="n">
        <v>0.183976</v>
      </c>
      <c r="Q22" s="14" t="n">
        <v>0.183976</v>
      </c>
      <c r="R22" s="14" t="n">
        <v>0.183976</v>
      </c>
      <c r="S22" s="14" t="n">
        <v>0.183976</v>
      </c>
      <c r="T22" s="14" t="n">
        <v>0.183976</v>
      </c>
      <c r="U22" s="14" t="n">
        <v>0.183976</v>
      </c>
      <c r="V22" s="14" t="n">
        <v>0.183976</v>
      </c>
      <c r="W22" s="14" t="n">
        <v>0.183976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39000000</v>
      </c>
      <c r="D7" s="31" t="n">
        <v>2886767.08704</v>
      </c>
      <c r="E7" s="31" t="n">
        <v>2928487.516663</v>
      </c>
      <c r="F7" s="31" t="n">
        <v>2965084.968946</v>
      </c>
      <c r="G7" s="31" t="n">
        <v>2997561.805131</v>
      </c>
      <c r="H7" s="31" t="n">
        <v>3027200.303753</v>
      </c>
      <c r="I7" s="31" t="n">
        <v>3055979.260224</v>
      </c>
      <c r="J7" s="31" t="n">
        <v>3087272.879994</v>
      </c>
      <c r="K7" s="31" t="n">
        <v>3126675.134609</v>
      </c>
      <c r="L7" s="31" t="n">
        <v>3181307.854174</v>
      </c>
      <c r="M7" s="31" t="n">
        <v>3254143.23297</v>
      </c>
      <c r="N7" s="31" t="n">
        <v>3335178.38823</v>
      </c>
      <c r="O7" s="31" t="n">
        <v>3405456.537276</v>
      </c>
      <c r="P7" s="31" t="n">
        <v>3454517.631661</v>
      </c>
      <c r="Q7" s="31" t="n">
        <v>3484840.585006</v>
      </c>
      <c r="R7" s="31" t="n">
        <v>3503198.239344</v>
      </c>
      <c r="S7" s="31" t="n">
        <v>3514898.61171</v>
      </c>
      <c r="T7" s="31" t="n">
        <v>3522997.750494</v>
      </c>
      <c r="U7" s="31" t="n">
        <v>3529078.45845</v>
      </c>
      <c r="V7" s="31" t="n">
        <v>3533929.178476</v>
      </c>
      <c r="W7" s="31" t="n">
        <v>3537949.89366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27300000</v>
      </c>
      <c r="D8" s="31" t="n">
        <v>2064280.016427</v>
      </c>
      <c r="E8" s="31" t="n">
        <v>2090979.957419</v>
      </c>
      <c r="F8" s="31" t="n">
        <v>2113289.405051</v>
      </c>
      <c r="G8" s="31" t="n">
        <v>2132068.964552</v>
      </c>
      <c r="H8" s="31" t="n">
        <v>2137062.805609</v>
      </c>
      <c r="I8" s="31" t="n">
        <v>2155930.067148</v>
      </c>
      <c r="J8" s="31" t="n">
        <v>2173364.321953</v>
      </c>
      <c r="K8" s="31" t="n">
        <v>2197173.634467</v>
      </c>
      <c r="L8" s="31" t="n">
        <v>2224850.279157</v>
      </c>
      <c r="M8" s="31" t="n">
        <v>2274938.476124</v>
      </c>
      <c r="N8" s="31" t="n">
        <v>2331177.686801</v>
      </c>
      <c r="O8" s="31" t="n">
        <v>2389009.28833</v>
      </c>
      <c r="P8" s="31" t="n">
        <v>2421715.886356</v>
      </c>
      <c r="Q8" s="31" t="n">
        <v>2447890.749652</v>
      </c>
      <c r="R8" s="31" t="n">
        <v>2464568.27506</v>
      </c>
      <c r="S8" s="31" t="n">
        <v>2475959.479706</v>
      </c>
      <c r="T8" s="31" t="n">
        <v>2475914.693439</v>
      </c>
      <c r="U8" s="31" t="n">
        <v>2482844.084023</v>
      </c>
      <c r="V8" s="31" t="n">
        <v>2488797.776835</v>
      </c>
      <c r="W8" s="31" t="n">
        <v>2494093.453047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11700000</v>
      </c>
      <c r="D9" s="31" t="n">
        <v>822487.070613</v>
      </c>
      <c r="E9" s="31" t="n">
        <v>837507.559244</v>
      </c>
      <c r="F9" s="31" t="n">
        <v>851795.563894</v>
      </c>
      <c r="G9" s="31" t="n">
        <v>865492.840579</v>
      </c>
      <c r="H9" s="31" t="n">
        <v>890137.498144</v>
      </c>
      <c r="I9" s="31" t="n">
        <v>900049.193076</v>
      </c>
      <c r="J9" s="31" t="n">
        <v>913908.55804</v>
      </c>
      <c r="K9" s="31" t="n">
        <v>929501.500142</v>
      </c>
      <c r="L9" s="31" t="n">
        <v>956457.575017</v>
      </c>
      <c r="M9" s="31" t="n">
        <v>979204.756846</v>
      </c>
      <c r="N9" s="31" t="n">
        <v>1004000.701429</v>
      </c>
      <c r="O9" s="31" t="n">
        <v>1016447.248946</v>
      </c>
      <c r="P9" s="31" t="n">
        <v>1032801.745305</v>
      </c>
      <c r="Q9" s="31" t="n">
        <v>1036949.835354</v>
      </c>
      <c r="R9" s="31" t="n">
        <v>1038629.964284</v>
      </c>
      <c r="S9" s="31" t="n">
        <v>1038939.132004</v>
      </c>
      <c r="T9" s="31" t="n">
        <v>1047083.057055</v>
      </c>
      <c r="U9" s="31" t="n">
        <v>1046234.374427</v>
      </c>
      <c r="V9" s="31" t="n">
        <v>1045131.401641</v>
      </c>
      <c r="W9" s="31" t="n">
        <v>1043856.440613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4290000</v>
      </c>
      <c r="D10" s="31" t="n">
        <v>123223.384799</v>
      </c>
      <c r="E10" s="31" t="n">
        <v>124022.612303</v>
      </c>
      <c r="F10" s="31" t="n">
        <v>124306.312987</v>
      </c>
      <c r="G10" s="31" t="n">
        <v>124168.668308</v>
      </c>
      <c r="H10" s="31" t="n">
        <v>119109.444326</v>
      </c>
      <c r="I10" s="31" t="n">
        <v>119874.563831</v>
      </c>
      <c r="J10" s="31" t="n">
        <v>119415.411047</v>
      </c>
      <c r="K10" s="31" t="n">
        <v>119530.364749</v>
      </c>
      <c r="L10" s="31" t="n">
        <v>117356.042189</v>
      </c>
      <c r="M10" s="31" t="n">
        <v>119882.614548</v>
      </c>
      <c r="N10" s="31" t="n">
        <v>122896.999847</v>
      </c>
      <c r="O10" s="31" t="n">
        <v>129182.511466</v>
      </c>
      <c r="P10" s="31" t="n">
        <v>130317.566534</v>
      </c>
      <c r="Q10" s="31" t="n">
        <v>133548.227304</v>
      </c>
      <c r="R10" s="31" t="n">
        <v>135856.776243</v>
      </c>
      <c r="S10" s="31" t="n">
        <v>137651.357986</v>
      </c>
      <c r="T10" s="31" t="n">
        <v>135528.564507</v>
      </c>
      <c r="U10" s="31" t="n">
        <v>136889.528885</v>
      </c>
      <c r="V10" s="31" t="n">
        <v>138155.955255</v>
      </c>
      <c r="W10" s="31" t="n">
        <v>139358.752771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2843.465581</v>
      </c>
      <c r="E11" s="31" t="n">
        <v>2878.703229</v>
      </c>
      <c r="F11" s="31" t="n">
        <v>2908.748355</v>
      </c>
      <c r="G11" s="31" t="n">
        <v>2937.610569</v>
      </c>
      <c r="H11" s="31" t="n">
        <v>2960.601897</v>
      </c>
      <c r="I11" s="31" t="n">
        <v>2982.635758</v>
      </c>
      <c r="J11" s="31" t="n">
        <v>3007.003785</v>
      </c>
      <c r="K11" s="31" t="n">
        <v>3039.128231</v>
      </c>
      <c r="L11" s="31" t="n">
        <v>3085.868619</v>
      </c>
      <c r="M11" s="31" t="n">
        <v>3150.01065</v>
      </c>
      <c r="N11" s="31" t="n">
        <v>3221.782323</v>
      </c>
      <c r="O11" s="31" t="n">
        <v>3289.671015</v>
      </c>
      <c r="P11" s="31" t="n">
        <v>3337.064032</v>
      </c>
      <c r="Q11" s="31" t="n">
        <v>3366.356005</v>
      </c>
      <c r="R11" s="31" t="n">
        <v>3384.089499</v>
      </c>
      <c r="S11" s="31" t="n">
        <v>3395.392059</v>
      </c>
      <c r="T11" s="31" t="n">
        <v>3403.215827</v>
      </c>
      <c r="U11" s="31" t="n">
        <v>3409.089791</v>
      </c>
      <c r="V11" s="31" t="n">
        <v>3413.775586</v>
      </c>
      <c r="W11" s="31" t="n">
        <v>3417.659597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75000</v>
      </c>
      <c r="D12" s="31" t="n">
        <v>75000</v>
      </c>
      <c r="E12" s="31" t="n">
        <v>75000</v>
      </c>
      <c r="F12" s="31" t="n">
        <v>75000</v>
      </c>
      <c r="G12" s="31" t="n">
        <v>75000</v>
      </c>
      <c r="H12" s="31" t="n">
        <v>75000</v>
      </c>
      <c r="I12" s="31" t="n">
        <v>75000</v>
      </c>
      <c r="J12" s="31" t="n">
        <v>75000</v>
      </c>
      <c r="K12" s="31" t="n">
        <v>75000</v>
      </c>
      <c r="L12" s="31" t="n">
        <v>75000</v>
      </c>
      <c r="M12" s="31" t="n">
        <v>75000</v>
      </c>
      <c r="N12" s="31" t="n">
        <v>75000</v>
      </c>
      <c r="O12" s="31" t="n">
        <v>75000</v>
      </c>
      <c r="P12" s="31" t="n">
        <v>75000</v>
      </c>
      <c r="Q12" s="31" t="n">
        <v>75000</v>
      </c>
      <c r="R12" s="31" t="n">
        <v>75000</v>
      </c>
      <c r="S12" s="31" t="n">
        <v>75000</v>
      </c>
      <c r="T12" s="31" t="n">
        <v>75000</v>
      </c>
      <c r="U12" s="31" t="n">
        <v>75000</v>
      </c>
      <c r="V12" s="31" t="n">
        <v>75000</v>
      </c>
      <c r="W12" s="31" t="n">
        <v>75000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131261.875</v>
      </c>
      <c r="D13" s="31" t="n">
        <v>483763</v>
      </c>
      <c r="E13" s="31" t="n">
        <v>483763</v>
      </c>
      <c r="F13" s="31" t="n">
        <v>483763</v>
      </c>
      <c r="G13" s="31" t="n">
        <v>483763</v>
      </c>
      <c r="H13" s="31" t="n">
        <v>498278</v>
      </c>
      <c r="I13" s="31" t="n">
        <v>498278</v>
      </c>
      <c r="J13" s="31" t="n">
        <v>498278</v>
      </c>
      <c r="K13" s="31" t="n">
        <v>498278</v>
      </c>
      <c r="L13" s="31" t="n">
        <v>513226</v>
      </c>
      <c r="M13" s="31" t="n">
        <v>513226</v>
      </c>
      <c r="N13" s="31" t="n">
        <v>513226</v>
      </c>
      <c r="O13" s="31" t="n">
        <v>513226</v>
      </c>
      <c r="P13" s="31" t="n">
        <v>528623</v>
      </c>
      <c r="Q13" s="31" t="n">
        <v>528623</v>
      </c>
      <c r="R13" s="31" t="n">
        <v>528623</v>
      </c>
      <c r="S13" s="31" t="n">
        <v>528623</v>
      </c>
      <c r="T13" s="31" t="n">
        <v>544478</v>
      </c>
      <c r="U13" s="31" t="n">
        <v>544478</v>
      </c>
      <c r="V13" s="31" t="n">
        <v>544478</v>
      </c>
      <c r="W13" s="31" t="n">
        <v>544478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2535</v>
      </c>
      <c r="D14" s="31" t="n">
        <v>123223.384799</v>
      </c>
      <c r="E14" s="31" t="n">
        <v>124022.612303</v>
      </c>
      <c r="F14" s="31" t="n">
        <v>124306.312987</v>
      </c>
      <c r="G14" s="31" t="n">
        <v>124168.668308</v>
      </c>
      <c r="H14" s="31" t="n">
        <v>119109.444326</v>
      </c>
      <c r="I14" s="31" t="n">
        <v>119874.563831</v>
      </c>
      <c r="J14" s="31" t="n">
        <v>119415.411047</v>
      </c>
      <c r="K14" s="31" t="n">
        <v>119530.364749</v>
      </c>
      <c r="L14" s="31" t="n">
        <v>117356.042189</v>
      </c>
      <c r="M14" s="31" t="n">
        <v>119882.614548</v>
      </c>
      <c r="N14" s="31" t="n">
        <v>122896.999847</v>
      </c>
      <c r="O14" s="31" t="n">
        <v>129182.511466</v>
      </c>
      <c r="P14" s="31" t="n">
        <v>130317.566534</v>
      </c>
      <c r="Q14" s="31" t="n">
        <v>133548.227304</v>
      </c>
      <c r="R14" s="31" t="n">
        <v>135856.776243</v>
      </c>
      <c r="S14" s="31" t="n">
        <v>137651.357986</v>
      </c>
      <c r="T14" s="31" t="n">
        <v>135528.564507</v>
      </c>
      <c r="U14" s="31" t="n">
        <v>136889.528885</v>
      </c>
      <c r="V14" s="31" t="n">
        <v>138155.955255</v>
      </c>
      <c r="W14" s="31" t="n">
        <v>139358.752771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7201203.125</v>
      </c>
      <c r="D15" s="31" t="n">
        <v>14433.835435</v>
      </c>
      <c r="E15" s="31" t="n">
        <v>27820.631408</v>
      </c>
      <c r="F15" s="31" t="n">
        <v>41511.189565</v>
      </c>
      <c r="G15" s="31" t="n">
        <v>55454.893395</v>
      </c>
      <c r="H15" s="31" t="n">
        <v>75680.007594</v>
      </c>
      <c r="I15" s="31" t="n">
        <v>84039.42965599999</v>
      </c>
      <c r="J15" s="31" t="n">
        <v>98792.73216</v>
      </c>
      <c r="K15" s="31" t="n">
        <v>114123.642413</v>
      </c>
      <c r="L15" s="31" t="n">
        <v>130433.622021</v>
      </c>
      <c r="M15" s="31" t="n">
        <v>148063.5171</v>
      </c>
      <c r="N15" s="31" t="n">
        <v>166758.919412</v>
      </c>
      <c r="O15" s="31" t="n">
        <v>166566.554999</v>
      </c>
      <c r="P15" s="31" t="n">
        <v>165206.548205</v>
      </c>
      <c r="Q15" s="31" t="n">
        <v>162864.02474</v>
      </c>
      <c r="R15" s="31" t="n">
        <v>159909.322298</v>
      </c>
      <c r="S15" s="31" t="n">
        <v>156618.023974</v>
      </c>
      <c r="T15" s="31" t="n">
        <v>153144.712214</v>
      </c>
      <c r="U15" s="31" t="n">
        <v>149568.226866</v>
      </c>
      <c r="V15" s="31" t="n">
        <v>145927.715544</v>
      </c>
      <c r="W15" s="31" t="n">
        <v>142243.275474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45000</v>
      </c>
      <c r="D16" s="31" t="n">
        <v>39014.0625</v>
      </c>
      <c r="E16" s="31" t="n">
        <v>36323.4375</v>
      </c>
      <c r="F16" s="31" t="n">
        <v>33632.8125</v>
      </c>
      <c r="G16" s="31" t="n">
        <v>31710.9375</v>
      </c>
      <c r="H16" s="31" t="n">
        <v>29789.0625</v>
      </c>
      <c r="I16" s="31" t="n">
        <v>27867.1875</v>
      </c>
      <c r="J16" s="31" t="n">
        <v>25945.3125</v>
      </c>
      <c r="K16" s="31" t="n">
        <v>24023.4375</v>
      </c>
      <c r="L16" s="31" t="n">
        <v>22101.5625</v>
      </c>
      <c r="M16" s="31" t="n">
        <v>20179.6875</v>
      </c>
      <c r="N16" s="31" t="n">
        <v>18257.8125</v>
      </c>
      <c r="O16" s="31" t="n">
        <v>16335.9375</v>
      </c>
      <c r="P16" s="31" t="n">
        <v>14414.0625</v>
      </c>
      <c r="Q16" s="31" t="n">
        <v>12492.1875</v>
      </c>
      <c r="R16" s="31" t="n">
        <v>10570.3125</v>
      </c>
      <c r="S16" s="31" t="n">
        <v>8648.4375</v>
      </c>
      <c r="T16" s="31" t="n">
        <v>6726.5625</v>
      </c>
      <c r="U16" s="31" t="n">
        <v>4804.6875</v>
      </c>
      <c r="V16" s="31" t="n">
        <v>2882.8125</v>
      </c>
      <c r="W16" s="31" t="n">
        <v>960.9375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3468</v>
      </c>
      <c r="E17" s="31" t="n">
        <v>3940.52171</v>
      </c>
      <c r="F17" s="31" t="n">
        <v>4414.607771</v>
      </c>
      <c r="G17" s="31" t="n">
        <v>4893.361064</v>
      </c>
      <c r="H17" s="31" t="n">
        <v>5373.807347</v>
      </c>
      <c r="I17" s="31" t="n">
        <v>5857.873174</v>
      </c>
      <c r="J17" s="31" t="n">
        <v>6345.040078</v>
      </c>
      <c r="K17" s="31" t="n">
        <v>6834.783128</v>
      </c>
      <c r="L17" s="31" t="n">
        <v>7325.312351</v>
      </c>
      <c r="M17" s="31" t="n">
        <v>7819.876299</v>
      </c>
      <c r="N17" s="31" t="n">
        <v>8315.418900999999</v>
      </c>
      <c r="O17" s="31" t="n">
        <v>8812.671120000001</v>
      </c>
      <c r="P17" s="31" t="n">
        <v>9311.093825</v>
      </c>
      <c r="Q17" s="31" t="n">
        <v>9811.425142</v>
      </c>
      <c r="R17" s="31" t="n">
        <v>10313.11871</v>
      </c>
      <c r="S17" s="31" t="n">
        <v>10815.620037</v>
      </c>
      <c r="T17" s="31" t="n">
        <v>11319.658145</v>
      </c>
      <c r="U17" s="31" t="n">
        <v>11824.661683</v>
      </c>
      <c r="V17" s="31" t="n">
        <v>12328.755536</v>
      </c>
      <c r="W17" s="31" t="n">
        <v>12833.945645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1316569.626125</v>
      </c>
      <c r="D18" s="31" t="n">
        <v>0</v>
      </c>
      <c r="E18" s="31" t="n">
        <v>0</v>
      </c>
      <c r="F18" s="31" t="n">
        <v>637.25042</v>
      </c>
      <c r="G18" s="31" t="n">
        <v>3468.057035</v>
      </c>
      <c r="H18" s="31" t="n">
        <v>7454.180934</v>
      </c>
      <c r="I18" s="31" t="n">
        <v>9256.636348</v>
      </c>
      <c r="J18" s="31" t="n">
        <v>12234.841786</v>
      </c>
      <c r="K18" s="31" t="n">
        <v>15318.839238</v>
      </c>
      <c r="L18" s="31" t="n">
        <v>18582.817317</v>
      </c>
      <c r="M18" s="31" t="n">
        <v>22088.885872</v>
      </c>
      <c r="N18" s="31" t="n">
        <v>25790.802137</v>
      </c>
      <c r="O18" s="31" t="n">
        <v>26017.508103</v>
      </c>
      <c r="P18" s="31" t="n">
        <v>26029.180553</v>
      </c>
      <c r="Q18" s="31" t="n">
        <v>25859.742376</v>
      </c>
      <c r="R18" s="31" t="n">
        <v>25577.427339</v>
      </c>
      <c r="S18" s="31" t="n">
        <v>25233.038129</v>
      </c>
      <c r="T18" s="31" t="n">
        <v>24854.880085</v>
      </c>
      <c r="U18" s="31" t="n">
        <v>24457.562961</v>
      </c>
      <c r="V18" s="31" t="n">
        <v>24048.633954</v>
      </c>
      <c r="W18" s="31" t="n">
        <v>23631.421427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5839633.498875</v>
      </c>
      <c r="D19" s="31" t="n">
        <v>-28048.227065</v>
      </c>
      <c r="E19" s="31" t="n">
        <v>-12443.327802</v>
      </c>
      <c r="F19" s="31" t="n">
        <v>2826.518874</v>
      </c>
      <c r="G19" s="31" t="n">
        <v>15382.537797</v>
      </c>
      <c r="H19" s="31" t="n">
        <v>33062.956813</v>
      </c>
      <c r="I19" s="31" t="n">
        <v>41057.732634</v>
      </c>
      <c r="J19" s="31" t="n">
        <v>54267.537796</v>
      </c>
      <c r="K19" s="31" t="n">
        <v>67946.582547</v>
      </c>
      <c r="L19" s="31" t="n">
        <v>82423.929852</v>
      </c>
      <c r="M19" s="31" t="n">
        <v>97975.06742799999</v>
      </c>
      <c r="N19" s="31" t="n">
        <v>114394.885873</v>
      </c>
      <c r="O19" s="31" t="n">
        <v>115400.438276</v>
      </c>
      <c r="P19" s="31" t="n">
        <v>115452.211327</v>
      </c>
      <c r="Q19" s="31" t="n">
        <v>114700.669722</v>
      </c>
      <c r="R19" s="31" t="n">
        <v>113448.46375</v>
      </c>
      <c r="S19" s="31" t="n">
        <v>111920.928308</v>
      </c>
      <c r="T19" s="31" t="n">
        <v>110243.611484</v>
      </c>
      <c r="U19" s="31" t="n">
        <v>108481.314723</v>
      </c>
      <c r="V19" s="31" t="n">
        <v>106667.513554</v>
      </c>
      <c r="W19" s="31" t="n">
        <v>104816.970902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250000</v>
      </c>
      <c r="D23" s="31" t="n">
        <v>1436166.339409</v>
      </c>
      <c r="E23" s="31" t="n">
        <v>1450334.49133</v>
      </c>
      <c r="F23" s="31" t="n">
        <v>1461787.639012</v>
      </c>
      <c r="G23" s="31" t="n">
        <v>1471053.140243</v>
      </c>
      <c r="H23" s="31" t="n">
        <v>1475760.466817</v>
      </c>
      <c r="I23" s="31" t="n">
        <v>1485970.293506</v>
      </c>
      <c r="J23" s="31" t="n">
        <v>1494239.970916</v>
      </c>
      <c r="K23" s="31" t="n">
        <v>1506276.098351</v>
      </c>
      <c r="L23" s="31" t="n">
        <v>1525437.05983</v>
      </c>
      <c r="M23" s="31" t="n">
        <v>1553039.851984</v>
      </c>
      <c r="N23" s="31" t="n">
        <v>1584210.377823</v>
      </c>
      <c r="O23" s="31" t="n">
        <v>1619444.580489</v>
      </c>
      <c r="P23" s="31" t="n">
        <v>1644656.083838</v>
      </c>
      <c r="Q23" s="31" t="n">
        <v>1660988.659319</v>
      </c>
      <c r="R23" s="31" t="n">
        <v>1689989.560834</v>
      </c>
      <c r="S23" s="31" t="n">
        <v>1706928.381336</v>
      </c>
      <c r="T23" s="31" t="n">
        <v>1730902.6642</v>
      </c>
      <c r="U23" s="31" t="n">
        <v>1753310.608843</v>
      </c>
      <c r="V23" s="31" t="n">
        <v>1783707.324918</v>
      </c>
      <c r="W23" s="31" t="n">
        <v>1799760.589185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300000</v>
      </c>
      <c r="D24" s="31" t="n">
        <v>1431459.940334</v>
      </c>
      <c r="E24" s="31" t="n">
        <v>1452147.831632</v>
      </c>
      <c r="F24" s="31" t="n">
        <v>1487263.328033</v>
      </c>
      <c r="G24" s="31" t="n">
        <v>1502733.73132</v>
      </c>
      <c r="H24" s="31" t="n">
        <v>1503639.708651</v>
      </c>
      <c r="I24" s="31" t="n">
        <v>1518540.77476</v>
      </c>
      <c r="J24" s="31" t="n">
        <v>1550364.828941</v>
      </c>
      <c r="K24" s="31" t="n">
        <v>1570801.181364</v>
      </c>
      <c r="L24" s="31" t="n">
        <v>1582850.732192</v>
      </c>
      <c r="M24" s="31" t="n">
        <v>1619736.2117</v>
      </c>
      <c r="N24" s="31" t="n">
        <v>1694899.70998</v>
      </c>
      <c r="O24" s="31" t="n">
        <v>1713585.949334</v>
      </c>
      <c r="P24" s="31" t="n">
        <v>1721438.254014</v>
      </c>
      <c r="Q24" s="31" t="n">
        <v>1737180.152867</v>
      </c>
      <c r="R24" s="31" t="n">
        <v>1782939.626383</v>
      </c>
      <c r="S24" s="31" t="n">
        <v>1771330.412978</v>
      </c>
      <c r="T24" s="31" t="n">
        <v>1758253.198689</v>
      </c>
      <c r="U24" s="31" t="n">
        <v>1761947.236176</v>
      </c>
      <c r="V24" s="31" t="n">
        <v>1801371.316379</v>
      </c>
      <c r="W24" s="31" t="n">
        <v>1785713.920863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120000</v>
      </c>
      <c r="D25" s="31" t="n">
        <v>224378.262655</v>
      </c>
      <c r="E25" s="31" t="n">
        <v>227280.430154</v>
      </c>
      <c r="F25" s="31" t="n">
        <v>232132.044004</v>
      </c>
      <c r="G25" s="31" t="n">
        <v>234293.292808</v>
      </c>
      <c r="H25" s="31" t="n">
        <v>269170.656231</v>
      </c>
      <c r="I25" s="31" t="n">
        <v>280332.915153</v>
      </c>
      <c r="J25" s="31" t="n">
        <v>277258.044968</v>
      </c>
      <c r="K25" s="31" t="n">
        <v>289669.166763</v>
      </c>
      <c r="L25" s="31" t="n">
        <v>318503.641091</v>
      </c>
      <c r="M25" s="31" t="n">
        <v>334957.564441</v>
      </c>
      <c r="N25" s="31" t="n">
        <v>321260.270469</v>
      </c>
      <c r="O25" s="31" t="n">
        <v>354281.282755</v>
      </c>
      <c r="P25" s="31" t="n">
        <v>384887.649113</v>
      </c>
      <c r="Q25" s="31" t="n">
        <v>398160.312902</v>
      </c>
      <c r="R25" s="31" t="n">
        <v>378000.064785</v>
      </c>
      <c r="S25" s="31" t="n">
        <v>405876.473588</v>
      </c>
      <c r="T25" s="31" t="n">
        <v>432339.971654</v>
      </c>
      <c r="U25" s="31" t="n">
        <v>443078.073022</v>
      </c>
      <c r="V25" s="31" t="n">
        <v>422097.5865</v>
      </c>
      <c r="W25" s="31" t="n">
        <v>448916.402871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670000</v>
      </c>
      <c r="D26" s="31" t="n">
        <v>3120872.213269</v>
      </c>
      <c r="E26" s="31" t="n">
        <v>3159047.628283</v>
      </c>
      <c r="F26" s="31" t="n">
        <v>3210641.130216</v>
      </c>
      <c r="G26" s="31" t="n">
        <v>3238055.782421</v>
      </c>
      <c r="H26" s="31" t="n">
        <v>3279200.044372</v>
      </c>
      <c r="I26" s="31" t="n">
        <v>3315849.948992</v>
      </c>
      <c r="J26" s="31" t="n">
        <v>3353102.959098</v>
      </c>
      <c r="K26" s="31" t="n">
        <v>3398475.945745</v>
      </c>
      <c r="L26" s="31" t="n">
        <v>3459352.119001</v>
      </c>
      <c r="M26" s="31" t="n">
        <v>3541130.900125</v>
      </c>
      <c r="N26" s="31" t="n">
        <v>3634315.803908</v>
      </c>
      <c r="O26" s="31" t="n">
        <v>3722251.796651</v>
      </c>
      <c r="P26" s="31" t="n">
        <v>3786712.062829</v>
      </c>
      <c r="Q26" s="31" t="n">
        <v>3832463.437114</v>
      </c>
      <c r="R26" s="31" t="n">
        <v>3886949.136298</v>
      </c>
      <c r="S26" s="31" t="n">
        <v>3920567.192012</v>
      </c>
      <c r="T26" s="31" t="n">
        <v>3958311.161035</v>
      </c>
      <c r="U26" s="31" t="n">
        <v>3995310.07305</v>
      </c>
      <c r="V26" s="31" t="n">
        <v>4043897.28589</v>
      </c>
      <c r="W26" s="31" t="n">
        <v>4071447.400105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1200000</v>
      </c>
      <c r="D27" s="31" t="n">
        <v>1208896.8</v>
      </c>
      <c r="E27" s="31" t="n">
        <v>1217390.508917</v>
      </c>
      <c r="F27" s="31" t="n">
        <v>1225476.416677</v>
      </c>
      <c r="G27" s="31" t="n">
        <v>1233146.673569</v>
      </c>
      <c r="H27" s="31" t="n">
        <v>1240396.342864</v>
      </c>
      <c r="I27" s="31" t="n">
        <v>1247218.52275</v>
      </c>
      <c r="J27" s="31" t="n">
        <v>1253606.776024</v>
      </c>
      <c r="K27" s="31" t="n">
        <v>1259555.140176</v>
      </c>
      <c r="L27" s="31" t="n">
        <v>1265059.396139</v>
      </c>
      <c r="M27" s="31" t="n">
        <v>1270112.043366</v>
      </c>
      <c r="N27" s="31" t="n">
        <v>1274708.578851</v>
      </c>
      <c r="O27" s="31" t="n">
        <v>1278843.73348</v>
      </c>
      <c r="P27" s="31" t="n">
        <v>1282512.736152</v>
      </c>
      <c r="Q27" s="31" t="n">
        <v>1285710.040403</v>
      </c>
      <c r="R27" s="31" t="n">
        <v>1288430.602848</v>
      </c>
      <c r="S27" s="31" t="n">
        <v>1290669.895236</v>
      </c>
      <c r="T27" s="31" t="n">
        <v>1292422.624954</v>
      </c>
      <c r="U27" s="31" t="n">
        <v>1293684.029435</v>
      </c>
      <c r="V27" s="31" t="n">
        <v>1294451.184065</v>
      </c>
      <c r="W27" s="31" t="n">
        <v>1294719.13546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-468</v>
      </c>
      <c r="E28" s="31" t="n">
        <v>-1408.52171</v>
      </c>
      <c r="F28" s="31" t="n">
        <v>-2823.129482</v>
      </c>
      <c r="G28" s="31" t="n">
        <v>-4716.490546</v>
      </c>
      <c r="H28" s="31" t="n">
        <v>-7090.297892</v>
      </c>
      <c r="I28" s="31" t="n">
        <v>-9948.171066000001</v>
      </c>
      <c r="J28" s="31" t="n">
        <v>-13293.211144</v>
      </c>
      <c r="K28" s="31" t="n">
        <v>-17127.994272</v>
      </c>
      <c r="L28" s="31" t="n">
        <v>-21453.306623</v>
      </c>
      <c r="M28" s="31" t="n">
        <v>-26273.182923</v>
      </c>
      <c r="N28" s="31" t="n">
        <v>-31588.601824</v>
      </c>
      <c r="O28" s="31" t="n">
        <v>-37401.272944</v>
      </c>
      <c r="P28" s="31" t="n">
        <v>-43712.366768</v>
      </c>
      <c r="Q28" s="31" t="n">
        <v>-50523.79191</v>
      </c>
      <c r="R28" s="31" t="n">
        <v>-57836.91062</v>
      </c>
      <c r="S28" s="31" t="n">
        <v>-65652.530657</v>
      </c>
      <c r="T28" s="31" t="n">
        <v>-73972.188801</v>
      </c>
      <c r="U28" s="31" t="n">
        <v>-82796.850485</v>
      </c>
      <c r="V28" s="31" t="n">
        <v>-92125.606021</v>
      </c>
      <c r="W28" s="31" t="n">
        <v>-101959.551666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1930000</v>
      </c>
      <c r="D29" s="31" t="n">
        <v>4386769.013269</v>
      </c>
      <c r="E29" s="31" t="n">
        <v>4430438.137199</v>
      </c>
      <c r="F29" s="31" t="n">
        <v>4487117.546893</v>
      </c>
      <c r="G29" s="31" t="n">
        <v>4519202.455991</v>
      </c>
      <c r="H29" s="31" t="n">
        <v>4564596.387236</v>
      </c>
      <c r="I29" s="31" t="n">
        <v>4605068.471742</v>
      </c>
      <c r="J29" s="31" t="n">
        <v>4645709.735122</v>
      </c>
      <c r="K29" s="31" t="n">
        <v>4694031.085921</v>
      </c>
      <c r="L29" s="31" t="n">
        <v>4757411.515139</v>
      </c>
      <c r="M29" s="31" t="n">
        <v>4841242.943491</v>
      </c>
      <c r="N29" s="31" t="n">
        <v>4936024.382758</v>
      </c>
      <c r="O29" s="31" t="n">
        <v>5025095.530131</v>
      </c>
      <c r="P29" s="31" t="n">
        <v>5090224.798981</v>
      </c>
      <c r="Q29" s="31" t="n">
        <v>5136173.477517</v>
      </c>
      <c r="R29" s="31" t="n">
        <v>5190379.739146</v>
      </c>
      <c r="S29" s="31" t="n">
        <v>5223237.087249</v>
      </c>
      <c r="T29" s="31" t="n">
        <v>5259733.785989</v>
      </c>
      <c r="U29" s="31" t="n">
        <v>5294994.102485</v>
      </c>
      <c r="V29" s="31" t="n">
        <v>5341348.469955</v>
      </c>
      <c r="W29" s="31" t="n">
        <v>5366166.535565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75000</v>
      </c>
      <c r="D30" s="31" t="n">
        <v>526991.240334</v>
      </c>
      <c r="E30" s="31" t="n">
        <v>528056.692067</v>
      </c>
      <c r="F30" s="31" t="n">
        <v>540189.582886</v>
      </c>
      <c r="G30" s="31" t="n">
        <v>534090.9541870001</v>
      </c>
      <c r="H30" s="31" t="n">
        <v>531167.928619</v>
      </c>
      <c r="I30" s="31" t="n">
        <v>532180.280491</v>
      </c>
      <c r="J30" s="31" t="n">
        <v>537439.006075</v>
      </c>
      <c r="K30" s="31" t="n">
        <v>537611.774327</v>
      </c>
      <c r="L30" s="31" t="n">
        <v>538711.273693</v>
      </c>
      <c r="M30" s="31" t="n">
        <v>542048.634617</v>
      </c>
      <c r="N30" s="31" t="n">
        <v>558161.1880120001</v>
      </c>
      <c r="O30" s="31" t="n">
        <v>560360.897108</v>
      </c>
      <c r="P30" s="31" t="n">
        <v>565822.9546309999</v>
      </c>
      <c r="Q30" s="31" t="n">
        <v>570055.963444</v>
      </c>
      <c r="R30" s="31" t="n">
        <v>585813.761324</v>
      </c>
      <c r="S30" s="31" t="n">
        <v>581750.181119</v>
      </c>
      <c r="T30" s="31" t="n">
        <v>583003.268375</v>
      </c>
      <c r="U30" s="31" t="n">
        <v>584782.270148</v>
      </c>
      <c r="V30" s="31" t="n">
        <v>599469.124065</v>
      </c>
      <c r="W30" s="31" t="n">
        <v>594470.2187729999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28867.67087</v>
      </c>
      <c r="E31" s="31" t="n">
        <v>29284.875167</v>
      </c>
      <c r="F31" s="31" t="n">
        <v>29458.119166</v>
      </c>
      <c r="G31" s="31" t="n">
        <v>29975.618051</v>
      </c>
      <c r="H31" s="31" t="n">
        <v>30629.212673</v>
      </c>
      <c r="I31" s="31" t="n">
        <v>31005.965574</v>
      </c>
      <c r="J31" s="31" t="n">
        <v>31240.114273</v>
      </c>
      <c r="K31" s="31" t="n">
        <v>31729.499266</v>
      </c>
      <c r="L31" s="31" t="n">
        <v>32560.685887</v>
      </c>
      <c r="M31" s="31" t="n">
        <v>33397.272</v>
      </c>
      <c r="N31" s="31" t="n">
        <v>33945.445635</v>
      </c>
      <c r="O31" s="31" t="n">
        <v>34939.984072</v>
      </c>
      <c r="P31" s="31" t="n">
        <v>35730.075864</v>
      </c>
      <c r="Q31" s="31" t="n">
        <v>36134.312026</v>
      </c>
      <c r="R31" s="31" t="n">
        <v>36019.884297</v>
      </c>
      <c r="S31" s="31" t="n">
        <v>36431.92411</v>
      </c>
      <c r="T31" s="31" t="n">
        <v>36815.326493</v>
      </c>
      <c r="U31" s="31" t="n">
        <v>36974.155009</v>
      </c>
      <c r="V31" s="31" t="n">
        <v>36721.058094</v>
      </c>
      <c r="W31" s="31" t="n">
        <v>37056.487186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300000</v>
      </c>
      <c r="E32" s="31" t="n">
        <v>300000</v>
      </c>
      <c r="F32" s="31" t="n">
        <v>300000</v>
      </c>
      <c r="G32" s="31" t="n">
        <v>300000</v>
      </c>
      <c r="H32" s="31" t="n">
        <v>300000</v>
      </c>
      <c r="I32" s="31" t="n">
        <v>300000</v>
      </c>
      <c r="J32" s="31" t="n">
        <v>300000</v>
      </c>
      <c r="K32" s="31" t="n">
        <v>300000</v>
      </c>
      <c r="L32" s="31" t="n">
        <v>300000</v>
      </c>
      <c r="M32" s="31" t="n">
        <v>300000</v>
      </c>
      <c r="N32" s="31" t="n">
        <v>300000</v>
      </c>
      <c r="O32" s="31" t="n">
        <v>300000</v>
      </c>
      <c r="P32" s="31" t="n">
        <v>300000</v>
      </c>
      <c r="Q32" s="31" t="n">
        <v>300000</v>
      </c>
      <c r="R32" s="31" t="n">
        <v>300000</v>
      </c>
      <c r="S32" s="31" t="n">
        <v>300000</v>
      </c>
      <c r="T32" s="31" t="n">
        <v>225000</v>
      </c>
      <c r="U32" s="31" t="n">
        <v>150000</v>
      </c>
      <c r="V32" s="31" t="n">
        <v>75000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75000</v>
      </c>
      <c r="D34" s="31" t="n">
        <v>826991.240334</v>
      </c>
      <c r="E34" s="31" t="n">
        <v>828056.692067</v>
      </c>
      <c r="F34" s="31" t="n">
        <v>840189.582886</v>
      </c>
      <c r="G34" s="31" t="n">
        <v>834090.9541870001</v>
      </c>
      <c r="H34" s="31" t="n">
        <v>831167.928619</v>
      </c>
      <c r="I34" s="31" t="n">
        <v>832180.280491</v>
      </c>
      <c r="J34" s="31" t="n">
        <v>837439.006075</v>
      </c>
      <c r="K34" s="31" t="n">
        <v>837611.774327</v>
      </c>
      <c r="L34" s="31" t="n">
        <v>838711.273693</v>
      </c>
      <c r="M34" s="31" t="n">
        <v>842048.634617</v>
      </c>
      <c r="N34" s="31" t="n">
        <v>858161.1880120001</v>
      </c>
      <c r="O34" s="31" t="n">
        <v>860360.897108</v>
      </c>
      <c r="P34" s="31" t="n">
        <v>865822.9546309999</v>
      </c>
      <c r="Q34" s="31" t="n">
        <v>870055.963444</v>
      </c>
      <c r="R34" s="31" t="n">
        <v>885813.761324</v>
      </c>
      <c r="S34" s="31" t="n">
        <v>881750.181119</v>
      </c>
      <c r="T34" s="31" t="n">
        <v>808003.268375</v>
      </c>
      <c r="U34" s="31" t="n">
        <v>734782.270148</v>
      </c>
      <c r="V34" s="31" t="n">
        <v>674469.124065</v>
      </c>
      <c r="W34" s="31" t="n">
        <v>594470.2187729999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1500000</v>
      </c>
      <c r="D35" s="31" t="n">
        <v>1125000</v>
      </c>
      <c r="E35" s="31" t="n">
        <v>1050000</v>
      </c>
      <c r="F35" s="31" t="n">
        <v>975000</v>
      </c>
      <c r="G35" s="31" t="n">
        <v>900000</v>
      </c>
      <c r="H35" s="31" t="n">
        <v>825000</v>
      </c>
      <c r="I35" s="31" t="n">
        <v>750000</v>
      </c>
      <c r="J35" s="31" t="n">
        <v>675000</v>
      </c>
      <c r="K35" s="31" t="n">
        <v>600000</v>
      </c>
      <c r="L35" s="31" t="n">
        <v>525000</v>
      </c>
      <c r="M35" s="31" t="n">
        <v>450000</v>
      </c>
      <c r="N35" s="31" t="n">
        <v>375000</v>
      </c>
      <c r="O35" s="31" t="n">
        <v>300000</v>
      </c>
      <c r="P35" s="31" t="n">
        <v>225000</v>
      </c>
      <c r="Q35" s="31" t="n">
        <v>150000</v>
      </c>
      <c r="R35" s="31" t="n">
        <v>75000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1635000</v>
      </c>
      <c r="D36" s="31" t="n">
        <v>1981991.240334</v>
      </c>
      <c r="E36" s="31" t="n">
        <v>1878056.692067</v>
      </c>
      <c r="F36" s="31" t="n">
        <v>1815189.582886</v>
      </c>
      <c r="G36" s="31" t="n">
        <v>1734090.954187</v>
      </c>
      <c r="H36" s="31" t="n">
        <v>1656167.928619</v>
      </c>
      <c r="I36" s="31" t="n">
        <v>1582180.280491</v>
      </c>
      <c r="J36" s="31" t="n">
        <v>1512439.006075</v>
      </c>
      <c r="K36" s="31" t="n">
        <v>1437611.774327</v>
      </c>
      <c r="L36" s="31" t="n">
        <v>1363711.273693</v>
      </c>
      <c r="M36" s="31" t="n">
        <v>1292048.634617</v>
      </c>
      <c r="N36" s="31" t="n">
        <v>1233161.188012</v>
      </c>
      <c r="O36" s="31" t="n">
        <v>1160360.897108</v>
      </c>
      <c r="P36" s="31" t="n">
        <v>1090822.954631</v>
      </c>
      <c r="Q36" s="31" t="n">
        <v>1020055.963444</v>
      </c>
      <c r="R36" s="31" t="n">
        <v>960813.761324</v>
      </c>
      <c r="S36" s="31" t="n">
        <v>881750.181119</v>
      </c>
      <c r="T36" s="31" t="n">
        <v>808003.268375</v>
      </c>
      <c r="U36" s="31" t="n">
        <v>734782.270148</v>
      </c>
      <c r="V36" s="31" t="n">
        <v>674469.124065</v>
      </c>
      <c r="W36" s="31" t="n">
        <v>594470.2187729999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4000000</v>
      </c>
      <c r="D37" s="31" t="n">
        <v>6137826</v>
      </c>
      <c r="E37" s="31" t="n">
        <v>6297873</v>
      </c>
      <c r="F37" s="31" t="n">
        <v>6414593</v>
      </c>
      <c r="G37" s="31" t="n">
        <v>6512394</v>
      </c>
      <c r="H37" s="31" t="n">
        <v>6602648</v>
      </c>
      <c r="I37" s="31" t="n">
        <v>6676050</v>
      </c>
      <c r="J37" s="31" t="n">
        <v>6732165</v>
      </c>
      <c r="K37" s="31" t="n">
        <v>6787367</v>
      </c>
      <c r="L37" s="31" t="n">
        <v>6842224</v>
      </c>
      <c r="M37" s="31" t="n">
        <v>6899743</v>
      </c>
      <c r="N37" s="31" t="n">
        <v>6939017</v>
      </c>
      <c r="O37" s="31" t="n">
        <v>6985488</v>
      </c>
      <c r="P37" s="31" t="n">
        <v>7004703</v>
      </c>
      <c r="Q37" s="31" t="n">
        <v>7006718</v>
      </c>
      <c r="R37" s="31" t="n">
        <v>7006718</v>
      </c>
      <c r="S37" s="31" t="n">
        <v>7006718</v>
      </c>
      <c r="T37" s="31" t="n">
        <v>7006718</v>
      </c>
      <c r="U37" s="31" t="n">
        <v>7006718</v>
      </c>
      <c r="V37" s="31" t="n">
        <v>7006718</v>
      </c>
      <c r="W37" s="31" t="n">
        <v>7006718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-3705000</v>
      </c>
      <c r="D38" s="31" t="n">
        <v>-3733048.227065</v>
      </c>
      <c r="E38" s="31" t="n">
        <v>-3745491.554867</v>
      </c>
      <c r="F38" s="31" t="n">
        <v>-3742665.035993</v>
      </c>
      <c r="G38" s="31" t="n">
        <v>-3727282.498197</v>
      </c>
      <c r="H38" s="31" t="n">
        <v>-3694219.541383</v>
      </c>
      <c r="I38" s="31" t="n">
        <v>-3653161.808749</v>
      </c>
      <c r="J38" s="31" t="n">
        <v>-3598894.270953</v>
      </c>
      <c r="K38" s="31" t="n">
        <v>-3530947.688406</v>
      </c>
      <c r="L38" s="31" t="n">
        <v>-3448523.758554</v>
      </c>
      <c r="M38" s="31" t="n">
        <v>-3350548.691126</v>
      </c>
      <c r="N38" s="31" t="n">
        <v>-3236153.805253</v>
      </c>
      <c r="O38" s="31" t="n">
        <v>-3120753.366977</v>
      </c>
      <c r="P38" s="31" t="n">
        <v>-3005301.15565</v>
      </c>
      <c r="Q38" s="31" t="n">
        <v>-2890600.485927</v>
      </c>
      <c r="R38" s="31" t="n">
        <v>-2777152.022178</v>
      </c>
      <c r="S38" s="31" t="n">
        <v>-2665231.09387</v>
      </c>
      <c r="T38" s="31" t="n">
        <v>-2554987.482386</v>
      </c>
      <c r="U38" s="31" t="n">
        <v>-2446506.167663</v>
      </c>
      <c r="V38" s="31" t="n">
        <v>-2339838.65411</v>
      </c>
      <c r="W38" s="31" t="n">
        <v>-2235021.683208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295000</v>
      </c>
      <c r="D40" s="31" t="n">
        <v>2404777.772935</v>
      </c>
      <c r="E40" s="31" t="n">
        <v>2552381.445133</v>
      </c>
      <c r="F40" s="31" t="n">
        <v>2671927.964007</v>
      </c>
      <c r="G40" s="31" t="n">
        <v>2785111.501803</v>
      </c>
      <c r="H40" s="31" t="n">
        <v>2908428.458617</v>
      </c>
      <c r="I40" s="31" t="n">
        <v>3022888.191251</v>
      </c>
      <c r="J40" s="31" t="n">
        <v>3133270.729047</v>
      </c>
      <c r="K40" s="31" t="n">
        <v>3256419.311594</v>
      </c>
      <c r="L40" s="31" t="n">
        <v>3393700.241446</v>
      </c>
      <c r="M40" s="31" t="n">
        <v>3549194.308874</v>
      </c>
      <c r="N40" s="31" t="n">
        <v>3702863.194747</v>
      </c>
      <c r="O40" s="31" t="n">
        <v>3864734.633023</v>
      </c>
      <c r="P40" s="31" t="n">
        <v>3999401.84435</v>
      </c>
      <c r="Q40" s="31" t="n">
        <v>4116117.514073</v>
      </c>
      <c r="R40" s="31" t="n">
        <v>4229565.977822</v>
      </c>
      <c r="S40" s="31" t="n">
        <v>4341486.90613</v>
      </c>
      <c r="T40" s="31" t="n">
        <v>4451730.517614</v>
      </c>
      <c r="U40" s="31" t="n">
        <v>4560211.832337</v>
      </c>
      <c r="V40" s="31" t="n">
        <v>4666879.34589</v>
      </c>
      <c r="W40" s="31" t="n">
        <v>4771696.316792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1930000</v>
      </c>
      <c r="D41" s="31" t="n">
        <v>4386769.013269</v>
      </c>
      <c r="E41" s="31" t="n">
        <v>4430438.137199</v>
      </c>
      <c r="F41" s="31" t="n">
        <v>4487117.546893</v>
      </c>
      <c r="G41" s="31" t="n">
        <v>4519202.455991</v>
      </c>
      <c r="H41" s="31" t="n">
        <v>4564596.387236</v>
      </c>
      <c r="I41" s="31" t="n">
        <v>4605068.471742</v>
      </c>
      <c r="J41" s="31" t="n">
        <v>4645709.735122</v>
      </c>
      <c r="K41" s="31" t="n">
        <v>4694031.085921</v>
      </c>
      <c r="L41" s="31" t="n">
        <v>4757411.515139</v>
      </c>
      <c r="M41" s="31" t="n">
        <v>4841242.943491</v>
      </c>
      <c r="N41" s="31" t="n">
        <v>4936024.382758</v>
      </c>
      <c r="O41" s="31" t="n">
        <v>5025095.530131</v>
      </c>
      <c r="P41" s="31" t="n">
        <v>5090224.798981</v>
      </c>
      <c r="Q41" s="31" t="n">
        <v>5136173.477517</v>
      </c>
      <c r="R41" s="31" t="n">
        <v>5190379.739146</v>
      </c>
      <c r="S41" s="31" t="n">
        <v>5223237.087249</v>
      </c>
      <c r="T41" s="31" t="n">
        <v>5259733.785989</v>
      </c>
      <c r="U41" s="31" t="n">
        <v>5294994.102485</v>
      </c>
      <c r="V41" s="31" t="n">
        <v>5341348.469955</v>
      </c>
      <c r="W41" s="31" t="n">
        <v>5366166.535565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250000</v>
      </c>
      <c r="D45" s="31" t="n">
        <v>250000</v>
      </c>
      <c r="E45" s="31" t="n">
        <v>1436166.339409</v>
      </c>
      <c r="F45" s="31" t="n">
        <v>1450334.49133</v>
      </c>
      <c r="G45" s="31" t="n">
        <v>1461787.639012</v>
      </c>
      <c r="H45" s="31" t="n">
        <v>1471053.140243</v>
      </c>
      <c r="I45" s="31" t="n">
        <v>1475760.466817</v>
      </c>
      <c r="J45" s="31" t="n">
        <v>1485970.293506</v>
      </c>
      <c r="K45" s="31" t="n">
        <v>1494239.970916</v>
      </c>
      <c r="L45" s="31" t="n">
        <v>1506276.098351</v>
      </c>
      <c r="M45" s="31" t="n">
        <v>1525437.05983</v>
      </c>
      <c r="N45" s="31" t="n">
        <v>1553039.851984</v>
      </c>
      <c r="O45" s="31" t="n">
        <v>1584210.377823</v>
      </c>
      <c r="P45" s="31" t="n">
        <v>1619444.580489</v>
      </c>
      <c r="Q45" s="31" t="n">
        <v>1644656.083838</v>
      </c>
      <c r="R45" s="31" t="n">
        <v>1660988.659319</v>
      </c>
      <c r="S45" s="31" t="n">
        <v>1689989.560834</v>
      </c>
      <c r="T45" s="31" t="n">
        <v>1706928.381336</v>
      </c>
      <c r="U45" s="31" t="n">
        <v>1730902.6642</v>
      </c>
      <c r="V45" s="31" t="n">
        <v>1753310.608843</v>
      </c>
      <c r="W45" s="31" t="n">
        <v>1783707.324918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5839633.498875</v>
      </c>
      <c r="D46" s="31" t="n">
        <v>-28048.227065</v>
      </c>
      <c r="E46" s="31" t="n">
        <v>-12443.327802</v>
      </c>
      <c r="F46" s="31" t="n">
        <v>2826.518874</v>
      </c>
      <c r="G46" s="31" t="n">
        <v>15382.537797</v>
      </c>
      <c r="H46" s="31" t="n">
        <v>33062.956813</v>
      </c>
      <c r="I46" s="31" t="n">
        <v>41057.732634</v>
      </c>
      <c r="J46" s="31" t="n">
        <v>54267.537796</v>
      </c>
      <c r="K46" s="31" t="n">
        <v>67946.582547</v>
      </c>
      <c r="L46" s="31" t="n">
        <v>82423.929852</v>
      </c>
      <c r="M46" s="31" t="n">
        <v>97975.06742799999</v>
      </c>
      <c r="N46" s="31" t="n">
        <v>114394.885873</v>
      </c>
      <c r="O46" s="31" t="n">
        <v>115400.438276</v>
      </c>
      <c r="P46" s="31" t="n">
        <v>115452.211327</v>
      </c>
      <c r="Q46" s="31" t="n">
        <v>114700.669722</v>
      </c>
      <c r="R46" s="31" t="n">
        <v>113448.46375</v>
      </c>
      <c r="S46" s="31" t="n">
        <v>111920.928308</v>
      </c>
      <c r="T46" s="31" t="n">
        <v>110243.611484</v>
      </c>
      <c r="U46" s="31" t="n">
        <v>108481.314723</v>
      </c>
      <c r="V46" s="31" t="n">
        <v>106667.513554</v>
      </c>
      <c r="W46" s="31" t="n">
        <v>104816.970902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3468</v>
      </c>
      <c r="E47" s="31" t="n">
        <v>3940.52171</v>
      </c>
      <c r="F47" s="31" t="n">
        <v>4414.607771</v>
      </c>
      <c r="G47" s="31" t="n">
        <v>4893.361064</v>
      </c>
      <c r="H47" s="31" t="n">
        <v>5373.807347</v>
      </c>
      <c r="I47" s="31" t="n">
        <v>5857.873174</v>
      </c>
      <c r="J47" s="31" t="n">
        <v>6345.040078</v>
      </c>
      <c r="K47" s="31" t="n">
        <v>6834.783128</v>
      </c>
      <c r="L47" s="31" t="n">
        <v>7325.312351</v>
      </c>
      <c r="M47" s="31" t="n">
        <v>7819.876299</v>
      </c>
      <c r="N47" s="31" t="n">
        <v>8315.418900999999</v>
      </c>
      <c r="O47" s="31" t="n">
        <v>8812.671120000001</v>
      </c>
      <c r="P47" s="31" t="n">
        <v>9311.093825</v>
      </c>
      <c r="Q47" s="31" t="n">
        <v>9811.425142</v>
      </c>
      <c r="R47" s="31" t="n">
        <v>10313.11871</v>
      </c>
      <c r="S47" s="31" t="n">
        <v>10815.620037</v>
      </c>
      <c r="T47" s="31" t="n">
        <v>11319.658145</v>
      </c>
      <c r="U47" s="31" t="n">
        <v>11824.661683</v>
      </c>
      <c r="V47" s="31" t="n">
        <v>12328.755536</v>
      </c>
      <c r="W47" s="31" t="n">
        <v>12833.945645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-1264705.87386</v>
      </c>
      <c r="E48" s="31" t="n">
        <v>-24007.263093</v>
      </c>
      <c r="F48" s="31" t="n">
        <v>-40140.35425</v>
      </c>
      <c r="G48" s="31" t="n">
        <v>-18149.150975</v>
      </c>
      <c r="H48" s="31" t="n">
        <v>-36436.935376</v>
      </c>
      <c r="I48" s="31" t="n">
        <v>-26440.077931</v>
      </c>
      <c r="J48" s="31" t="n">
        <v>-28983.332695</v>
      </c>
      <c r="K48" s="31" t="n">
        <v>-33336.859212</v>
      </c>
      <c r="L48" s="31" t="n">
        <v>-41715.211776</v>
      </c>
      <c r="M48" s="31" t="n">
        <v>-54175.98897</v>
      </c>
      <c r="N48" s="31" t="n">
        <v>-62014.377944</v>
      </c>
      <c r="O48" s="31" t="n">
        <v>-52701.790077</v>
      </c>
      <c r="P48" s="31" t="n">
        <v>-39248.76283</v>
      </c>
      <c r="Q48" s="31" t="n">
        <v>-29418.798803</v>
      </c>
      <c r="R48" s="31" t="n">
        <v>-25484.79767</v>
      </c>
      <c r="S48" s="31" t="n">
        <v>-16679.235212</v>
      </c>
      <c r="T48" s="31" t="n">
        <v>-13769.686159</v>
      </c>
      <c r="U48" s="31" t="n">
        <v>-14590.967371</v>
      </c>
      <c r="V48" s="31" t="n">
        <v>-18190.496765</v>
      </c>
      <c r="W48" s="31" t="n">
        <v>-11496.849948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451991.240334</v>
      </c>
      <c r="E49" s="31" t="n">
        <v>1065.451733</v>
      </c>
      <c r="F49" s="31" t="n">
        <v>12132.890819</v>
      </c>
      <c r="G49" s="31" t="n">
        <v>-6098.628699</v>
      </c>
      <c r="H49" s="31" t="n">
        <v>-2923.025568</v>
      </c>
      <c r="I49" s="31" t="n">
        <v>1012.351872</v>
      </c>
      <c r="J49" s="31" t="n">
        <v>5258.725583</v>
      </c>
      <c r="K49" s="31" t="n">
        <v>172.768252</v>
      </c>
      <c r="L49" s="31" t="n">
        <v>1099.499366</v>
      </c>
      <c r="M49" s="31" t="n">
        <v>3337.360924</v>
      </c>
      <c r="N49" s="31" t="n">
        <v>16112.553395</v>
      </c>
      <c r="O49" s="31" t="n">
        <v>2199.709096</v>
      </c>
      <c r="P49" s="31" t="n">
        <v>5462.057522</v>
      </c>
      <c r="Q49" s="31" t="n">
        <v>4233.008813</v>
      </c>
      <c r="R49" s="31" t="n">
        <v>15757.79788</v>
      </c>
      <c r="S49" s="31" t="n">
        <v>-4063.580205</v>
      </c>
      <c r="T49" s="31" t="n">
        <v>1253.087256</v>
      </c>
      <c r="U49" s="31" t="n">
        <v>1779.001774</v>
      </c>
      <c r="V49" s="31" t="n">
        <v>14686.853917</v>
      </c>
      <c r="W49" s="31" t="n">
        <v>-4998.905292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-837294.8605909999</v>
      </c>
      <c r="E50" s="31" t="n">
        <v>-31444.617452</v>
      </c>
      <c r="F50" s="31" t="n">
        <v>-20766.336785</v>
      </c>
      <c r="G50" s="31" t="n">
        <v>-3971.880813</v>
      </c>
      <c r="H50" s="31" t="n">
        <v>-923.196785</v>
      </c>
      <c r="I50" s="31" t="n">
        <v>21487.879749</v>
      </c>
      <c r="J50" s="31" t="n">
        <v>36887.970763</v>
      </c>
      <c r="K50" s="31" t="n">
        <v>41617.274715</v>
      </c>
      <c r="L50" s="31" t="n">
        <v>49133.529793</v>
      </c>
      <c r="M50" s="31" t="n">
        <v>54956.315681</v>
      </c>
      <c r="N50" s="31" t="n">
        <v>76808.48022500001</v>
      </c>
      <c r="O50" s="31" t="n">
        <v>73711.02841499999</v>
      </c>
      <c r="P50" s="31" t="n">
        <v>90976.599845</v>
      </c>
      <c r="Q50" s="31" t="n">
        <v>99326.30487399999</v>
      </c>
      <c r="R50" s="31" t="n">
        <v>114034.58267</v>
      </c>
      <c r="S50" s="31" t="n">
        <v>101993.732928</v>
      </c>
      <c r="T50" s="31" t="n">
        <v>109046.670726</v>
      </c>
      <c r="U50" s="31" t="n">
        <v>107494.010808</v>
      </c>
      <c r="V50" s="31" t="n">
        <v>115492.626241</v>
      </c>
      <c r="W50" s="31" t="n">
        <v>101155.161307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9364.799999999999</v>
      </c>
      <c r="E51" s="31" t="n">
        <v>9434.230627000001</v>
      </c>
      <c r="F51" s="31" t="n">
        <v>9500.515531999999</v>
      </c>
      <c r="G51" s="31" t="n">
        <v>9563.617956</v>
      </c>
      <c r="H51" s="31" t="n">
        <v>9623.476640999999</v>
      </c>
      <c r="I51" s="31" t="n">
        <v>9680.05306</v>
      </c>
      <c r="J51" s="31" t="n">
        <v>9733.293352000001</v>
      </c>
      <c r="K51" s="31" t="n">
        <v>9783.147279999999</v>
      </c>
      <c r="L51" s="31" t="n">
        <v>9829.568314</v>
      </c>
      <c r="M51" s="31" t="n">
        <v>9872.523526999999</v>
      </c>
      <c r="N51" s="31" t="n">
        <v>9911.954385999999</v>
      </c>
      <c r="O51" s="31" t="n">
        <v>9947.825749</v>
      </c>
      <c r="P51" s="31" t="n">
        <v>9980.096496</v>
      </c>
      <c r="Q51" s="31" t="n">
        <v>10008.729393</v>
      </c>
      <c r="R51" s="31" t="n">
        <v>10033.681155</v>
      </c>
      <c r="S51" s="31" t="n">
        <v>10054.912425</v>
      </c>
      <c r="T51" s="31" t="n">
        <v>10072.387862</v>
      </c>
      <c r="U51" s="31" t="n">
        <v>10086.066165</v>
      </c>
      <c r="V51" s="31" t="n">
        <v>10095.910166</v>
      </c>
      <c r="W51" s="31" t="n">
        <v>10101.89704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-9364.799999999999</v>
      </c>
      <c r="E52" s="31" t="n">
        <v>-9434.230627000001</v>
      </c>
      <c r="F52" s="31" t="n">
        <v>-9500.515531999999</v>
      </c>
      <c r="G52" s="31" t="n">
        <v>-9563.617956</v>
      </c>
      <c r="H52" s="31" t="n">
        <v>-9623.476640999999</v>
      </c>
      <c r="I52" s="31" t="n">
        <v>-9680.05306</v>
      </c>
      <c r="J52" s="31" t="n">
        <v>-9733.293352000001</v>
      </c>
      <c r="K52" s="31" t="n">
        <v>-9783.147279999999</v>
      </c>
      <c r="L52" s="31" t="n">
        <v>-9829.568314</v>
      </c>
      <c r="M52" s="31" t="n">
        <v>-9872.523526999999</v>
      </c>
      <c r="N52" s="31" t="n">
        <v>-9911.954385999999</v>
      </c>
      <c r="O52" s="31" t="n">
        <v>-9947.825749</v>
      </c>
      <c r="P52" s="31" t="n">
        <v>-9980.096496</v>
      </c>
      <c r="Q52" s="31" t="n">
        <v>-10008.729393</v>
      </c>
      <c r="R52" s="31" t="n">
        <v>-10033.681155</v>
      </c>
      <c r="S52" s="31" t="n">
        <v>-10054.912425</v>
      </c>
      <c r="T52" s="31" t="n">
        <v>-10072.387862</v>
      </c>
      <c r="U52" s="31" t="n">
        <v>-10086.066165</v>
      </c>
      <c r="V52" s="31" t="n">
        <v>-10095.910166</v>
      </c>
      <c r="W52" s="31" t="n">
        <v>-10101.89704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-75000</v>
      </c>
      <c r="E54" s="31" t="n">
        <v>-75000</v>
      </c>
      <c r="F54" s="31" t="n">
        <v>-75000</v>
      </c>
      <c r="G54" s="31" t="n">
        <v>-75000</v>
      </c>
      <c r="H54" s="31" t="n">
        <v>-75000</v>
      </c>
      <c r="I54" s="31" t="n">
        <v>-75000</v>
      </c>
      <c r="J54" s="31" t="n">
        <v>-75000</v>
      </c>
      <c r="K54" s="31" t="n">
        <v>-75000</v>
      </c>
      <c r="L54" s="31" t="n">
        <v>-75000</v>
      </c>
      <c r="M54" s="31" t="n">
        <v>-75000</v>
      </c>
      <c r="N54" s="31" t="n">
        <v>-75000</v>
      </c>
      <c r="O54" s="31" t="n">
        <v>-75000</v>
      </c>
      <c r="P54" s="31" t="n">
        <v>-75000</v>
      </c>
      <c r="Q54" s="31" t="n">
        <v>-75000</v>
      </c>
      <c r="R54" s="31" t="n">
        <v>-75000</v>
      </c>
      <c r="S54" s="31" t="n">
        <v>-75000</v>
      </c>
      <c r="T54" s="31" t="n">
        <v>-75000</v>
      </c>
      <c r="U54" s="31" t="n">
        <v>-75000</v>
      </c>
      <c r="V54" s="31" t="n">
        <v>-75000</v>
      </c>
      <c r="W54" s="31" t="n">
        <v>-75000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2137826</v>
      </c>
      <c r="E55" s="31" t="n">
        <v>160047</v>
      </c>
      <c r="F55" s="31" t="n">
        <v>116720</v>
      </c>
      <c r="G55" s="31" t="n">
        <v>97801</v>
      </c>
      <c r="H55" s="31" t="n">
        <v>90254</v>
      </c>
      <c r="I55" s="31" t="n">
        <v>73402</v>
      </c>
      <c r="J55" s="31" t="n">
        <v>56115</v>
      </c>
      <c r="K55" s="31" t="n">
        <v>55202</v>
      </c>
      <c r="L55" s="31" t="n">
        <v>54857</v>
      </c>
      <c r="M55" s="31" t="n">
        <v>57519</v>
      </c>
      <c r="N55" s="31" t="n">
        <v>39274</v>
      </c>
      <c r="O55" s="31" t="n">
        <v>46471</v>
      </c>
      <c r="P55" s="31" t="n">
        <v>19215</v>
      </c>
      <c r="Q55" s="31" t="n">
        <v>2015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0</v>
      </c>
      <c r="V56" s="31" t="n">
        <v>0</v>
      </c>
      <c r="W56" s="31" t="n">
        <v>0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2032826</v>
      </c>
      <c r="E57" s="31" t="n">
        <v>55047</v>
      </c>
      <c r="F57" s="31" t="n">
        <v>41720</v>
      </c>
      <c r="G57" s="31" t="n">
        <v>22801</v>
      </c>
      <c r="H57" s="31" t="n">
        <v>15254</v>
      </c>
      <c r="I57" s="31" t="n">
        <v>-1598</v>
      </c>
      <c r="J57" s="31" t="n">
        <v>-18885</v>
      </c>
      <c r="K57" s="31" t="n">
        <v>-19798</v>
      </c>
      <c r="L57" s="31" t="n">
        <v>-20143</v>
      </c>
      <c r="M57" s="31" t="n">
        <v>-17481</v>
      </c>
      <c r="N57" s="31" t="n">
        <v>-35726</v>
      </c>
      <c r="O57" s="31" t="n">
        <v>-28529</v>
      </c>
      <c r="P57" s="31" t="n">
        <v>-55785</v>
      </c>
      <c r="Q57" s="31" t="n">
        <v>-72985</v>
      </c>
      <c r="R57" s="31" t="n">
        <v>-75000</v>
      </c>
      <c r="S57" s="31" t="n">
        <v>-75000</v>
      </c>
      <c r="T57" s="31" t="n">
        <v>-75000</v>
      </c>
      <c r="U57" s="31" t="n">
        <v>-75000</v>
      </c>
      <c r="V57" s="31" t="n">
        <v>-75000</v>
      </c>
      <c r="W57" s="31" t="n">
        <v>-75000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1186166.339409</v>
      </c>
      <c r="E58" s="31" t="n">
        <v>14168.151921</v>
      </c>
      <c r="F58" s="31" t="n">
        <v>11453.147683</v>
      </c>
      <c r="G58" s="31" t="n">
        <v>9265.501231</v>
      </c>
      <c r="H58" s="31" t="n">
        <v>4707.326574</v>
      </c>
      <c r="I58" s="31" t="n">
        <v>10209.826689</v>
      </c>
      <c r="J58" s="31" t="n">
        <v>8269.677411000001</v>
      </c>
      <c r="K58" s="31" t="n">
        <v>12036.127435</v>
      </c>
      <c r="L58" s="31" t="n">
        <v>19160.961479</v>
      </c>
      <c r="M58" s="31" t="n">
        <v>27602.792154</v>
      </c>
      <c r="N58" s="31" t="n">
        <v>31170.525839</v>
      </c>
      <c r="O58" s="31" t="n">
        <v>35234.202666</v>
      </c>
      <c r="P58" s="31" t="n">
        <v>25211.503349</v>
      </c>
      <c r="Q58" s="31" t="n">
        <v>16332.575481</v>
      </c>
      <c r="R58" s="31" t="n">
        <v>29000.901515</v>
      </c>
      <c r="S58" s="31" t="n">
        <v>16938.820503</v>
      </c>
      <c r="T58" s="31" t="n">
        <v>23974.282864</v>
      </c>
      <c r="U58" s="31" t="n">
        <v>22407.944643</v>
      </c>
      <c r="V58" s="31" t="n">
        <v>30396.716075</v>
      </c>
      <c r="W58" s="31" t="n">
        <v>16053.264267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250000</v>
      </c>
      <c r="D59" s="31" t="n">
        <v>1436166.339409</v>
      </c>
      <c r="E59" s="31" t="n">
        <v>1450334.49133</v>
      </c>
      <c r="F59" s="31" t="n">
        <v>1461787.639012</v>
      </c>
      <c r="G59" s="31" t="n">
        <v>1471053.140243</v>
      </c>
      <c r="H59" s="31" t="n">
        <v>1475760.466817</v>
      </c>
      <c r="I59" s="31" t="n">
        <v>1485970.293506</v>
      </c>
      <c r="J59" s="31" t="n">
        <v>1494239.970916</v>
      </c>
      <c r="K59" s="31" t="n">
        <v>1506276.098351</v>
      </c>
      <c r="L59" s="31" t="n">
        <v>1525437.05983</v>
      </c>
      <c r="M59" s="31" t="n">
        <v>1553039.851984</v>
      </c>
      <c r="N59" s="31" t="n">
        <v>1584210.377823</v>
      </c>
      <c r="O59" s="31" t="n">
        <v>1619444.580489</v>
      </c>
      <c r="P59" s="31" t="n">
        <v>1644656.083838</v>
      </c>
      <c r="Q59" s="31" t="n">
        <v>1660988.659319</v>
      </c>
      <c r="R59" s="31" t="n">
        <v>1689989.560834</v>
      </c>
      <c r="S59" s="31" t="n">
        <v>1706928.381336</v>
      </c>
      <c r="T59" s="31" t="n">
        <v>1730902.6642</v>
      </c>
      <c r="U59" s="31" t="n">
        <v>1753310.608843</v>
      </c>
      <c r="V59" s="31" t="n">
        <v>1783707.324918</v>
      </c>
      <c r="W59" s="31" t="n">
        <v>1799760.589185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A27:N106</t>
        </is>
      </c>
      <c r="E16" s="39">
        <f>SUM(ABS('Payroll Schedule'!C15-SUMIFS('Payroll Schedule'!$G$27:$G$106,'Payroll Schedule'!$A$27:$A$106,0)),ABS('Payroll Schedule'!C16-SUMIFS('Payroll Schedule'!$H$27:$H$106,'Payroll Schedule'!$A$27:$A$106,0)),ABS('Payroll Schedule'!C17-SUMIFS('Payroll Schedule'!$M$27:$M$106,'Payroll Schedule'!$A$27:$A$106,0)),ABS('Payroll Schedule'!D15-SUMIFS('Payroll Schedule'!$G$27:$G$106,'Payroll Schedule'!$A$27:$A$106,1)),ABS('Payroll Schedule'!D16-SUMIFS('Payroll Schedule'!$H$27:$H$106,'Payroll Schedule'!$A$27:$A$106,1)),ABS('Payroll Schedule'!D17-SUMIFS('Payroll Schedule'!$M$27:$M$106,'Payroll Schedule'!$A$27:$A$106,1)),ABS('Payroll Schedule'!E15-SUMIFS('Payroll Schedule'!$G$27:$G$106,'Payroll Schedule'!$A$27:$A$106,2)),ABS('Payroll Schedule'!E16-SUMIFS('Payroll Schedule'!$H$27:$H$106,'Payroll Schedule'!$A$27:$A$106,2)),ABS('Payroll Schedule'!E17-SUMIFS('Payroll Schedule'!$M$27:$M$106,'Payroll Schedule'!$A$27:$A$106,2)),ABS('Payroll Schedule'!F15-SUMIFS('Payroll Schedule'!$G$27:$G$106,'Payroll Schedule'!$A$27:$A$106,3)),ABS('Payroll Schedule'!F16-SUMIFS('Payroll Schedule'!$H$27:$H$106,'Payroll Schedule'!$A$27:$A$106,3)),ABS('Payroll Schedule'!F17-SUMIFS('Payroll Schedule'!$M$27:$M$106,'Payroll Schedule'!$A$27:$A$106,3)),ABS('Payroll Schedule'!G15-SUMIFS('Payroll Schedule'!$G$27:$G$106,'Payroll Schedule'!$A$27:$A$106,4)),ABS('Payroll Schedule'!G16-SUMIFS('Payroll Schedule'!$H$27:$H$106,'Payroll Schedule'!$A$27:$A$106,4)),ABS('Payroll Schedule'!G17-SUMIFS('Payroll Schedule'!$M$27:$M$106,'Payroll Schedule'!$A$27:$A$106,4)),ABS('Payroll Schedule'!H15-SUMIFS('Payroll Schedule'!$G$27:$G$106,'Payroll Schedule'!$A$27:$A$106,5)),ABS('Payroll Schedule'!H16-SUMIFS('Payroll Schedule'!$H$27:$H$106,'Payroll Schedule'!$A$27:$A$106,5)),ABS('Payroll Schedule'!H17-SUMIFS('Payroll Schedule'!$M$27:$M$106,'Payroll Schedule'!$A$27:$A$106,5)),ABS('Payroll Schedule'!I15-SUMIFS('Payroll Schedule'!$G$27:$G$106,'Payroll Schedule'!$A$27:$A$106,6)),ABS('Payroll Schedule'!I16-SUMIFS('Payroll Schedule'!$H$27:$H$106,'Payroll Schedule'!$A$27:$A$106,6)),ABS('Payroll Schedule'!I17-SUMIFS('Payroll Schedule'!$M$27:$M$106,'Payroll Schedule'!$A$27:$A$106,6)),ABS('Payroll Schedule'!J15-SUMIFS('Payroll Schedule'!$G$27:$G$106,'Payroll Schedule'!$A$27:$A$106,7)),ABS('Payroll Schedule'!J16-SUMIFS('Payroll Schedule'!$H$27:$H$106,'Payroll Schedule'!$A$27:$A$106,7)),ABS('Payroll Schedule'!J17-SUMIFS('Payroll Schedule'!$M$27:$M$106,'Payroll Schedule'!$A$27:$A$106,7)),ABS('Payroll Schedule'!K15-SUMIFS('Payroll Schedule'!$G$27:$G$106,'Payroll Schedule'!$A$27:$A$106,8)),ABS('Payroll Schedule'!K16-SUMIFS('Payroll Schedule'!$H$27:$H$106,'Payroll Schedule'!$A$27:$A$106,8)),ABS('Payroll Schedule'!K17-SUMIFS('Payroll Schedule'!$M$27:$M$106,'Payroll Schedule'!$A$27:$A$106,8)),ABS('Payroll Schedule'!L15-SUMIFS('Payroll Schedule'!$G$27:$G$106,'Payroll Schedule'!$A$27:$A$106,9)),ABS('Payroll Schedule'!L16-SUMIFS('Payroll Schedule'!$H$27:$H$106,'Payroll Schedule'!$A$27:$A$106,9)),ABS('Payroll Schedule'!L17-SUMIFS('Payroll Schedule'!$M$27:$M$106,'Payroll Schedule'!$A$27:$A$106,9)),ABS('Payroll Schedule'!M15-SUMIFS('Payroll Schedule'!$G$27:$G$106,'Payroll Schedule'!$A$27:$A$106,10)),ABS('Payroll Schedule'!M16-SUMIFS('Payroll Schedule'!$H$27:$H$106,'Payroll Schedule'!$A$27:$A$106,10)),ABS('Payroll Schedule'!M17-SUMIFS('Payroll Schedule'!$M$27:$M$106,'Payroll Schedule'!$A$27:$A$106,10)),ABS('Payroll Schedule'!N15-SUMIFS('Payroll Schedule'!$G$27:$G$106,'Payroll Schedule'!$A$27:$A$106,11)),ABS('Payroll Schedule'!N16-SUMIFS('Payroll Schedule'!$H$27:$H$106,'Payroll Schedule'!$A$27:$A$106,11)),ABS('Payroll Schedule'!N17-SUMIFS('Payroll Schedule'!$M$27:$M$106,'Payroll Schedule'!$A$27:$A$106,11)),ABS('Payroll Schedule'!O15-SUMIFS('Payroll Schedule'!$G$27:$G$106,'Payroll Schedule'!$A$27:$A$106,12)),ABS('Payroll Schedule'!O16-SUMIFS('Payroll Schedule'!$H$27:$H$106,'Payroll Schedule'!$A$27:$A$106,12)),ABS('Payroll Schedule'!O17-SUMIFS('Payroll Schedule'!$M$27:$M$106,'Payroll Schedule'!$A$27:$A$106,12)),ABS('Payroll Schedule'!P15-SUMIFS('Payroll Schedule'!$G$27:$G$106,'Payroll Schedule'!$A$27:$A$106,13)),ABS('Payroll Schedule'!P16-SUMIFS('Payroll Schedule'!$H$27:$H$106,'Payroll Schedule'!$A$27:$A$106,13)),ABS('Payroll Schedule'!P17-SUMIFS('Payroll Schedule'!$M$27:$M$106,'Payroll Schedule'!$A$27:$A$106,13)),ABS('Payroll Schedule'!Q15-SUMIFS('Payroll Schedule'!$G$27:$G$106,'Payroll Schedule'!$A$27:$A$106,14)),ABS('Payroll Schedule'!Q16-SUMIFS('Payroll Schedule'!$H$27:$H$106,'Payroll Schedule'!$A$27:$A$106,14)),ABS('Payroll Schedule'!Q17-SUMIFS('Payroll Schedule'!$M$27:$M$106,'Payroll Schedule'!$A$27:$A$106,14)),ABS('Payroll Schedule'!R15-SUMIFS('Payroll Schedule'!$G$27:$G$106,'Payroll Schedule'!$A$27:$A$106,15)),ABS('Payroll Schedule'!R16-SUMIFS('Payroll Schedule'!$H$27:$H$106,'Payroll Schedule'!$A$27:$A$106,15)),ABS('Payroll Schedule'!R17-SUMIFS('Payroll Schedule'!$M$27:$M$106,'Payroll Schedule'!$A$27:$A$106,15)),ABS('Payroll Schedule'!S15-SUMIFS('Payroll Schedule'!$G$27:$G$106,'Payroll Schedule'!$A$27:$A$106,16)),ABS('Payroll Schedule'!S16-SUMIFS('Payroll Schedule'!$H$27:$H$106,'Payroll Schedule'!$A$27:$A$106,16)),ABS('Payroll Schedule'!S17-SUMIFS('Payroll Schedule'!$M$27:$M$106,'Payroll Schedule'!$A$27:$A$106,16)),ABS('Payroll Schedule'!T15-SUMIFS('Payroll Schedule'!$G$27:$G$106,'Payroll Schedule'!$A$27:$A$106,17)),ABS('Payroll Schedule'!T16-SUMIFS('Payroll Schedule'!$H$27:$H$106,'Payroll Schedule'!$A$27:$A$106,17)),ABS('Payroll Schedule'!T17-SUMIFS('Payroll Schedule'!$M$27:$M$106,'Payroll Schedule'!$A$27:$A$106,17)),ABS('Payroll Schedule'!U15-SUMIFS('Payroll Schedule'!$G$27:$G$106,'Payroll Schedule'!$A$27:$A$106,18)),ABS('Payroll Schedule'!U16-SUMIFS('Payroll Schedule'!$H$27:$H$106,'Payroll Schedule'!$A$27:$A$106,18)),ABS('Payroll Schedule'!U17-SUMIFS('Payroll Schedule'!$M$27:$M$106,'Payroll Schedule'!$A$27:$A$106,18)),ABS('Payroll Schedule'!V15-SUMIFS('Payroll Schedule'!$G$27:$G$106,'Payroll Schedule'!$A$27:$A$106,19)),ABS('Payroll Schedule'!V16-SUMIFS('Payroll Schedule'!$H$27:$H$106,'Payroll Schedule'!$A$27:$A$106,19)),ABS('Payroll Schedule'!V17-SUMIFS('Payroll Schedule'!$M$27:$M$106,'Payroll Schedule'!$A$27:$A$106,19)),ABS('Payroll Schedule'!W15-SUMIFS('Payroll Schedule'!$G$27:$G$106,'Payroll Schedule'!$A$27:$A$106,20)),ABS('Payroll Schedule'!W16-SUMIFS('Payroll Schedule'!$H$27:$H$106,'Payroll Schedule'!$A$27:$A$106,20)),ABS('Payroll Schedule'!W17-SUMIFS('Payroll Schedule'!$M$27:$M$106,'Payroll Schedule'!$A$27:$A$106,20)))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E27:H106</t>
        </is>
      </c>
      <c r="E18" s="39">
        <f>SUMPRODUCT(ABS('Payroll Schedule'!G27:G106-('Payroll Schedule'!E27:E106+'Payroll Schedule'!F27:F106)))+SUMPRODUCT(ABS('Payroll Schedule'!H27:H106-(('Payroll Schedule'!E27:E106+'Payroll Schedule'!G27:G106)/2)))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I27:M106</t>
        </is>
      </c>
      <c r="E19" s="39">
        <f>SUMPRODUCT(ABS('Payroll Schedule'!K27:K106-('Payroll Schedule'!H27:H106*'Payroll Schedule'!I27:I106/4)))+SUMPRODUCT(ABS('Payroll Schedule'!L27:L106-('Payroll Schedule'!K27:K106*'Payroll Schedule'!J27:J106)))+SUMPRODUCT(ABS('Payroll Schedule'!M27:M106-('Payroll Schedule'!K27:K106+'Payroll Schedule'!L27:L106)))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Schedule'!G27:G106</t>
        </is>
      </c>
      <c r="E61" s="39">
        <f>80</f>
        <v/>
      </c>
      <c r="F61" s="39" t="n">
        <v>80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Schedule'!H27:H106</t>
        </is>
      </c>
      <c r="E62" s="39">
        <f>80</f>
        <v/>
      </c>
      <c r="F62" s="39" t="n">
        <v>80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Schedule'!K27:K106</t>
        </is>
      </c>
      <c r="E63" s="39">
        <f>80</f>
        <v/>
      </c>
      <c r="F63" s="39" t="n">
        <v>80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Schedule'!L27:L106</t>
        </is>
      </c>
      <c r="E64" s="39">
        <f>80</f>
        <v/>
      </c>
      <c r="F64" s="39" t="n">
        <v>80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Schedule'!M27:M106</t>
        </is>
      </c>
      <c r="E65" s="39">
        <f>80</f>
        <v/>
      </c>
      <c r="F65" s="39" t="n">
        <v>80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Schedule'!C15:W106</t>
        </is>
      </c>
      <c r="E158" s="39">
        <f>SUMPRODUCT(--ISERROR('Payroll Schedule'!C15:W106))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Freedom Freight Logistics</t>
        </is>
      </c>
    </row>
    <row r="8">
      <c r="A8" s="45" t="inlineStr">
        <is>
          <t>Business Start Date</t>
        </is>
      </c>
      <c r="B8" s="46" t="inlineStr">
        <is>
          <t>03/15/1998</t>
        </is>
      </c>
    </row>
    <row r="9">
      <c r="A9" s="45" t="inlineStr">
        <is>
          <t>NAICS-6</t>
        </is>
      </c>
      <c r="B9" s="46" t="inlineStr">
        <is>
          <t>488999</t>
        </is>
      </c>
    </row>
    <row r="10">
      <c r="A10" s="45" t="inlineStr">
        <is>
          <t>Draft ID</t>
        </is>
      </c>
      <c r="B10" s="46" t="inlineStr">
        <is>
          <t>0f054a1b6d694455ba608d3c0b42e725</t>
        </is>
      </c>
    </row>
    <row r="11">
      <c r="A11" s="45" t="inlineStr">
        <is>
          <t>Planning Run ID</t>
        </is>
      </c>
      <c r="B11" s="46" t="inlineStr">
        <is>
          <t>0973b34f6e3840adbd57cff9a2256f4b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bs_only_path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Freedom Freight Logistics Financial Model</dc:title>
  <dc:subject>Client financial model workbook</dc:subject>
  <dcterms:created xsi:type="dcterms:W3CDTF">2026-05-20T07:23:50Z</dcterms:created>
  <dcterms:modified xsi:type="dcterms:W3CDTF">2026-05-20T07:23:52Z</dcterms:modified>
</cp:coreProperties>
</file>