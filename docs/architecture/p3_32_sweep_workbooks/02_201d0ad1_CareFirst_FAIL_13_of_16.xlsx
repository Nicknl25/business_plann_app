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business_plann_app\docs\architecture\p3_32_sweep_workbooks\"/>
    </mc:Choice>
  </mc:AlternateContent>
  <xr:revisionPtr revIDLastSave="0" documentId="13_ncr:1_{564845E2-F362-4DF1-9408-046B41F904BC}" xr6:coauthVersionLast="47" xr6:coauthVersionMax="47" xr10:uidLastSave="{00000000-0000-0000-0000-000000000000}"/>
  <bookViews>
    <workbookView xWindow="-57720" yWindow="1620" windowWidth="29040" windowHeight="15720" firstSheet="1" activeTab="7" xr2:uid="{00000000-000D-0000-FFFF-FFFF00000000}"/>
  </bookViews>
  <sheets>
    <sheet name="Revenue Drivers" sheetId="1" r:id="rId1"/>
    <sheet name="Payroll Schedule" sheetId="2" r:id="rId2"/>
    <sheet name="Debt Schedule" sheetId="3" r:id="rId3"/>
    <sheet name="CapEx Depreciation" sheetId="4" r:id="rId4"/>
    <sheet name="Working Capital" sheetId="5" r:id="rId5"/>
    <sheet name="Cash Equity Schedule" sheetId="6" r:id="rId6"/>
    <sheet name="Model Inputs" sheetId="7" r:id="rId7"/>
    <sheet name="FINMO" sheetId="8" r:id="rId8"/>
    <sheet name="Audit Source" sheetId="9" state="hidden" r:id="rId9"/>
    <sheet name="Checks" sheetId="10" r:id="rId10"/>
    <sheet name="Diagnostics" sheetId="11" r:id="rId11"/>
  </sheets>
  <definedNames>
    <definedName name="_xlnm._FilterDatabase" localSheetId="1" hidden="1">'Payroll Schedule'!$A$26:$N$86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0" l="1"/>
  <c r="F171" i="10"/>
  <c r="F170" i="10"/>
  <c r="F169" i="10"/>
  <c r="F168" i="10"/>
  <c r="F167" i="10"/>
  <c r="F166" i="10"/>
  <c r="E161" i="10"/>
  <c r="E154" i="10"/>
  <c r="G154" i="10" s="1"/>
  <c r="I154" i="10" s="1"/>
  <c r="E153" i="10"/>
  <c r="G153" i="10" s="1"/>
  <c r="I153" i="10" s="1"/>
  <c r="E152" i="10"/>
  <c r="G152" i="10" s="1"/>
  <c r="I152" i="10" s="1"/>
  <c r="E151" i="10"/>
  <c r="G151" i="10" s="1"/>
  <c r="I151" i="10" s="1"/>
  <c r="E150" i="10"/>
  <c r="G150" i="10" s="1"/>
  <c r="I150" i="10" s="1"/>
  <c r="E149" i="10"/>
  <c r="G149" i="10" s="1"/>
  <c r="I149" i="10" s="1"/>
  <c r="E148" i="10"/>
  <c r="G148" i="10" s="1"/>
  <c r="I148" i="10" s="1"/>
  <c r="E147" i="10"/>
  <c r="G147" i="10" s="1"/>
  <c r="I147" i="10" s="1"/>
  <c r="E146" i="10"/>
  <c r="G146" i="10" s="1"/>
  <c r="I146" i="10" s="1"/>
  <c r="E145" i="10"/>
  <c r="G145" i="10" s="1"/>
  <c r="I145" i="10" s="1"/>
  <c r="E144" i="10"/>
  <c r="G144" i="10" s="1"/>
  <c r="I144" i="10" s="1"/>
  <c r="E143" i="10"/>
  <c r="G143" i="10" s="1"/>
  <c r="I143" i="10" s="1"/>
  <c r="E142" i="10"/>
  <c r="G142" i="10" s="1"/>
  <c r="I142" i="10" s="1"/>
  <c r="E141" i="10"/>
  <c r="G141" i="10" s="1"/>
  <c r="I141" i="10" s="1"/>
  <c r="E140" i="10"/>
  <c r="G140" i="10" s="1"/>
  <c r="I140" i="10" s="1"/>
  <c r="E139" i="10"/>
  <c r="G139" i="10" s="1"/>
  <c r="I139" i="10" s="1"/>
  <c r="E138" i="10"/>
  <c r="G138" i="10" s="1"/>
  <c r="I138" i="10" s="1"/>
  <c r="E137" i="10"/>
  <c r="G137" i="10" s="1"/>
  <c r="I137" i="10" s="1"/>
  <c r="E136" i="10"/>
  <c r="G136" i="10" s="1"/>
  <c r="I136" i="10" s="1"/>
  <c r="E135" i="10"/>
  <c r="G135" i="10" s="1"/>
  <c r="I135" i="10" s="1"/>
  <c r="E134" i="10"/>
  <c r="G134" i="10" s="1"/>
  <c r="I134" i="10" s="1"/>
  <c r="E133" i="10"/>
  <c r="G133" i="10" s="1"/>
  <c r="I133" i="10" s="1"/>
  <c r="E132" i="10"/>
  <c r="G132" i="10" s="1"/>
  <c r="I132" i="10" s="1"/>
  <c r="E131" i="10"/>
  <c r="G131" i="10" s="1"/>
  <c r="I131" i="10" s="1"/>
  <c r="E130" i="10"/>
  <c r="G130" i="10" s="1"/>
  <c r="I130" i="10" s="1"/>
  <c r="E129" i="10"/>
  <c r="G129" i="10" s="1"/>
  <c r="I129" i="10" s="1"/>
  <c r="E128" i="10"/>
  <c r="G128" i="10" s="1"/>
  <c r="I128" i="10" s="1"/>
  <c r="E127" i="10"/>
  <c r="G127" i="10" s="1"/>
  <c r="I127" i="10" s="1"/>
  <c r="E126" i="10"/>
  <c r="G126" i="10" s="1"/>
  <c r="I126" i="10" s="1"/>
  <c r="E125" i="10"/>
  <c r="G125" i="10" s="1"/>
  <c r="I125" i="10" s="1"/>
  <c r="E124" i="10"/>
  <c r="G124" i="10" s="1"/>
  <c r="I124" i="10" s="1"/>
  <c r="E123" i="10"/>
  <c r="G123" i="10" s="1"/>
  <c r="I123" i="10" s="1"/>
  <c r="E122" i="10"/>
  <c r="G122" i="10" s="1"/>
  <c r="I122" i="10" s="1"/>
  <c r="E121" i="10"/>
  <c r="G121" i="10" s="1"/>
  <c r="I121" i="10" s="1"/>
  <c r="E120" i="10"/>
  <c r="G120" i="10" s="1"/>
  <c r="I120" i="10" s="1"/>
  <c r="E119" i="10"/>
  <c r="G119" i="10" s="1"/>
  <c r="I119" i="10" s="1"/>
  <c r="E118" i="10"/>
  <c r="G118" i="10" s="1"/>
  <c r="I118" i="10" s="1"/>
  <c r="E117" i="10"/>
  <c r="G117" i="10" s="1"/>
  <c r="I117" i="10" s="1"/>
  <c r="E116" i="10"/>
  <c r="G116" i="10" s="1"/>
  <c r="I116" i="10" s="1"/>
  <c r="E115" i="10"/>
  <c r="G115" i="10" s="1"/>
  <c r="I115" i="10" s="1"/>
  <c r="E114" i="10"/>
  <c r="G114" i="10" s="1"/>
  <c r="I114" i="10" s="1"/>
  <c r="E113" i="10"/>
  <c r="G113" i="10" s="1"/>
  <c r="I113" i="10" s="1"/>
  <c r="E112" i="10"/>
  <c r="G112" i="10" s="1"/>
  <c r="I112" i="10" s="1"/>
  <c r="E111" i="10"/>
  <c r="G111" i="10" s="1"/>
  <c r="I111" i="10" s="1"/>
  <c r="E110" i="10"/>
  <c r="G110" i="10" s="1"/>
  <c r="I110" i="10" s="1"/>
  <c r="E109" i="10"/>
  <c r="G109" i="10" s="1"/>
  <c r="I109" i="10" s="1"/>
  <c r="E108" i="10"/>
  <c r="G108" i="10" s="1"/>
  <c r="I108" i="10" s="1"/>
  <c r="E107" i="10"/>
  <c r="G107" i="10" s="1"/>
  <c r="I107" i="10" s="1"/>
  <c r="E106" i="10"/>
  <c r="G106" i="10" s="1"/>
  <c r="I106" i="10" s="1"/>
  <c r="E105" i="10"/>
  <c r="G105" i="10" s="1"/>
  <c r="I105" i="10" s="1"/>
  <c r="E104" i="10"/>
  <c r="G104" i="10" s="1"/>
  <c r="I104" i="10" s="1"/>
  <c r="E103" i="10"/>
  <c r="G103" i="10" s="1"/>
  <c r="I103" i="10" s="1"/>
  <c r="E102" i="10"/>
  <c r="G102" i="10" s="1"/>
  <c r="I102" i="10" s="1"/>
  <c r="E101" i="10"/>
  <c r="G101" i="10" s="1"/>
  <c r="I101" i="10" s="1"/>
  <c r="E100" i="10"/>
  <c r="G100" i="10" s="1"/>
  <c r="I100" i="10" s="1"/>
  <c r="E99" i="10"/>
  <c r="G99" i="10" s="1"/>
  <c r="I99" i="10" s="1"/>
  <c r="E98" i="10"/>
  <c r="G98" i="10" s="1"/>
  <c r="I98" i="10" s="1"/>
  <c r="E97" i="10"/>
  <c r="G97" i="10" s="1"/>
  <c r="I97" i="10" s="1"/>
  <c r="E96" i="10"/>
  <c r="G96" i="10" s="1"/>
  <c r="I96" i="10" s="1"/>
  <c r="E95" i="10"/>
  <c r="G95" i="10" s="1"/>
  <c r="I95" i="10" s="1"/>
  <c r="E94" i="10"/>
  <c r="G94" i="10" s="1"/>
  <c r="I94" i="10" s="1"/>
  <c r="E93" i="10"/>
  <c r="G93" i="10" s="1"/>
  <c r="I93" i="10" s="1"/>
  <c r="E92" i="10"/>
  <c r="G92" i="10" s="1"/>
  <c r="I92" i="10" s="1"/>
  <c r="E91" i="10"/>
  <c r="G91" i="10" s="1"/>
  <c r="I91" i="10" s="1"/>
  <c r="E90" i="10"/>
  <c r="G90" i="10" s="1"/>
  <c r="I90" i="10" s="1"/>
  <c r="E89" i="10"/>
  <c r="G89" i="10" s="1"/>
  <c r="I89" i="10" s="1"/>
  <c r="E88" i="10"/>
  <c r="G88" i="10" s="1"/>
  <c r="I88" i="10" s="1"/>
  <c r="E87" i="10"/>
  <c r="G87" i="10" s="1"/>
  <c r="I87" i="10" s="1"/>
  <c r="E86" i="10"/>
  <c r="G86" i="10" s="1"/>
  <c r="I86" i="10" s="1"/>
  <c r="E85" i="10"/>
  <c r="G85" i="10" s="1"/>
  <c r="I85" i="10" s="1"/>
  <c r="E84" i="10"/>
  <c r="G84" i="10" s="1"/>
  <c r="I84" i="10" s="1"/>
  <c r="E83" i="10"/>
  <c r="G83" i="10" s="1"/>
  <c r="I83" i="10" s="1"/>
  <c r="E82" i="10"/>
  <c r="G82" i="10" s="1"/>
  <c r="I82" i="10" s="1"/>
  <c r="E81" i="10"/>
  <c r="G81" i="10" s="1"/>
  <c r="I81" i="10" s="1"/>
  <c r="E80" i="10"/>
  <c r="G80" i="10" s="1"/>
  <c r="I80" i="10" s="1"/>
  <c r="E79" i="10"/>
  <c r="G79" i="10" s="1"/>
  <c r="I79" i="10" s="1"/>
  <c r="E78" i="10"/>
  <c r="G78" i="10" s="1"/>
  <c r="I78" i="10" s="1"/>
  <c r="E77" i="10"/>
  <c r="G77" i="10" s="1"/>
  <c r="I77" i="10" s="1"/>
  <c r="E76" i="10"/>
  <c r="G76" i="10" s="1"/>
  <c r="I76" i="10" s="1"/>
  <c r="E75" i="10"/>
  <c r="G75" i="10" s="1"/>
  <c r="I75" i="10" s="1"/>
  <c r="E74" i="10"/>
  <c r="G74" i="10" s="1"/>
  <c r="I74" i="10" s="1"/>
  <c r="E73" i="10"/>
  <c r="G73" i="10" s="1"/>
  <c r="I73" i="10" s="1"/>
  <c r="E72" i="10"/>
  <c r="G72" i="10" s="1"/>
  <c r="I72" i="10" s="1"/>
  <c r="E71" i="10"/>
  <c r="G71" i="10" s="1"/>
  <c r="I71" i="10" s="1"/>
  <c r="E70" i="10"/>
  <c r="G70" i="10" s="1"/>
  <c r="I70" i="10" s="1"/>
  <c r="E69" i="10"/>
  <c r="G69" i="10" s="1"/>
  <c r="I69" i="10" s="1"/>
  <c r="E68" i="10"/>
  <c r="G68" i="10" s="1"/>
  <c r="I68" i="10" s="1"/>
  <c r="E67" i="10"/>
  <c r="G67" i="10" s="1"/>
  <c r="I67" i="10" s="1"/>
  <c r="E66" i="10"/>
  <c r="G66" i="10" s="1"/>
  <c r="I66" i="10" s="1"/>
  <c r="E65" i="10"/>
  <c r="G65" i="10" s="1"/>
  <c r="I65" i="10" s="1"/>
  <c r="E64" i="10"/>
  <c r="G64" i="10" s="1"/>
  <c r="I64" i="10" s="1"/>
  <c r="E63" i="10"/>
  <c r="G63" i="10" s="1"/>
  <c r="I63" i="10" s="1"/>
  <c r="E62" i="10"/>
  <c r="G62" i="10" s="1"/>
  <c r="I62" i="10" s="1"/>
  <c r="E61" i="10"/>
  <c r="G61" i="10" s="1"/>
  <c r="I61" i="10" s="1"/>
  <c r="E60" i="10"/>
  <c r="G60" i="10" s="1"/>
  <c r="I60" i="10" s="1"/>
  <c r="E59" i="10"/>
  <c r="G59" i="10" s="1"/>
  <c r="I59" i="10" s="1"/>
  <c r="E58" i="10"/>
  <c r="G58" i="10" s="1"/>
  <c r="I58" i="10" s="1"/>
  <c r="E57" i="10"/>
  <c r="G57" i="10" s="1"/>
  <c r="I57" i="10" s="1"/>
  <c r="E56" i="10"/>
  <c r="G56" i="10" s="1"/>
  <c r="I56" i="10" s="1"/>
  <c r="E55" i="10"/>
  <c r="G55" i="10" s="1"/>
  <c r="I55" i="10" s="1"/>
  <c r="E54" i="10"/>
  <c r="G54" i="10" s="1"/>
  <c r="I54" i="10" s="1"/>
  <c r="E53" i="10"/>
  <c r="G53" i="10" s="1"/>
  <c r="I53" i="10" s="1"/>
  <c r="E52" i="10"/>
  <c r="G52" i="10" s="1"/>
  <c r="I52" i="10" s="1"/>
  <c r="E51" i="10"/>
  <c r="G51" i="10" s="1"/>
  <c r="I51" i="10" s="1"/>
  <c r="E50" i="10"/>
  <c r="G50" i="10" s="1"/>
  <c r="I50" i="10" s="1"/>
  <c r="E49" i="10"/>
  <c r="G49" i="10" s="1"/>
  <c r="I49" i="10" s="1"/>
  <c r="E48" i="10"/>
  <c r="G48" i="10" s="1"/>
  <c r="I48" i="10" s="1"/>
  <c r="E47" i="10"/>
  <c r="G47" i="10" s="1"/>
  <c r="I47" i="10" s="1"/>
  <c r="E46" i="10"/>
  <c r="G46" i="10" s="1"/>
  <c r="I46" i="10" s="1"/>
  <c r="E45" i="10"/>
  <c r="G45" i="10" s="1"/>
  <c r="I45" i="10" s="1"/>
  <c r="E44" i="10"/>
  <c r="G44" i="10" s="1"/>
  <c r="I44" i="10" s="1"/>
  <c r="E43" i="10"/>
  <c r="G43" i="10" s="1"/>
  <c r="I43" i="10" s="1"/>
  <c r="E42" i="10"/>
  <c r="G42" i="10" s="1"/>
  <c r="I42" i="10" s="1"/>
  <c r="E41" i="10"/>
  <c r="G41" i="10" s="1"/>
  <c r="I41" i="10" s="1"/>
  <c r="E40" i="10"/>
  <c r="G40" i="10" s="1"/>
  <c r="I40" i="10" s="1"/>
  <c r="W52" i="7"/>
  <c r="W52" i="8" s="1"/>
  <c r="W53" i="8" s="1"/>
  <c r="V52" i="7"/>
  <c r="V52" i="8" s="1"/>
  <c r="V53" i="8" s="1"/>
  <c r="U52" i="7"/>
  <c r="T52" i="7"/>
  <c r="T52" i="8" s="1"/>
  <c r="S52" i="7"/>
  <c r="S52" i="8" s="1"/>
  <c r="S53" i="8" s="1"/>
  <c r="R52" i="7"/>
  <c r="R52" i="8" s="1"/>
  <c r="R53" i="8" s="1"/>
  <c r="Q52" i="7"/>
  <c r="Q52" i="8" s="1"/>
  <c r="Q53" i="8" s="1"/>
  <c r="P52" i="7"/>
  <c r="P52" i="8" s="1"/>
  <c r="O52" i="7"/>
  <c r="O52" i="8" s="1"/>
  <c r="N52" i="7"/>
  <c r="M52" i="7"/>
  <c r="M52" i="8" s="1"/>
  <c r="M53" i="8" s="1"/>
  <c r="L52" i="7"/>
  <c r="K52" i="7"/>
  <c r="J52" i="7"/>
  <c r="I52" i="7"/>
  <c r="I52" i="8" s="1"/>
  <c r="I53" i="8" s="1"/>
  <c r="H52" i="7"/>
  <c r="H52" i="8" s="1"/>
  <c r="G52" i="7"/>
  <c r="G52" i="8" s="1"/>
  <c r="G53" i="8" s="1"/>
  <c r="F52" i="7"/>
  <c r="E52" i="7"/>
  <c r="D52" i="7"/>
  <c r="D52" i="8" s="1"/>
  <c r="C52" i="7"/>
  <c r="C51" i="7"/>
  <c r="C48" i="7"/>
  <c r="C17" i="8" s="1"/>
  <c r="W47" i="7"/>
  <c r="V47" i="7"/>
  <c r="U47" i="7"/>
  <c r="T47" i="7"/>
  <c r="S47" i="7"/>
  <c r="R47" i="7"/>
  <c r="Q47" i="7"/>
  <c r="P47" i="7"/>
  <c r="AA47" i="7" s="1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C45" i="7"/>
  <c r="W42" i="7"/>
  <c r="W54" i="8" s="1"/>
  <c r="V42" i="7"/>
  <c r="V54" i="8" s="1"/>
  <c r="U42" i="7"/>
  <c r="U54" i="8" s="1"/>
  <c r="T42" i="7"/>
  <c r="S42" i="7"/>
  <c r="S54" i="8" s="1"/>
  <c r="R42" i="7"/>
  <c r="R54" i="8" s="1"/>
  <c r="Q42" i="7"/>
  <c r="Q54" i="8" s="1"/>
  <c r="P42" i="7"/>
  <c r="P54" i="8" s="1"/>
  <c r="AA54" i="8" s="1"/>
  <c r="O42" i="7"/>
  <c r="O54" i="8" s="1"/>
  <c r="N42" i="7"/>
  <c r="N54" i="8" s="1"/>
  <c r="M42" i="7"/>
  <c r="M54" i="8" s="1"/>
  <c r="L42" i="7"/>
  <c r="Z42" i="7" s="1"/>
  <c r="K42" i="7"/>
  <c r="K54" i="8" s="1"/>
  <c r="J42" i="7"/>
  <c r="I42" i="7"/>
  <c r="I54" i="8" s="1"/>
  <c r="H42" i="7"/>
  <c r="H54" i="8" s="1"/>
  <c r="G42" i="7"/>
  <c r="G54" i="8" s="1"/>
  <c r="F42" i="7"/>
  <c r="F54" i="8" s="1"/>
  <c r="E42" i="7"/>
  <c r="E54" i="8" s="1"/>
  <c r="D42" i="7"/>
  <c r="C42" i="7"/>
  <c r="C41" i="7"/>
  <c r="Y40" i="7"/>
  <c r="W40" i="7"/>
  <c r="AB40" i="7" s="1"/>
  <c r="V40" i="7"/>
  <c r="U40" i="7"/>
  <c r="T40" i="7"/>
  <c r="S40" i="7"/>
  <c r="AA40" i="7" s="1"/>
  <c r="R40" i="7"/>
  <c r="Q40" i="7"/>
  <c r="P40" i="7"/>
  <c r="O40" i="7"/>
  <c r="Z40" i="7" s="1"/>
  <c r="N40" i="7"/>
  <c r="M40" i="7"/>
  <c r="L40" i="7"/>
  <c r="K40" i="7"/>
  <c r="J40" i="7"/>
  <c r="I40" i="7"/>
  <c r="H40" i="7"/>
  <c r="G40" i="7"/>
  <c r="X40" i="7" s="1"/>
  <c r="F40" i="7"/>
  <c r="E40" i="7"/>
  <c r="D40" i="7"/>
  <c r="C40" i="7"/>
  <c r="C33" i="8" s="1"/>
  <c r="W39" i="7"/>
  <c r="AB39" i="7" s="1"/>
  <c r="V39" i="7"/>
  <c r="U39" i="7"/>
  <c r="T39" i="7"/>
  <c r="S39" i="7"/>
  <c r="AA39" i="7" s="1"/>
  <c r="R39" i="7"/>
  <c r="Q39" i="7"/>
  <c r="P39" i="7"/>
  <c r="O39" i="7"/>
  <c r="Z39" i="7" s="1"/>
  <c r="N39" i="7"/>
  <c r="M39" i="7"/>
  <c r="L39" i="7"/>
  <c r="K39" i="7"/>
  <c r="Y39" i="7" s="1"/>
  <c r="J39" i="7"/>
  <c r="I39" i="7"/>
  <c r="H39" i="7"/>
  <c r="G39" i="7"/>
  <c r="X39" i="7" s="1"/>
  <c r="F39" i="7"/>
  <c r="E39" i="7"/>
  <c r="D39" i="7"/>
  <c r="C39" i="7"/>
  <c r="C32" i="8" s="1"/>
  <c r="W38" i="7"/>
  <c r="AB38" i="7" s="1"/>
  <c r="V38" i="7"/>
  <c r="U38" i="7"/>
  <c r="T38" i="7"/>
  <c r="S38" i="7"/>
  <c r="AA38" i="7" s="1"/>
  <c r="R38" i="7"/>
  <c r="Q38" i="7"/>
  <c r="P38" i="7"/>
  <c r="O38" i="7"/>
  <c r="Z38" i="7" s="1"/>
  <c r="N38" i="7"/>
  <c r="M38" i="7"/>
  <c r="L38" i="7"/>
  <c r="K38" i="7"/>
  <c r="Y38" i="7" s="1"/>
  <c r="J38" i="7"/>
  <c r="I38" i="7"/>
  <c r="H38" i="7"/>
  <c r="G38" i="7"/>
  <c r="X38" i="7" s="1"/>
  <c r="F38" i="7"/>
  <c r="E38" i="7"/>
  <c r="D38" i="7"/>
  <c r="C38" i="7"/>
  <c r="C25" i="8" s="1"/>
  <c r="W37" i="7"/>
  <c r="AB37" i="7" s="1"/>
  <c r="V37" i="7"/>
  <c r="U37" i="7"/>
  <c r="T37" i="7"/>
  <c r="S37" i="7"/>
  <c r="AA37" i="7" s="1"/>
  <c r="R37" i="7"/>
  <c r="Q37" i="7"/>
  <c r="P37" i="7"/>
  <c r="O37" i="7"/>
  <c r="Z37" i="7" s="1"/>
  <c r="N37" i="7"/>
  <c r="M37" i="7"/>
  <c r="L37" i="7"/>
  <c r="K37" i="7"/>
  <c r="Y37" i="7" s="1"/>
  <c r="J37" i="7"/>
  <c r="I37" i="7"/>
  <c r="H37" i="7"/>
  <c r="G37" i="7"/>
  <c r="X37" i="7" s="1"/>
  <c r="F37" i="7"/>
  <c r="E37" i="7"/>
  <c r="D37" i="7"/>
  <c r="C37" i="7"/>
  <c r="C24" i="8" s="1"/>
  <c r="AB36" i="7"/>
  <c r="W36" i="7"/>
  <c r="V36" i="7"/>
  <c r="U36" i="7"/>
  <c r="T36" i="7"/>
  <c r="S36" i="7"/>
  <c r="AA36" i="7" s="1"/>
  <c r="R36" i="7"/>
  <c r="Q36" i="7"/>
  <c r="P36" i="7"/>
  <c r="O36" i="7"/>
  <c r="Z36" i="7" s="1"/>
  <c r="N36" i="7"/>
  <c r="M36" i="7"/>
  <c r="L36" i="7"/>
  <c r="K36" i="7"/>
  <c r="Y36" i="7" s="1"/>
  <c r="J36" i="7"/>
  <c r="I36" i="7"/>
  <c r="H36" i="7"/>
  <c r="G36" i="7"/>
  <c r="X36" i="7" s="1"/>
  <c r="F36" i="7"/>
  <c r="E36" i="7"/>
  <c r="D36" i="7"/>
  <c r="C36" i="7"/>
  <c r="C46" i="8" s="1"/>
  <c r="Z33" i="7"/>
  <c r="W33" i="7"/>
  <c r="W57" i="8" s="1"/>
  <c r="V33" i="7"/>
  <c r="V57" i="8" s="1"/>
  <c r="U33" i="7"/>
  <c r="U57" i="8" s="1"/>
  <c r="T33" i="7"/>
  <c r="T57" i="8" s="1"/>
  <c r="S33" i="7"/>
  <c r="AA33" i="7" s="1"/>
  <c r="R33" i="7"/>
  <c r="R57" i="8" s="1"/>
  <c r="Q33" i="7"/>
  <c r="Q57" i="8" s="1"/>
  <c r="P33" i="7"/>
  <c r="P57" i="8" s="1"/>
  <c r="O33" i="7"/>
  <c r="N33" i="7"/>
  <c r="M33" i="7"/>
  <c r="L33" i="7"/>
  <c r="K33" i="7"/>
  <c r="Y33" i="7" s="1"/>
  <c r="J33" i="7"/>
  <c r="J57" i="8" s="1"/>
  <c r="I33" i="7"/>
  <c r="I57" i="8" s="1"/>
  <c r="H33" i="7"/>
  <c r="H57" i="8" s="1"/>
  <c r="Y57" i="8" s="1"/>
  <c r="G33" i="7"/>
  <c r="G57" i="8" s="1"/>
  <c r="F33" i="7"/>
  <c r="F57" i="8" s="1"/>
  <c r="E33" i="7"/>
  <c r="E57" i="8" s="1"/>
  <c r="D33" i="7"/>
  <c r="D57" i="8" s="1"/>
  <c r="C33" i="7"/>
  <c r="C57" i="8" s="1"/>
  <c r="W32" i="7"/>
  <c r="W41" i="8" s="1"/>
  <c r="AB41" i="8" s="1"/>
  <c r="V32" i="7"/>
  <c r="V41" i="8" s="1"/>
  <c r="U32" i="7"/>
  <c r="U41" i="8" s="1"/>
  <c r="T32" i="7"/>
  <c r="S32" i="7"/>
  <c r="AA32" i="7" s="1"/>
  <c r="R32" i="7"/>
  <c r="Q32" i="7"/>
  <c r="Q41" i="8" s="1"/>
  <c r="P32" i="7"/>
  <c r="O32" i="7"/>
  <c r="Z32" i="7" s="1"/>
  <c r="N32" i="7"/>
  <c r="M32" i="7"/>
  <c r="M41" i="8" s="1"/>
  <c r="L32" i="7"/>
  <c r="L41" i="8" s="1"/>
  <c r="K32" i="7"/>
  <c r="Y32" i="7" s="1"/>
  <c r="J32" i="7"/>
  <c r="J41" i="8" s="1"/>
  <c r="I32" i="7"/>
  <c r="I41" i="8" s="1"/>
  <c r="H32" i="7"/>
  <c r="H41" i="8" s="1"/>
  <c r="G32" i="7"/>
  <c r="G41" i="8" s="1"/>
  <c r="X41" i="8" s="1"/>
  <c r="F32" i="7"/>
  <c r="F41" i="8" s="1"/>
  <c r="E32" i="7"/>
  <c r="E41" i="8" s="1"/>
  <c r="D32" i="7"/>
  <c r="D41" i="8" s="1"/>
  <c r="C32" i="7"/>
  <c r="W31" i="7"/>
  <c r="AB31" i="7" s="1"/>
  <c r="V31" i="7"/>
  <c r="U31" i="7"/>
  <c r="T31" i="7"/>
  <c r="S31" i="7"/>
  <c r="AA31" i="7" s="1"/>
  <c r="R31" i="7"/>
  <c r="R39" i="8" s="1"/>
  <c r="Q31" i="7"/>
  <c r="Q39" i="8" s="1"/>
  <c r="P31" i="7"/>
  <c r="P39" i="8" s="1"/>
  <c r="O31" i="7"/>
  <c r="N31" i="7"/>
  <c r="N39" i="8" s="1"/>
  <c r="M31" i="7"/>
  <c r="M39" i="8" s="1"/>
  <c r="L31" i="7"/>
  <c r="L39" i="8" s="1"/>
  <c r="K31" i="7"/>
  <c r="Y31" i="7" s="1"/>
  <c r="J31" i="7"/>
  <c r="J39" i="8" s="1"/>
  <c r="I31" i="7"/>
  <c r="I39" i="8" s="1"/>
  <c r="H31" i="7"/>
  <c r="H39" i="8" s="1"/>
  <c r="G31" i="7"/>
  <c r="X31" i="7" s="1"/>
  <c r="F31" i="7"/>
  <c r="F39" i="8" s="1"/>
  <c r="E31" i="7"/>
  <c r="E39" i="8" s="1"/>
  <c r="D31" i="7"/>
  <c r="D39" i="8" s="1"/>
  <c r="C31" i="7"/>
  <c r="C39" i="8" s="1"/>
  <c r="Z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Y30" i="7" s="1"/>
  <c r="G30" i="7"/>
  <c r="F30" i="7"/>
  <c r="E30" i="7"/>
  <c r="D30" i="7"/>
  <c r="C30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W28" i="7"/>
  <c r="V28" i="7"/>
  <c r="U28" i="7"/>
  <c r="T28" i="7"/>
  <c r="AB28" i="7" s="1"/>
  <c r="S28" i="7"/>
  <c r="R28" i="7"/>
  <c r="Q28" i="7"/>
  <c r="P28" i="7"/>
  <c r="O28" i="7"/>
  <c r="N28" i="7"/>
  <c r="M28" i="7"/>
  <c r="Z28" i="7" s="1"/>
  <c r="L28" i="7"/>
  <c r="K28" i="7"/>
  <c r="J28" i="7"/>
  <c r="I28" i="7"/>
  <c r="H28" i="7"/>
  <c r="Y28" i="7" s="1"/>
  <c r="G28" i="7"/>
  <c r="F28" i="7"/>
  <c r="E28" i="7"/>
  <c r="D28" i="7"/>
  <c r="C28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Z26" i="7"/>
  <c r="W26" i="7"/>
  <c r="V26" i="7"/>
  <c r="U26" i="7"/>
  <c r="T26" i="7"/>
  <c r="S26" i="7"/>
  <c r="R26" i="7"/>
  <c r="Q26" i="7"/>
  <c r="P26" i="7"/>
  <c r="AA26" i="7" s="1"/>
  <c r="O26" i="7"/>
  <c r="N26" i="7"/>
  <c r="M26" i="7"/>
  <c r="L26" i="7"/>
  <c r="K26" i="7"/>
  <c r="J26" i="7"/>
  <c r="I26" i="7"/>
  <c r="H26" i="7"/>
  <c r="Y26" i="7" s="1"/>
  <c r="G26" i="7"/>
  <c r="F26" i="7"/>
  <c r="E26" i="7"/>
  <c r="D26" i="7"/>
  <c r="X26" i="7" s="1"/>
  <c r="C26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Y25" i="7" s="1"/>
  <c r="G25" i="7"/>
  <c r="F25" i="7"/>
  <c r="E25" i="7"/>
  <c r="D25" i="7"/>
  <c r="C25" i="7"/>
  <c r="AB22" i="7"/>
  <c r="AA22" i="7"/>
  <c r="Z22" i="7"/>
  <c r="Y22" i="7"/>
  <c r="X22" i="7"/>
  <c r="Z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Y20" i="7" s="1"/>
  <c r="G20" i="7"/>
  <c r="F20" i="7"/>
  <c r="E20" i="7"/>
  <c r="D20" i="7"/>
  <c r="C20" i="7"/>
  <c r="W18" i="7"/>
  <c r="V18" i="7"/>
  <c r="U18" i="7"/>
  <c r="T18" i="7"/>
  <c r="S18" i="7"/>
  <c r="R18" i="7"/>
  <c r="Q18" i="7"/>
  <c r="P18" i="7"/>
  <c r="AA18" i="7" s="1"/>
  <c r="O18" i="7"/>
  <c r="N18" i="7"/>
  <c r="M18" i="7"/>
  <c r="L18" i="7"/>
  <c r="K18" i="7"/>
  <c r="J18" i="7"/>
  <c r="I18" i="7"/>
  <c r="H18" i="7"/>
  <c r="Y18" i="7" s="1"/>
  <c r="G18" i="7"/>
  <c r="F18" i="7"/>
  <c r="E18" i="7"/>
  <c r="D18" i="7"/>
  <c r="C18" i="7"/>
  <c r="AB17" i="7"/>
  <c r="AA17" i="7"/>
  <c r="Z17" i="7"/>
  <c r="Y17" i="7"/>
  <c r="X17" i="7"/>
  <c r="W15" i="7"/>
  <c r="W13" i="8" s="1"/>
  <c r="V15" i="7"/>
  <c r="V13" i="8" s="1"/>
  <c r="U15" i="7"/>
  <c r="U13" i="8" s="1"/>
  <c r="T15" i="7"/>
  <c r="T13" i="8" s="1"/>
  <c r="S15" i="7"/>
  <c r="S13" i="8" s="1"/>
  <c r="R15" i="7"/>
  <c r="R13" i="8" s="1"/>
  <c r="Q15" i="7"/>
  <c r="Q13" i="8" s="1"/>
  <c r="P15" i="7"/>
  <c r="O15" i="7"/>
  <c r="N15" i="7"/>
  <c r="M15" i="7"/>
  <c r="L15" i="7"/>
  <c r="K15" i="7"/>
  <c r="K13" i="8" s="1"/>
  <c r="J15" i="7"/>
  <c r="J13" i="8" s="1"/>
  <c r="I15" i="7"/>
  <c r="I13" i="8" s="1"/>
  <c r="H15" i="7"/>
  <c r="H13" i="8" s="1"/>
  <c r="G15" i="7"/>
  <c r="G13" i="8" s="1"/>
  <c r="F15" i="7"/>
  <c r="F13" i="8" s="1"/>
  <c r="E15" i="7"/>
  <c r="D15" i="7"/>
  <c r="D13" i="8" s="1"/>
  <c r="C15" i="7"/>
  <c r="C13" i="8" s="1"/>
  <c r="AB14" i="7"/>
  <c r="AA14" i="7"/>
  <c r="Z14" i="7"/>
  <c r="Y14" i="7"/>
  <c r="X14" i="7"/>
  <c r="AB13" i="7"/>
  <c r="AA13" i="7"/>
  <c r="Z13" i="7"/>
  <c r="Y13" i="7"/>
  <c r="X13" i="7"/>
  <c r="AB12" i="7"/>
  <c r="AA12" i="7"/>
  <c r="Z12" i="7"/>
  <c r="Y12" i="7"/>
  <c r="X12" i="7"/>
  <c r="Z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Y9" i="7" s="1"/>
  <c r="G9" i="7"/>
  <c r="F9" i="7"/>
  <c r="E9" i="7"/>
  <c r="D9" i="7"/>
  <c r="X9" i="7" s="1"/>
  <c r="C9" i="7"/>
  <c r="W8" i="7"/>
  <c r="V8" i="7"/>
  <c r="U8" i="7"/>
  <c r="T8" i="7"/>
  <c r="S8" i="7"/>
  <c r="R8" i="7"/>
  <c r="Q8" i="7"/>
  <c r="P8" i="7"/>
  <c r="AA8" i="7" s="1"/>
  <c r="O8" i="7"/>
  <c r="N8" i="7"/>
  <c r="M8" i="7"/>
  <c r="L8" i="7"/>
  <c r="K8" i="7"/>
  <c r="J8" i="7"/>
  <c r="I8" i="7"/>
  <c r="H8" i="7"/>
  <c r="G8" i="7"/>
  <c r="F8" i="7"/>
  <c r="E8" i="7"/>
  <c r="D8" i="7"/>
  <c r="C8" i="7"/>
  <c r="W7" i="7"/>
  <c r="V7" i="7"/>
  <c r="U7" i="7"/>
  <c r="T7" i="7"/>
  <c r="AB7" i="7" s="1"/>
  <c r="S7" i="7"/>
  <c r="R7" i="7"/>
  <c r="Q7" i="7"/>
  <c r="P7" i="7"/>
  <c r="AA7" i="7" s="1"/>
  <c r="O7" i="7"/>
  <c r="N7" i="7"/>
  <c r="M7" i="7"/>
  <c r="L7" i="7"/>
  <c r="K7" i="7"/>
  <c r="J7" i="7"/>
  <c r="I7" i="7"/>
  <c r="H7" i="7"/>
  <c r="G7" i="7"/>
  <c r="F7" i="7"/>
  <c r="E7" i="7"/>
  <c r="D7" i="7"/>
  <c r="X7" i="7" s="1"/>
  <c r="C7" i="7"/>
  <c r="C11" i="4"/>
  <c r="C21" i="7" s="1"/>
  <c r="AB10" i="4"/>
  <c r="AA10" i="4"/>
  <c r="Z10" i="4"/>
  <c r="Y10" i="4"/>
  <c r="X10" i="4"/>
  <c r="W9" i="4"/>
  <c r="V9" i="4"/>
  <c r="U9" i="4"/>
  <c r="T9" i="4"/>
  <c r="S9" i="4"/>
  <c r="R9" i="4"/>
  <c r="Q9" i="4"/>
  <c r="P9" i="4"/>
  <c r="AA9" i="4" s="1"/>
  <c r="O9" i="4"/>
  <c r="N9" i="4"/>
  <c r="M9" i="4"/>
  <c r="L9" i="4"/>
  <c r="K9" i="4"/>
  <c r="J9" i="4"/>
  <c r="I9" i="4"/>
  <c r="H9" i="4"/>
  <c r="Y9" i="4" s="1"/>
  <c r="G9" i="4"/>
  <c r="F9" i="4"/>
  <c r="E9" i="4"/>
  <c r="D9" i="4"/>
  <c r="AB8" i="4"/>
  <c r="AA8" i="4"/>
  <c r="Z8" i="4"/>
  <c r="Y8" i="4"/>
  <c r="X8" i="4"/>
  <c r="C26" i="3"/>
  <c r="D24" i="3" s="1"/>
  <c r="D25" i="3" s="1"/>
  <c r="AB21" i="3"/>
  <c r="AA21" i="3"/>
  <c r="Z21" i="3"/>
  <c r="Y21" i="3"/>
  <c r="X21" i="3"/>
  <c r="C20" i="3"/>
  <c r="C46" i="7" s="1"/>
  <c r="C58" i="8" s="1"/>
  <c r="AB19" i="3"/>
  <c r="AA19" i="3"/>
  <c r="Z19" i="3"/>
  <c r="Y19" i="3"/>
  <c r="X19" i="3"/>
  <c r="AB12" i="3"/>
  <c r="AA12" i="3"/>
  <c r="Z12" i="3"/>
  <c r="Y12" i="3"/>
  <c r="X12" i="3"/>
  <c r="C10" i="3"/>
  <c r="C11" i="3" s="1"/>
  <c r="D7" i="3" s="1"/>
  <c r="AB9" i="3"/>
  <c r="AA9" i="3"/>
  <c r="Z9" i="3"/>
  <c r="Y9" i="3"/>
  <c r="X9" i="3"/>
  <c r="AB8" i="3"/>
  <c r="AA8" i="3"/>
  <c r="Z8" i="3"/>
  <c r="Y8" i="3"/>
  <c r="X8" i="3"/>
  <c r="G86" i="2"/>
  <c r="H86" i="2" s="1"/>
  <c r="K86" i="2" s="1"/>
  <c r="L86" i="2" s="1"/>
  <c r="G85" i="2"/>
  <c r="H85" i="2" s="1"/>
  <c r="K85" i="2" s="1"/>
  <c r="G84" i="2"/>
  <c r="H84" i="2" s="1"/>
  <c r="K84" i="2" s="1"/>
  <c r="G83" i="2"/>
  <c r="H83" i="2" s="1"/>
  <c r="K83" i="2" s="1"/>
  <c r="G82" i="2"/>
  <c r="H82" i="2" s="1"/>
  <c r="K82" i="2" s="1"/>
  <c r="G81" i="2"/>
  <c r="H81" i="2" s="1"/>
  <c r="G80" i="2"/>
  <c r="H80" i="2" s="1"/>
  <c r="K80" i="2" s="1"/>
  <c r="L80" i="2" s="1"/>
  <c r="H79" i="2"/>
  <c r="K79" i="2" s="1"/>
  <c r="G79" i="2"/>
  <c r="G78" i="2"/>
  <c r="H78" i="2" s="1"/>
  <c r="K78" i="2" s="1"/>
  <c r="G77" i="2"/>
  <c r="H77" i="2" s="1"/>
  <c r="K77" i="2" s="1"/>
  <c r="G76" i="2"/>
  <c r="H76" i="2" s="1"/>
  <c r="K76" i="2" s="1"/>
  <c r="L76" i="2" s="1"/>
  <c r="G75" i="2"/>
  <c r="H75" i="2" s="1"/>
  <c r="K75" i="2" s="1"/>
  <c r="G74" i="2"/>
  <c r="H74" i="2" s="1"/>
  <c r="K74" i="2" s="1"/>
  <c r="G73" i="2"/>
  <c r="H73" i="2" s="1"/>
  <c r="K73" i="2" s="1"/>
  <c r="L73" i="2" s="1"/>
  <c r="M73" i="2" s="1"/>
  <c r="G72" i="2"/>
  <c r="H72" i="2" s="1"/>
  <c r="K72" i="2" s="1"/>
  <c r="G71" i="2"/>
  <c r="H71" i="2" s="1"/>
  <c r="K71" i="2" s="1"/>
  <c r="L71" i="2" s="1"/>
  <c r="G70" i="2"/>
  <c r="H70" i="2" s="1"/>
  <c r="K70" i="2" s="1"/>
  <c r="G69" i="2"/>
  <c r="H69" i="2" s="1"/>
  <c r="K69" i="2" s="1"/>
  <c r="L69" i="2" s="1"/>
  <c r="G68" i="2"/>
  <c r="H68" i="2" s="1"/>
  <c r="K68" i="2" s="1"/>
  <c r="L68" i="2" s="1"/>
  <c r="G67" i="2"/>
  <c r="H67" i="2" s="1"/>
  <c r="K67" i="2" s="1"/>
  <c r="G66" i="2"/>
  <c r="H66" i="2" s="1"/>
  <c r="K66" i="2" s="1"/>
  <c r="G65" i="2"/>
  <c r="H65" i="2" s="1"/>
  <c r="K65" i="2" s="1"/>
  <c r="G64" i="2"/>
  <c r="H64" i="2" s="1"/>
  <c r="K64" i="2" s="1"/>
  <c r="L64" i="2" s="1"/>
  <c r="G63" i="2"/>
  <c r="H63" i="2" s="1"/>
  <c r="H62" i="2"/>
  <c r="K62" i="2" s="1"/>
  <c r="G62" i="2"/>
  <c r="G61" i="2"/>
  <c r="H61" i="2" s="1"/>
  <c r="K61" i="2" s="1"/>
  <c r="G60" i="2"/>
  <c r="H60" i="2" s="1"/>
  <c r="K60" i="2" s="1"/>
  <c r="G59" i="2"/>
  <c r="H59" i="2" s="1"/>
  <c r="K59" i="2" s="1"/>
  <c r="G58" i="2"/>
  <c r="G57" i="2"/>
  <c r="H57" i="2" s="1"/>
  <c r="K57" i="2" s="1"/>
  <c r="G56" i="2"/>
  <c r="H56" i="2" s="1"/>
  <c r="K56" i="2" s="1"/>
  <c r="G55" i="2"/>
  <c r="H55" i="2" s="1"/>
  <c r="K55" i="2" s="1"/>
  <c r="G54" i="2"/>
  <c r="H54" i="2" s="1"/>
  <c r="K54" i="2" s="1"/>
  <c r="G53" i="2"/>
  <c r="H53" i="2" s="1"/>
  <c r="K53" i="2" s="1"/>
  <c r="G52" i="2"/>
  <c r="H52" i="2" s="1"/>
  <c r="K52" i="2" s="1"/>
  <c r="L52" i="2" s="1"/>
  <c r="M52" i="2" s="1"/>
  <c r="H51" i="2"/>
  <c r="K51" i="2" s="1"/>
  <c r="G51" i="2"/>
  <c r="G50" i="2"/>
  <c r="G49" i="2"/>
  <c r="H49" i="2" s="1"/>
  <c r="K49" i="2" s="1"/>
  <c r="G48" i="2"/>
  <c r="H48" i="2" s="1"/>
  <c r="K48" i="2" s="1"/>
  <c r="G47" i="2"/>
  <c r="H47" i="2" s="1"/>
  <c r="K47" i="2" s="1"/>
  <c r="G46" i="2"/>
  <c r="G45" i="2"/>
  <c r="G44" i="2"/>
  <c r="H44" i="2" s="1"/>
  <c r="G43" i="2"/>
  <c r="H43" i="2" s="1"/>
  <c r="K43" i="2" s="1"/>
  <c r="G42" i="2"/>
  <c r="G41" i="2"/>
  <c r="H41" i="2" s="1"/>
  <c r="K41" i="2" s="1"/>
  <c r="L41" i="2" s="1"/>
  <c r="M41" i="2" s="1"/>
  <c r="G40" i="2"/>
  <c r="G39" i="2"/>
  <c r="G38" i="2"/>
  <c r="H38" i="2" s="1"/>
  <c r="G37" i="2"/>
  <c r="H37" i="2" s="1"/>
  <c r="G36" i="2"/>
  <c r="M15" i="2" s="1"/>
  <c r="G35" i="2"/>
  <c r="L15" i="2" s="1"/>
  <c r="G34" i="2"/>
  <c r="H34" i="2" s="1"/>
  <c r="K34" i="2" s="1"/>
  <c r="G33" i="2"/>
  <c r="G32" i="2"/>
  <c r="H32" i="2" s="1"/>
  <c r="G31" i="2"/>
  <c r="G30" i="2"/>
  <c r="H30" i="2" s="1"/>
  <c r="K30" i="2" s="1"/>
  <c r="L30" i="2" s="1"/>
  <c r="G29" i="2"/>
  <c r="G28" i="2"/>
  <c r="G27" i="2"/>
  <c r="U19" i="2"/>
  <c r="P19" i="2"/>
  <c r="C17" i="2"/>
  <c r="C16" i="2"/>
  <c r="C15" i="2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C17" i="1"/>
  <c r="F14" i="1"/>
  <c r="F11" i="7" s="1"/>
  <c r="F8" i="8" s="1"/>
  <c r="E14" i="1"/>
  <c r="E18" i="2" s="1"/>
  <c r="D14" i="1"/>
  <c r="C14" i="1"/>
  <c r="W13" i="1"/>
  <c r="W19" i="2" s="1"/>
  <c r="V13" i="1"/>
  <c r="V19" i="2" s="1"/>
  <c r="U13" i="1"/>
  <c r="T13" i="1"/>
  <c r="S13" i="1"/>
  <c r="S19" i="2" s="1"/>
  <c r="R13" i="1"/>
  <c r="R19" i="2" s="1"/>
  <c r="Q13" i="1"/>
  <c r="Q19" i="2" s="1"/>
  <c r="P13" i="1"/>
  <c r="O13" i="1"/>
  <c r="O19" i="2" s="1"/>
  <c r="N13" i="1"/>
  <c r="N19" i="2" s="1"/>
  <c r="M13" i="1"/>
  <c r="M19" i="2" s="1"/>
  <c r="L13" i="1"/>
  <c r="L19" i="2" s="1"/>
  <c r="K13" i="1"/>
  <c r="K19" i="2" s="1"/>
  <c r="J13" i="1"/>
  <c r="J19" i="2" s="1"/>
  <c r="I13" i="1"/>
  <c r="I19" i="2" s="1"/>
  <c r="H13" i="1"/>
  <c r="G13" i="1"/>
  <c r="G19" i="2" s="1"/>
  <c r="F13" i="1"/>
  <c r="F19" i="2" s="1"/>
  <c r="E13" i="1"/>
  <c r="E19" i="2" s="1"/>
  <c r="D13" i="1"/>
  <c r="C13" i="1"/>
  <c r="W11" i="1"/>
  <c r="W10" i="7" s="1"/>
  <c r="V11" i="1"/>
  <c r="V10" i="7" s="1"/>
  <c r="U11" i="1"/>
  <c r="U10" i="7" s="1"/>
  <c r="T11" i="1"/>
  <c r="T14" i="1" s="1"/>
  <c r="S11" i="1"/>
  <c r="S14" i="1" s="1"/>
  <c r="R11" i="1"/>
  <c r="R10" i="7" s="1"/>
  <c r="Q11" i="1"/>
  <c r="P11" i="1"/>
  <c r="P14" i="1" s="1"/>
  <c r="O11" i="1"/>
  <c r="N11" i="1"/>
  <c r="N10" i="7" s="1"/>
  <c r="M11" i="1"/>
  <c r="L11" i="1"/>
  <c r="L10" i="7" s="1"/>
  <c r="K11" i="1"/>
  <c r="K10" i="7" s="1"/>
  <c r="J11" i="1"/>
  <c r="J10" i="7" s="1"/>
  <c r="I11" i="1"/>
  <c r="H11" i="1"/>
  <c r="G11" i="1"/>
  <c r="G10" i="7" s="1"/>
  <c r="F11" i="1"/>
  <c r="F10" i="7" s="1"/>
  <c r="E11" i="1"/>
  <c r="E10" i="7" s="1"/>
  <c r="D11" i="1"/>
  <c r="D10" i="7" s="1"/>
  <c r="X10" i="7" s="1"/>
  <c r="C11" i="1"/>
  <c r="C10" i="7" s="1"/>
  <c r="C60" i="8"/>
  <c r="C59" i="8"/>
  <c r="O57" i="8"/>
  <c r="N57" i="8"/>
  <c r="M57" i="8"/>
  <c r="L57" i="8"/>
  <c r="Z57" i="8" s="1"/>
  <c r="K57" i="8"/>
  <c r="C56" i="8"/>
  <c r="C54" i="8"/>
  <c r="O53" i="8"/>
  <c r="J53" i="8"/>
  <c r="H53" i="8"/>
  <c r="Y53" i="8" s="1"/>
  <c r="C53" i="8"/>
  <c r="L52" i="8"/>
  <c r="K52" i="8"/>
  <c r="K53" i="8" s="1"/>
  <c r="J52" i="8"/>
  <c r="F52" i="8"/>
  <c r="F53" i="8" s="1"/>
  <c r="E52" i="8"/>
  <c r="E53" i="8" s="1"/>
  <c r="C52" i="8"/>
  <c r="C51" i="8"/>
  <c r="C50" i="8"/>
  <c r="C49" i="8"/>
  <c r="C48" i="8"/>
  <c r="C47" i="8"/>
  <c r="T41" i="8"/>
  <c r="S41" i="8"/>
  <c r="AA41" i="8" s="1"/>
  <c r="R41" i="8"/>
  <c r="P41" i="8"/>
  <c r="O41" i="8"/>
  <c r="Z41" i="8" s="1"/>
  <c r="N41" i="8"/>
  <c r="C41" i="8"/>
  <c r="W39" i="8"/>
  <c r="AB39" i="8" s="1"/>
  <c r="V39" i="8"/>
  <c r="U39" i="8"/>
  <c r="T39" i="8"/>
  <c r="S39" i="8"/>
  <c r="C34" i="8"/>
  <c r="W33" i="8"/>
  <c r="AB33" i="8" s="1"/>
  <c r="C26" i="8"/>
  <c r="C14" i="8"/>
  <c r="P13" i="8"/>
  <c r="O13" i="8"/>
  <c r="N13" i="8"/>
  <c r="M13" i="8"/>
  <c r="L13" i="8"/>
  <c r="AB32" i="7" l="1"/>
  <c r="X32" i="7"/>
  <c r="Z7" i="7"/>
  <c r="K14" i="1"/>
  <c r="Z9" i="4"/>
  <c r="X18" i="7"/>
  <c r="O15" i="2"/>
  <c r="Z15" i="2" s="1"/>
  <c r="C35" i="8"/>
  <c r="AA9" i="7"/>
  <c r="AA42" i="7"/>
  <c r="X57" i="8"/>
  <c r="C61" i="8"/>
  <c r="D46" i="8" s="1"/>
  <c r="N14" i="1"/>
  <c r="N11" i="7" s="1"/>
  <c r="N8" i="8" s="1"/>
  <c r="AA20" i="7"/>
  <c r="Y11" i="1"/>
  <c r="W15" i="2"/>
  <c r="AB15" i="2" s="1"/>
  <c r="AB29" i="7"/>
  <c r="C43" i="7"/>
  <c r="C55" i="8" s="1"/>
  <c r="X52" i="8"/>
  <c r="C18" i="8"/>
  <c r="AB13" i="1"/>
  <c r="Y7" i="7"/>
  <c r="AA28" i="7"/>
  <c r="L14" i="1"/>
  <c r="E11" i="7"/>
  <c r="E8" i="8" s="1"/>
  <c r="E26" i="8" s="1"/>
  <c r="AB18" i="7"/>
  <c r="D56" i="8"/>
  <c r="E56" i="8"/>
  <c r="T53" i="8"/>
  <c r="AB53" i="8" s="1"/>
  <c r="F56" i="8"/>
  <c r="L61" i="2"/>
  <c r="M61" i="2" s="1"/>
  <c r="Z47" i="7"/>
  <c r="AB52" i="7"/>
  <c r="S56" i="8"/>
  <c r="L62" i="2"/>
  <c r="M62" i="2" s="1"/>
  <c r="T56" i="8"/>
  <c r="AB13" i="8"/>
  <c r="H35" i="2"/>
  <c r="K35" i="2" s="1"/>
  <c r="AB26" i="7"/>
  <c r="H46" i="2"/>
  <c r="W16" i="2" s="1"/>
  <c r="W21" i="2" s="1"/>
  <c r="AB20" i="7"/>
  <c r="X11" i="1"/>
  <c r="R14" i="1"/>
  <c r="S17" i="1" s="1"/>
  <c r="R56" i="8"/>
  <c r="Y8" i="7"/>
  <c r="X15" i="7"/>
  <c r="Y42" i="7"/>
  <c r="H36" i="2"/>
  <c r="M16" i="2" s="1"/>
  <c r="M21" i="2" s="1"/>
  <c r="N16" i="2"/>
  <c r="N21" i="2" s="1"/>
  <c r="AB33" i="7"/>
  <c r="G39" i="8"/>
  <c r="H56" i="8" s="1"/>
  <c r="U14" i="1"/>
  <c r="U18" i="2" s="1"/>
  <c r="J54" i="8"/>
  <c r="Y54" i="8" s="1"/>
  <c r="S57" i="8"/>
  <c r="AA57" i="8" s="1"/>
  <c r="V14" i="1"/>
  <c r="G15" i="2"/>
  <c r="X15" i="2" s="1"/>
  <c r="C23" i="3"/>
  <c r="C49" i="7" s="1"/>
  <c r="C37" i="8" s="1"/>
  <c r="S10" i="7"/>
  <c r="Y47" i="7"/>
  <c r="AA52" i="7"/>
  <c r="X28" i="7"/>
  <c r="C14" i="4"/>
  <c r="C54" i="7" s="1"/>
  <c r="C30" i="8" s="1"/>
  <c r="X20" i="7"/>
  <c r="U52" i="8"/>
  <c r="U53" i="8" s="1"/>
  <c r="K39" i="8"/>
  <c r="K41" i="8"/>
  <c r="Y41" i="8" s="1"/>
  <c r="W14" i="1"/>
  <c r="W18" i="2" s="1"/>
  <c r="C50" i="7"/>
  <c r="C29" i="8" s="1"/>
  <c r="L54" i="8"/>
  <c r="Z54" i="8" s="1"/>
  <c r="F18" i="2"/>
  <c r="I16" i="2"/>
  <c r="I21" i="2" s="1"/>
  <c r="D26" i="3"/>
  <c r="X8" i="7"/>
  <c r="AB8" i="7"/>
  <c r="W56" i="8"/>
  <c r="X52" i="7"/>
  <c r="C12" i="4"/>
  <c r="D7" i="4" s="1"/>
  <c r="AA13" i="8"/>
  <c r="Z8" i="7"/>
  <c r="Y13" i="1"/>
  <c r="Z13" i="1"/>
  <c r="K32" i="2"/>
  <c r="L32" i="2" s="1"/>
  <c r="M32" i="2" s="1"/>
  <c r="M86" i="2"/>
  <c r="AB25" i="7"/>
  <c r="X30" i="7"/>
  <c r="E24" i="8"/>
  <c r="E11" i="8"/>
  <c r="E15" i="8"/>
  <c r="E34" i="8"/>
  <c r="E9" i="8"/>
  <c r="E25" i="8" s="1"/>
  <c r="E12" i="8"/>
  <c r="E10" i="8"/>
  <c r="L53" i="2"/>
  <c r="M53" i="2" s="1"/>
  <c r="L74" i="2"/>
  <c r="M74" i="2" s="1"/>
  <c r="L59" i="2"/>
  <c r="M59" i="2" s="1"/>
  <c r="L48" i="2"/>
  <c r="M48" i="2" s="1"/>
  <c r="D53" i="8"/>
  <c r="X53" i="8" s="1"/>
  <c r="T15" i="2"/>
  <c r="U15" i="2"/>
  <c r="L55" i="2"/>
  <c r="M55" i="2"/>
  <c r="M69" i="2"/>
  <c r="L77" i="2"/>
  <c r="M77" i="2" s="1"/>
  <c r="X42" i="7"/>
  <c r="D54" i="8"/>
  <c r="M56" i="8"/>
  <c r="J56" i="8"/>
  <c r="Y39" i="8"/>
  <c r="L85" i="2"/>
  <c r="M85" i="2" s="1"/>
  <c r="Z13" i="8"/>
  <c r="D51" i="7"/>
  <c r="T54" i="8"/>
  <c r="AB42" i="7"/>
  <c r="F11" i="8"/>
  <c r="F26" i="8"/>
  <c r="F34" i="8"/>
  <c r="F9" i="8"/>
  <c r="F25" i="8" s="1"/>
  <c r="F12" i="8"/>
  <c r="F15" i="8"/>
  <c r="F10" i="8"/>
  <c r="T19" i="2"/>
  <c r="L57" i="2"/>
  <c r="M57" i="2" s="1"/>
  <c r="L70" i="2"/>
  <c r="M70" i="2" s="1"/>
  <c r="L78" i="2"/>
  <c r="M78" i="2" s="1"/>
  <c r="AB9" i="4"/>
  <c r="Y13" i="8"/>
  <c r="H58" i="2"/>
  <c r="K58" i="2" s="1"/>
  <c r="D41" i="7"/>
  <c r="D10" i="3"/>
  <c r="D11" i="3" s="1"/>
  <c r="D13" i="3" s="1"/>
  <c r="I161" i="10"/>
  <c r="G161" i="10"/>
  <c r="E24" i="10"/>
  <c r="G24" i="10" s="1"/>
  <c r="I24" i="10" s="1"/>
  <c r="C19" i="2"/>
  <c r="C21" i="2" s="1"/>
  <c r="Z11" i="1"/>
  <c r="M10" i="7"/>
  <c r="M14" i="1"/>
  <c r="N17" i="1" s="1"/>
  <c r="M30" i="2"/>
  <c r="K37" i="2"/>
  <c r="L67" i="2"/>
  <c r="M67" i="2" s="1"/>
  <c r="H31" i="2"/>
  <c r="H15" i="2"/>
  <c r="L83" i="2"/>
  <c r="M83" i="2"/>
  <c r="AA25" i="7"/>
  <c r="L49" i="2"/>
  <c r="M49" i="2" s="1"/>
  <c r="P11" i="7"/>
  <c r="P18" i="2"/>
  <c r="M64" i="2"/>
  <c r="K44" i="2"/>
  <c r="U16" i="2"/>
  <c r="M82" i="2"/>
  <c r="Z25" i="7"/>
  <c r="X29" i="7"/>
  <c r="L75" i="2"/>
  <c r="M75" i="2" s="1"/>
  <c r="K63" i="2"/>
  <c r="T16" i="2"/>
  <c r="L79" i="2"/>
  <c r="M79" i="2" s="1"/>
  <c r="E24" i="3"/>
  <c r="D50" i="7"/>
  <c r="D29" i="8" s="1"/>
  <c r="R18" i="2"/>
  <c r="R17" i="1"/>
  <c r="S15" i="2"/>
  <c r="AA15" i="2" s="1"/>
  <c r="H42" i="2"/>
  <c r="I14" i="1"/>
  <c r="I10" i="7"/>
  <c r="S11" i="7"/>
  <c r="S8" i="8" s="1"/>
  <c r="S18" i="2"/>
  <c r="L72" i="2"/>
  <c r="M72" i="2"/>
  <c r="AA29" i="7"/>
  <c r="T11" i="7"/>
  <c r="T18" i="2"/>
  <c r="T17" i="1"/>
  <c r="L65" i="2"/>
  <c r="M65" i="2" s="1"/>
  <c r="D19" i="2"/>
  <c r="X13" i="1"/>
  <c r="AA27" i="7"/>
  <c r="I56" i="8"/>
  <c r="N15" i="2"/>
  <c r="E13" i="8"/>
  <c r="X13" i="8" s="1"/>
  <c r="D11" i="7"/>
  <c r="D17" i="1"/>
  <c r="K16" i="2"/>
  <c r="V56" i="8"/>
  <c r="H19" i="2"/>
  <c r="L56" i="2"/>
  <c r="M56" i="2" s="1"/>
  <c r="AB15" i="7"/>
  <c r="Z29" i="7"/>
  <c r="Z31" i="7"/>
  <c r="O39" i="8"/>
  <c r="O14" i="1"/>
  <c r="P17" i="1" s="1"/>
  <c r="O10" i="7"/>
  <c r="H28" i="2"/>
  <c r="E15" i="2"/>
  <c r="H40" i="2"/>
  <c r="Q15" i="2"/>
  <c r="U56" i="8"/>
  <c r="Y15" i="7"/>
  <c r="N56" i="8"/>
  <c r="L84" i="2"/>
  <c r="M84" i="2" s="1"/>
  <c r="Z27" i="7"/>
  <c r="Z52" i="7"/>
  <c r="N52" i="8"/>
  <c r="N53" i="8" s="1"/>
  <c r="Z52" i="8"/>
  <c r="L53" i="8"/>
  <c r="Z53" i="8" s="1"/>
  <c r="AA11" i="1"/>
  <c r="P10" i="7"/>
  <c r="V15" i="2"/>
  <c r="L60" i="2"/>
  <c r="M60" i="2" s="1"/>
  <c r="L82" i="2"/>
  <c r="P15" i="2"/>
  <c r="H39" i="2"/>
  <c r="L54" i="2"/>
  <c r="M54" i="2" s="1"/>
  <c r="L66" i="2"/>
  <c r="M66" i="2" s="1"/>
  <c r="C44" i="7"/>
  <c r="C13" i="3"/>
  <c r="Z19" i="2"/>
  <c r="L34" i="2"/>
  <c r="M34" i="2" s="1"/>
  <c r="AA39" i="8"/>
  <c r="C18" i="2"/>
  <c r="C20" i="2" s="1"/>
  <c r="K46" i="2"/>
  <c r="M68" i="2"/>
  <c r="Q14" i="1"/>
  <c r="Q10" i="7"/>
  <c r="D15" i="2"/>
  <c r="H45" i="2"/>
  <c r="H27" i="2"/>
  <c r="C36" i="8"/>
  <c r="H50" i="2"/>
  <c r="AB57" i="8"/>
  <c r="K15" i="2"/>
  <c r="Y15" i="2" s="1"/>
  <c r="D18" i="2"/>
  <c r="D18" i="3"/>
  <c r="C11" i="7"/>
  <c r="C8" i="8" s="1"/>
  <c r="F15" i="2"/>
  <c r="K81" i="2"/>
  <c r="R16" i="2"/>
  <c r="R21" i="2" s="1"/>
  <c r="E15" i="10"/>
  <c r="G15" i="10" s="1"/>
  <c r="I15" i="10" s="1"/>
  <c r="AA52" i="8"/>
  <c r="P53" i="8"/>
  <c r="AA53" i="8" s="1"/>
  <c r="G14" i="1"/>
  <c r="F17" i="1"/>
  <c r="H29" i="2"/>
  <c r="K38" i="2"/>
  <c r="M51" i="2"/>
  <c r="X25" i="7"/>
  <c r="T10" i="7"/>
  <c r="AB10" i="7" s="1"/>
  <c r="AB11" i="1"/>
  <c r="E17" i="1"/>
  <c r="J15" i="2"/>
  <c r="H33" i="2"/>
  <c r="Q56" i="8"/>
  <c r="R15" i="2"/>
  <c r="AA19" i="2"/>
  <c r="M76" i="2"/>
  <c r="Z18" i="7"/>
  <c r="Y52" i="8"/>
  <c r="H10" i="7"/>
  <c r="Y10" i="7" s="1"/>
  <c r="H14" i="1"/>
  <c r="L43" i="2"/>
  <c r="M43" i="2" s="1"/>
  <c r="F24" i="8"/>
  <c r="AB30" i="7"/>
  <c r="X47" i="7"/>
  <c r="AB47" i="7"/>
  <c r="Y52" i="7"/>
  <c r="AA13" i="1"/>
  <c r="M71" i="2"/>
  <c r="Y29" i="7"/>
  <c r="AA30" i="7"/>
  <c r="L47" i="2"/>
  <c r="M47" i="2" s="1"/>
  <c r="L51" i="2"/>
  <c r="AB9" i="7"/>
  <c r="AA15" i="7"/>
  <c r="X33" i="7"/>
  <c r="X39" i="8"/>
  <c r="J14" i="1"/>
  <c r="I15" i="2"/>
  <c r="M80" i="2"/>
  <c r="E22" i="10"/>
  <c r="G22" i="10" s="1"/>
  <c r="I22" i="10" s="1"/>
  <c r="X27" i="7"/>
  <c r="AB27" i="7"/>
  <c r="Z15" i="7"/>
  <c r="X9" i="4"/>
  <c r="Y27" i="7"/>
  <c r="E14" i="10"/>
  <c r="G14" i="10" s="1"/>
  <c r="I14" i="10" s="1"/>
  <c r="Z10" i="7" l="1"/>
  <c r="R20" i="2"/>
  <c r="D13" i="4"/>
  <c r="L56" i="8"/>
  <c r="L17" i="1"/>
  <c r="L11" i="7"/>
  <c r="L8" i="8" s="1"/>
  <c r="L11" i="8" s="1"/>
  <c r="L18" i="2"/>
  <c r="AB56" i="8"/>
  <c r="N18" i="2"/>
  <c r="N20" i="2" s="1"/>
  <c r="K20" i="2"/>
  <c r="D11" i="4"/>
  <c r="D12" i="4" s="1"/>
  <c r="W20" i="2"/>
  <c r="I17" i="2"/>
  <c r="I16" i="7" s="1"/>
  <c r="I14" i="8" s="1"/>
  <c r="C23" i="8"/>
  <c r="C27" i="8" s="1"/>
  <c r="K18" i="2"/>
  <c r="K11" i="7"/>
  <c r="K8" i="8" s="1"/>
  <c r="AB14" i="1"/>
  <c r="R11" i="7"/>
  <c r="R8" i="8" s="1"/>
  <c r="R34" i="8" s="1"/>
  <c r="U20" i="2"/>
  <c r="C38" i="8"/>
  <c r="C22" i="2"/>
  <c r="G56" i="8"/>
  <c r="X56" i="8" s="1"/>
  <c r="V11" i="7"/>
  <c r="V8" i="8" s="1"/>
  <c r="V18" i="2"/>
  <c r="AB18" i="2" s="1"/>
  <c r="AB20" i="2" s="1"/>
  <c r="K56" i="8"/>
  <c r="Y56" i="8" s="1"/>
  <c r="E23" i="10"/>
  <c r="G23" i="10" s="1"/>
  <c r="I23" i="10" s="1"/>
  <c r="L16" i="2"/>
  <c r="Z16" i="2" s="1"/>
  <c r="Z21" i="2" s="1"/>
  <c r="C53" i="7"/>
  <c r="C28" i="8" s="1"/>
  <c r="AB52" i="8"/>
  <c r="V17" i="1"/>
  <c r="W11" i="7"/>
  <c r="W8" i="8" s="1"/>
  <c r="U17" i="1"/>
  <c r="W17" i="1"/>
  <c r="U11" i="7"/>
  <c r="U8" i="8" s="1"/>
  <c r="U12" i="8" s="1"/>
  <c r="K36" i="2"/>
  <c r="L36" i="2" s="1"/>
  <c r="M36" i="2" s="1"/>
  <c r="M17" i="2" s="1"/>
  <c r="H17" i="1"/>
  <c r="Y14" i="1"/>
  <c r="H18" i="2"/>
  <c r="H11" i="7"/>
  <c r="K27" i="2"/>
  <c r="D16" i="2"/>
  <c r="U21" i="2"/>
  <c r="V16" i="2"/>
  <c r="K45" i="2"/>
  <c r="E166" i="10"/>
  <c r="G166" i="10" s="1"/>
  <c r="I166" i="10" s="1"/>
  <c r="W34" i="8"/>
  <c r="AB34" i="8" s="1"/>
  <c r="W26" i="8"/>
  <c r="AB26" i="8" s="1"/>
  <c r="W24" i="8"/>
  <c r="W12" i="8"/>
  <c r="W9" i="8"/>
  <c r="W25" i="8" s="1"/>
  <c r="AB25" i="8" s="1"/>
  <c r="W15" i="8"/>
  <c r="W11" i="8"/>
  <c r="AB17" i="1"/>
  <c r="R15" i="8"/>
  <c r="R9" i="8"/>
  <c r="R25" i="8" s="1"/>
  <c r="M18" i="2"/>
  <c r="M20" i="2" s="1"/>
  <c r="M11" i="7"/>
  <c r="M17" i="1"/>
  <c r="E18" i="10"/>
  <c r="G18" i="10" s="1"/>
  <c r="I18" i="10" s="1"/>
  <c r="K17" i="2"/>
  <c r="T20" i="2"/>
  <c r="AB19" i="2"/>
  <c r="T21" i="2"/>
  <c r="C9" i="8"/>
  <c r="C10" i="8" s="1"/>
  <c r="C11" i="8"/>
  <c r="C15" i="8"/>
  <c r="C12" i="8"/>
  <c r="AA10" i="7"/>
  <c r="D8" i="8"/>
  <c r="T8" i="8"/>
  <c r="E25" i="3"/>
  <c r="E26" i="3" s="1"/>
  <c r="N11" i="8"/>
  <c r="N24" i="8"/>
  <c r="N26" i="8"/>
  <c r="N34" i="8"/>
  <c r="N9" i="8"/>
  <c r="N25" i="8" s="1"/>
  <c r="N12" i="8"/>
  <c r="N15" i="8"/>
  <c r="D43" i="7"/>
  <c r="K28" i="2"/>
  <c r="E16" i="2"/>
  <c r="L37" i="2"/>
  <c r="M37" i="2" s="1"/>
  <c r="N17" i="2" s="1"/>
  <c r="L38" i="2"/>
  <c r="M38" i="2" s="1"/>
  <c r="O11" i="7"/>
  <c r="O8" i="8" s="1"/>
  <c r="O18" i="2"/>
  <c r="O20" i="2" s="1"/>
  <c r="O17" i="1"/>
  <c r="Q11" i="7"/>
  <c r="Q8" i="8" s="1"/>
  <c r="Q18" i="2"/>
  <c r="Q20" i="2" s="1"/>
  <c r="Q17" i="1"/>
  <c r="AA17" i="1" s="1"/>
  <c r="K29" i="2"/>
  <c r="F16" i="2"/>
  <c r="D19" i="7"/>
  <c r="D14" i="3"/>
  <c r="C14" i="3"/>
  <c r="AB16" i="2"/>
  <c r="L58" i="2"/>
  <c r="M58" i="2" s="1"/>
  <c r="O56" i="8"/>
  <c r="Z56" i="8" s="1"/>
  <c r="Z39" i="8"/>
  <c r="L44" i="2"/>
  <c r="M44" i="2" s="1"/>
  <c r="U17" i="2" s="1"/>
  <c r="G17" i="1"/>
  <c r="X17" i="1" s="1"/>
  <c r="X14" i="1"/>
  <c r="G11" i="7"/>
  <c r="X11" i="7" s="1"/>
  <c r="G18" i="2"/>
  <c r="X18" i="2"/>
  <c r="D44" i="7"/>
  <c r="E7" i="3"/>
  <c r="S34" i="8"/>
  <c r="AA34" i="8" s="1"/>
  <c r="S26" i="8"/>
  <c r="AA26" i="8" s="1"/>
  <c r="S9" i="8"/>
  <c r="S25" i="8" s="1"/>
  <c r="AA25" i="8" s="1"/>
  <c r="S11" i="8"/>
  <c r="S12" i="8"/>
  <c r="S24" i="8"/>
  <c r="S15" i="8"/>
  <c r="L46" i="2"/>
  <c r="M46" i="2" s="1"/>
  <c r="W17" i="2" s="1"/>
  <c r="P16" i="2"/>
  <c r="P20" i="2" s="1"/>
  <c r="K39" i="2"/>
  <c r="X19" i="2"/>
  <c r="K31" i="2"/>
  <c r="H16" i="2"/>
  <c r="X54" i="8"/>
  <c r="L35" i="2"/>
  <c r="M35" i="2" s="1"/>
  <c r="L17" i="2" s="1"/>
  <c r="Y19" i="2"/>
  <c r="H21" i="2"/>
  <c r="I18" i="2"/>
  <c r="I20" i="2" s="1"/>
  <c r="I17" i="1"/>
  <c r="I11" i="7"/>
  <c r="I8" i="8" s="1"/>
  <c r="P8" i="8"/>
  <c r="AB54" i="8"/>
  <c r="L81" i="2"/>
  <c r="M81" i="2" s="1"/>
  <c r="R17" i="2" s="1"/>
  <c r="G16" i="2"/>
  <c r="G21" i="2" s="1"/>
  <c r="K50" i="2"/>
  <c r="K21" i="2"/>
  <c r="Q16" i="2"/>
  <c r="Q21" i="2" s="1"/>
  <c r="K40" i="2"/>
  <c r="S16" i="2"/>
  <c r="S21" i="2" s="1"/>
  <c r="K42" i="2"/>
  <c r="AA14" i="1"/>
  <c r="D20" i="3"/>
  <c r="D22" i="3"/>
  <c r="D23" i="3"/>
  <c r="D45" i="7"/>
  <c r="J11" i="7"/>
  <c r="J8" i="8" s="1"/>
  <c r="J18" i="2"/>
  <c r="J17" i="1"/>
  <c r="K17" i="1"/>
  <c r="L12" i="8"/>
  <c r="L63" i="2"/>
  <c r="M63" i="2" s="1"/>
  <c r="T17" i="2" s="1"/>
  <c r="U26" i="8"/>
  <c r="U11" i="8"/>
  <c r="U24" i="8"/>
  <c r="U15" i="8"/>
  <c r="F49" i="8"/>
  <c r="P56" i="8"/>
  <c r="AA56" i="8" s="1"/>
  <c r="K33" i="2"/>
  <c r="J16" i="2"/>
  <c r="J21" i="2" s="1"/>
  <c r="Z14" i="1"/>
  <c r="O16" i="2"/>
  <c r="O21" i="2" s="1"/>
  <c r="E7" i="4" l="1"/>
  <c r="D53" i="7"/>
  <c r="D28" i="8" s="1"/>
  <c r="L21" i="2"/>
  <c r="D14" i="4"/>
  <c r="L34" i="8"/>
  <c r="L26" i="8"/>
  <c r="C31" i="8"/>
  <c r="C40" i="8" s="1"/>
  <c r="C42" i="8" s="1"/>
  <c r="C43" i="8" s="1"/>
  <c r="L24" i="8"/>
  <c r="D21" i="7"/>
  <c r="K15" i="8"/>
  <c r="K12" i="8"/>
  <c r="K9" i="8"/>
  <c r="K11" i="8"/>
  <c r="K34" i="8"/>
  <c r="Y34" i="8" s="1"/>
  <c r="K24" i="8"/>
  <c r="Y24" i="8" s="1"/>
  <c r="K26" i="8"/>
  <c r="Y26" i="8" s="1"/>
  <c r="L15" i="8"/>
  <c r="L9" i="8"/>
  <c r="L10" i="8" s="1"/>
  <c r="AB11" i="7"/>
  <c r="E157" i="10"/>
  <c r="S10" i="8"/>
  <c r="L20" i="2"/>
  <c r="R12" i="8"/>
  <c r="O17" i="2"/>
  <c r="O16" i="7" s="1"/>
  <c r="O14" i="8" s="1"/>
  <c r="S20" i="2"/>
  <c r="U34" i="8"/>
  <c r="AA18" i="2"/>
  <c r="AA20" i="2" s="1"/>
  <c r="R11" i="8"/>
  <c r="U9" i="8"/>
  <c r="U25" i="8" s="1"/>
  <c r="C16" i="8"/>
  <c r="C19" i="8" s="1"/>
  <c r="C20" i="8" s="1"/>
  <c r="R26" i="8"/>
  <c r="V34" i="8"/>
  <c r="V24" i="8"/>
  <c r="V26" i="8"/>
  <c r="V9" i="8"/>
  <c r="V25" i="8" s="1"/>
  <c r="V12" i="8"/>
  <c r="V15" i="8"/>
  <c r="V11" i="8"/>
  <c r="G20" i="2"/>
  <c r="R24" i="8"/>
  <c r="L22" i="2"/>
  <c r="L16" i="7"/>
  <c r="I157" i="10"/>
  <c r="G157" i="10"/>
  <c r="N16" i="7"/>
  <c r="N14" i="8" s="1"/>
  <c r="N22" i="2"/>
  <c r="T16" i="7"/>
  <c r="T22" i="2"/>
  <c r="M22" i="2"/>
  <c r="M16" i="7"/>
  <c r="M14" i="8" s="1"/>
  <c r="W16" i="7"/>
  <c r="W14" i="8" s="1"/>
  <c r="E167" i="10" s="1"/>
  <c r="G167" i="10" s="1"/>
  <c r="I167" i="10" s="1"/>
  <c r="W22" i="2"/>
  <c r="T26" i="8"/>
  <c r="T11" i="8"/>
  <c r="T9" i="8"/>
  <c r="T10" i="8" s="1"/>
  <c r="T12" i="8"/>
  <c r="AB8" i="8"/>
  <c r="T24" i="8"/>
  <c r="T34" i="8"/>
  <c r="T15" i="8"/>
  <c r="AB15" i="8" s="1"/>
  <c r="L27" i="2"/>
  <c r="D46" i="7"/>
  <c r="P15" i="8"/>
  <c r="P9" i="8"/>
  <c r="AA8" i="8"/>
  <c r="P26" i="8"/>
  <c r="P11" i="8"/>
  <c r="P12" i="8"/>
  <c r="P24" i="8"/>
  <c r="P34" i="8"/>
  <c r="Q15" i="8"/>
  <c r="Q9" i="8"/>
  <c r="Q25" i="8" s="1"/>
  <c r="Q10" i="8"/>
  <c r="Q11" i="8"/>
  <c r="Q26" i="8"/>
  <c r="Q12" i="8"/>
  <c r="Q24" i="8"/>
  <c r="Q34" i="8"/>
  <c r="D55" i="8"/>
  <c r="X16" i="2"/>
  <c r="X20" i="2" s="1"/>
  <c r="L33" i="2"/>
  <c r="M33" i="2" s="1"/>
  <c r="J17" i="2" s="1"/>
  <c r="D26" i="8"/>
  <c r="D11" i="8"/>
  <c r="D9" i="8"/>
  <c r="D12" i="8"/>
  <c r="D15" i="8"/>
  <c r="D24" i="8"/>
  <c r="D34" i="8"/>
  <c r="Y11" i="7"/>
  <c r="H8" i="8"/>
  <c r="AA11" i="7"/>
  <c r="D21" i="2"/>
  <c r="Z18" i="2"/>
  <c r="Z20" i="2" s="1"/>
  <c r="W10" i="8"/>
  <c r="H20" i="2"/>
  <c r="Y18" i="2"/>
  <c r="J9" i="8"/>
  <c r="J25" i="8" s="1"/>
  <c r="J12" i="8"/>
  <c r="J15" i="8"/>
  <c r="J26" i="8"/>
  <c r="J34" i="8"/>
  <c r="J24" i="8"/>
  <c r="J11" i="8"/>
  <c r="L50" i="2"/>
  <c r="M50" i="2" s="1"/>
  <c r="G17" i="2" s="1"/>
  <c r="AA24" i="8"/>
  <c r="S49" i="8"/>
  <c r="G8" i="8"/>
  <c r="E11" i="10"/>
  <c r="G11" i="10" s="1"/>
  <c r="I11" i="10" s="1"/>
  <c r="N10" i="8"/>
  <c r="U16" i="7"/>
  <c r="U14" i="8" s="1"/>
  <c r="U32" i="8" s="1"/>
  <c r="U22" i="2"/>
  <c r="R10" i="8"/>
  <c r="D54" i="7"/>
  <c r="D30" i="8" s="1"/>
  <c r="E13" i="4"/>
  <c r="E21" i="2"/>
  <c r="E20" i="2"/>
  <c r="E51" i="7"/>
  <c r="L45" i="2"/>
  <c r="M45" i="2" s="1"/>
  <c r="V17" i="2" s="1"/>
  <c r="L29" i="2"/>
  <c r="M29" i="2"/>
  <c r="F17" i="2" s="1"/>
  <c r="D49" i="7"/>
  <c r="D37" i="8" s="1"/>
  <c r="E18" i="3"/>
  <c r="K22" i="2"/>
  <c r="K16" i="7"/>
  <c r="K14" i="8" s="1"/>
  <c r="L42" i="2"/>
  <c r="M42" i="2" s="1"/>
  <c r="S17" i="2" s="1"/>
  <c r="O15" i="8"/>
  <c r="O11" i="8"/>
  <c r="O34" i="8"/>
  <c r="Z34" i="8" s="1"/>
  <c r="O9" i="8"/>
  <c r="O25" i="8" s="1"/>
  <c r="Z25" i="8" s="1"/>
  <c r="O26" i="8"/>
  <c r="Z26" i="8" s="1"/>
  <c r="O12" i="8"/>
  <c r="O24" i="8"/>
  <c r="AB24" i="8"/>
  <c r="M8" i="8"/>
  <c r="Z11" i="7"/>
  <c r="N32" i="8"/>
  <c r="R16" i="7"/>
  <c r="R14" i="8" s="1"/>
  <c r="R22" i="2"/>
  <c r="L28" i="2"/>
  <c r="M28" i="2" s="1"/>
  <c r="E17" i="2" s="1"/>
  <c r="F24" i="3"/>
  <c r="E50" i="7"/>
  <c r="E29" i="8" s="1"/>
  <c r="AB21" i="2"/>
  <c r="V21" i="2"/>
  <c r="V20" i="2"/>
  <c r="I22" i="2"/>
  <c r="L31" i="2"/>
  <c r="M31" i="2"/>
  <c r="H17" i="2" s="1"/>
  <c r="L25" i="8"/>
  <c r="D48" i="7"/>
  <c r="D17" i="8" s="1"/>
  <c r="I9" i="8"/>
  <c r="I25" i="8" s="1"/>
  <c r="I15" i="8"/>
  <c r="I12" i="8"/>
  <c r="I26" i="8"/>
  <c r="I34" i="8"/>
  <c r="I24" i="8"/>
  <c r="I11" i="8"/>
  <c r="L39" i="2"/>
  <c r="M39" i="2" s="1"/>
  <c r="P17" i="2" s="1"/>
  <c r="AA16" i="2"/>
  <c r="AA21" i="2" s="1"/>
  <c r="P21" i="2"/>
  <c r="Y17" i="1"/>
  <c r="E41" i="7"/>
  <c r="E10" i="3"/>
  <c r="D18" i="8"/>
  <c r="E11" i="4"/>
  <c r="E12" i="4"/>
  <c r="L40" i="2"/>
  <c r="M40" i="2" s="1"/>
  <c r="Q17" i="2" s="1"/>
  <c r="Z17" i="1"/>
  <c r="D20" i="2"/>
  <c r="J20" i="2"/>
  <c r="Y16" i="2"/>
  <c r="Y21" i="2" s="1"/>
  <c r="F20" i="2"/>
  <c r="F21" i="2"/>
  <c r="J10" i="8" l="1"/>
  <c r="AB12" i="8"/>
  <c r="Z17" i="2"/>
  <c r="Z22" i="2" s="1"/>
  <c r="K10" i="8"/>
  <c r="K25" i="8"/>
  <c r="Y25" i="8" s="1"/>
  <c r="U10" i="8"/>
  <c r="W49" i="8"/>
  <c r="L49" i="8"/>
  <c r="I10" i="8"/>
  <c r="R49" i="8"/>
  <c r="I16" i="8"/>
  <c r="AA12" i="8"/>
  <c r="O22" i="2"/>
  <c r="R32" i="8"/>
  <c r="Y20" i="2"/>
  <c r="V49" i="8"/>
  <c r="V10" i="8"/>
  <c r="J22" i="2"/>
  <c r="J16" i="7"/>
  <c r="J14" i="8" s="1"/>
  <c r="J16" i="8" s="1"/>
  <c r="S16" i="7"/>
  <c r="S14" i="8" s="1"/>
  <c r="S22" i="2"/>
  <c r="V16" i="7"/>
  <c r="V14" i="8" s="1"/>
  <c r="V22" i="2"/>
  <c r="AB17" i="2"/>
  <c r="AB22" i="2" s="1"/>
  <c r="G22" i="2"/>
  <c r="G16" i="7"/>
  <c r="G14" i="8" s="1"/>
  <c r="P22" i="2"/>
  <c r="AA17" i="2"/>
  <c r="AA22" i="2" s="1"/>
  <c r="P16" i="7"/>
  <c r="M27" i="2"/>
  <c r="D17" i="2" s="1"/>
  <c r="E14" i="4"/>
  <c r="Z24" i="8"/>
  <c r="O49" i="8"/>
  <c r="K16" i="8"/>
  <c r="K32" i="8"/>
  <c r="W16" i="8"/>
  <c r="X21" i="2"/>
  <c r="F7" i="4"/>
  <c r="E53" i="7"/>
  <c r="E28" i="8" s="1"/>
  <c r="E21" i="7"/>
  <c r="D58" i="8"/>
  <c r="D59" i="8" s="1"/>
  <c r="D48" i="8"/>
  <c r="G34" i="8"/>
  <c r="X34" i="8" s="1"/>
  <c r="G26" i="8"/>
  <c r="X26" i="8" s="1"/>
  <c r="G9" i="8"/>
  <c r="G25" i="8" s="1"/>
  <c r="X25" i="8" s="1"/>
  <c r="G12" i="8"/>
  <c r="X12" i="8" s="1"/>
  <c r="G15" i="8"/>
  <c r="X15" i="8" s="1"/>
  <c r="G11" i="8"/>
  <c r="X11" i="8" s="1"/>
  <c r="G24" i="8"/>
  <c r="F25" i="3"/>
  <c r="F26" i="3"/>
  <c r="W32" i="8"/>
  <c r="E16" i="7"/>
  <c r="E14" i="8" s="1"/>
  <c r="E22" i="2"/>
  <c r="E43" i="7"/>
  <c r="R16" i="8"/>
  <c r="H9" i="8"/>
  <c r="H10" i="8" s="1"/>
  <c r="H34" i="8"/>
  <c r="H12" i="8"/>
  <c r="Y12" i="8" s="1"/>
  <c r="H15" i="8"/>
  <c r="Y15" i="8" s="1"/>
  <c r="H24" i="8"/>
  <c r="Y8" i="8"/>
  <c r="H26" i="8"/>
  <c r="H11" i="8"/>
  <c r="O32" i="8"/>
  <c r="O10" i="8"/>
  <c r="O16" i="8" s="1"/>
  <c r="AA9" i="8"/>
  <c r="P25" i="8"/>
  <c r="P49" i="8" s="1"/>
  <c r="AB11" i="8"/>
  <c r="D25" i="8"/>
  <c r="D49" i="8" s="1"/>
  <c r="E11" i="3"/>
  <c r="AA11" i="8"/>
  <c r="J49" i="8"/>
  <c r="K49" i="8"/>
  <c r="H16" i="7"/>
  <c r="H22" i="2"/>
  <c r="Y17" i="2"/>
  <c r="Y22" i="2" s="1"/>
  <c r="X8" i="8"/>
  <c r="AA15" i="8"/>
  <c r="E22" i="3"/>
  <c r="E45" i="7"/>
  <c r="E20" i="3"/>
  <c r="E23" i="3"/>
  <c r="N16" i="8"/>
  <c r="D10" i="8"/>
  <c r="Q49" i="8"/>
  <c r="P10" i="8"/>
  <c r="Z16" i="7"/>
  <c r="L14" i="8"/>
  <c r="T14" i="8"/>
  <c r="T32" i="8" s="1"/>
  <c r="Q16" i="7"/>
  <c r="Q14" i="8" s="1"/>
  <c r="Q16" i="8" s="1"/>
  <c r="Q22" i="2"/>
  <c r="M11" i="8"/>
  <c r="M24" i="8"/>
  <c r="M12" i="8"/>
  <c r="Z12" i="8" s="1"/>
  <c r="M26" i="8"/>
  <c r="M34" i="8"/>
  <c r="M9" i="8"/>
  <c r="M15" i="8"/>
  <c r="Z15" i="8" s="1"/>
  <c r="Z8" i="8"/>
  <c r="F16" i="7"/>
  <c r="F14" i="8" s="1"/>
  <c r="F22" i="2"/>
  <c r="AB9" i="8"/>
  <c r="T25" i="8"/>
  <c r="U49" i="8" s="1"/>
  <c r="I32" i="8"/>
  <c r="U16" i="8"/>
  <c r="E19" i="10" l="1"/>
  <c r="G19" i="10" s="1"/>
  <c r="I19" i="10" s="1"/>
  <c r="G10" i="8"/>
  <c r="AB10" i="8"/>
  <c r="Q32" i="8"/>
  <c r="AA49" i="8"/>
  <c r="J32" i="8"/>
  <c r="K50" i="8" s="1"/>
  <c r="X9" i="8"/>
  <c r="E49" i="8"/>
  <c r="T50" i="8"/>
  <c r="U50" i="8"/>
  <c r="M25" i="8"/>
  <c r="M49" i="8" s="1"/>
  <c r="Z9" i="8"/>
  <c r="X10" i="8"/>
  <c r="F11" i="4"/>
  <c r="Y16" i="7"/>
  <c r="H14" i="8"/>
  <c r="Y14" i="8" s="1"/>
  <c r="M10" i="8"/>
  <c r="E55" i="8"/>
  <c r="O50" i="8"/>
  <c r="Z32" i="8"/>
  <c r="Y32" i="8"/>
  <c r="V32" i="8"/>
  <c r="V16" i="8"/>
  <c r="M32" i="8"/>
  <c r="Z11" i="8"/>
  <c r="Z14" i="8"/>
  <c r="L32" i="8"/>
  <c r="L16" i="8"/>
  <c r="Y9" i="8"/>
  <c r="H25" i="8"/>
  <c r="I49" i="8" s="1"/>
  <c r="E18" i="8"/>
  <c r="T16" i="8"/>
  <c r="S16" i="8"/>
  <c r="S32" i="8"/>
  <c r="Y11" i="8"/>
  <c r="E16" i="8"/>
  <c r="E32" i="8"/>
  <c r="J50" i="8"/>
  <c r="AA16" i="7"/>
  <c r="P14" i="8"/>
  <c r="Y10" i="8"/>
  <c r="W50" i="8"/>
  <c r="AB32" i="8"/>
  <c r="W35" i="8"/>
  <c r="F50" i="7"/>
  <c r="F29" i="8" s="1"/>
  <c r="G24" i="3"/>
  <c r="F51" i="7"/>
  <c r="E49" i="7"/>
  <c r="E37" i="8" s="1"/>
  <c r="F18" i="3"/>
  <c r="E44" i="7"/>
  <c r="F7" i="3"/>
  <c r="E13" i="3"/>
  <c r="G16" i="8"/>
  <c r="AB14" i="8"/>
  <c r="E46" i="7"/>
  <c r="T49" i="8"/>
  <c r="AB49" i="8" s="1"/>
  <c r="G49" i="8"/>
  <c r="X49" i="8" s="1"/>
  <c r="X24" i="8"/>
  <c r="F13" i="4"/>
  <c r="E54" i="7"/>
  <c r="E30" i="8" s="1"/>
  <c r="R50" i="8"/>
  <c r="F16" i="8"/>
  <c r="F32" i="8"/>
  <c r="AB16" i="7"/>
  <c r="G32" i="8"/>
  <c r="D22" i="2"/>
  <c r="E17" i="10" s="1"/>
  <c r="G17" i="10" s="1"/>
  <c r="I17" i="10" s="1"/>
  <c r="D16" i="7"/>
  <c r="E12" i="10" s="1"/>
  <c r="G12" i="10" s="1"/>
  <c r="I12" i="10" s="1"/>
  <c r="X17" i="2"/>
  <c r="X22" i="2" s="1"/>
  <c r="E16" i="10"/>
  <c r="G16" i="10" s="1"/>
  <c r="I16" i="10" s="1"/>
  <c r="E158" i="10"/>
  <c r="E48" i="7"/>
  <c r="AA10" i="8"/>
  <c r="P16" i="8"/>
  <c r="H16" i="8" l="1"/>
  <c r="H32" i="8"/>
  <c r="I50" i="8" s="1"/>
  <c r="E48" i="8"/>
  <c r="X16" i="7"/>
  <c r="D14" i="8"/>
  <c r="E58" i="8"/>
  <c r="E59" i="8" s="1"/>
  <c r="E14" i="3"/>
  <c r="E19" i="7"/>
  <c r="Y16" i="8"/>
  <c r="H50" i="8"/>
  <c r="Y50" i="8" s="1"/>
  <c r="AB50" i="8"/>
  <c r="H49" i="8"/>
  <c r="Y49" i="8" s="1"/>
  <c r="F41" i="7"/>
  <c r="F10" i="3"/>
  <c r="F11" i="3"/>
  <c r="F13" i="3" s="1"/>
  <c r="AA16" i="8"/>
  <c r="F22" i="3"/>
  <c r="F45" i="7"/>
  <c r="F20" i="3"/>
  <c r="F23" i="3" s="1"/>
  <c r="N49" i="8"/>
  <c r="Z49" i="8" s="1"/>
  <c r="AA32" i="8"/>
  <c r="S50" i="8"/>
  <c r="V50" i="8"/>
  <c r="F21" i="7"/>
  <c r="G50" i="8"/>
  <c r="X32" i="8"/>
  <c r="AB35" i="8"/>
  <c r="F50" i="8"/>
  <c r="M16" i="8"/>
  <c r="Z16" i="8" s="1"/>
  <c r="Z10" i="8"/>
  <c r="I158" i="10"/>
  <c r="G158" i="10"/>
  <c r="G25" i="3"/>
  <c r="X24" i="3"/>
  <c r="G26" i="3"/>
  <c r="L50" i="8"/>
  <c r="F12" i="4"/>
  <c r="M50" i="8"/>
  <c r="N50" i="8"/>
  <c r="F14" i="4"/>
  <c r="AA14" i="8"/>
  <c r="P32" i="8"/>
  <c r="AB16" i="8"/>
  <c r="Z50" i="8" l="1"/>
  <c r="F19" i="7"/>
  <c r="F14" i="3"/>
  <c r="F46" i="7"/>
  <c r="E17" i="8"/>
  <c r="G50" i="7"/>
  <c r="H24" i="3"/>
  <c r="X26" i="3"/>
  <c r="G51" i="7"/>
  <c r="X51" i="7" s="1"/>
  <c r="X25" i="3"/>
  <c r="G18" i="3"/>
  <c r="F49" i="7"/>
  <c r="F37" i="8" s="1"/>
  <c r="G7" i="4"/>
  <c r="F53" i="7"/>
  <c r="F28" i="8" s="1"/>
  <c r="P50" i="8"/>
  <c r="AA50" i="8" s="1"/>
  <c r="Q50" i="8"/>
  <c r="G13" i="4"/>
  <c r="F54" i="7"/>
  <c r="F30" i="8" s="1"/>
  <c r="F43" i="7"/>
  <c r="F48" i="7"/>
  <c r="X14" i="8"/>
  <c r="D32" i="8"/>
  <c r="D16" i="8"/>
  <c r="F18" i="8"/>
  <c r="F44" i="7"/>
  <c r="G7" i="3"/>
  <c r="X13" i="4" l="1"/>
  <c r="X16" i="8"/>
  <c r="D19" i="8"/>
  <c r="E19" i="8"/>
  <c r="E20" i="8" s="1"/>
  <c r="E47" i="8" s="1"/>
  <c r="E51" i="8" s="1"/>
  <c r="E60" i="8" s="1"/>
  <c r="H25" i="3"/>
  <c r="H26" i="3" s="1"/>
  <c r="F48" i="8"/>
  <c r="F58" i="8"/>
  <c r="G22" i="3"/>
  <c r="G45" i="7"/>
  <c r="X45" i="7" s="1"/>
  <c r="X18" i="3"/>
  <c r="G20" i="3"/>
  <c r="F55" i="8"/>
  <c r="G11" i="4"/>
  <c r="G12" i="4"/>
  <c r="X7" i="4"/>
  <c r="D50" i="8"/>
  <c r="E50" i="8"/>
  <c r="X50" i="7"/>
  <c r="G29" i="8"/>
  <c r="X29" i="8" s="1"/>
  <c r="G41" i="7"/>
  <c r="X41" i="7" s="1"/>
  <c r="G10" i="3"/>
  <c r="X7" i="3"/>
  <c r="G11" i="3"/>
  <c r="F17" i="8"/>
  <c r="F19" i="8" l="1"/>
  <c r="F20" i="8" s="1"/>
  <c r="F47" i="8" s="1"/>
  <c r="F51" i="8" s="1"/>
  <c r="H51" i="7"/>
  <c r="G53" i="7"/>
  <c r="H7" i="4"/>
  <c r="X12" i="4"/>
  <c r="G21" i="7"/>
  <c r="X11" i="4"/>
  <c r="G44" i="7"/>
  <c r="H7" i="3"/>
  <c r="X11" i="3"/>
  <c r="F59" i="8"/>
  <c r="G43" i="7"/>
  <c r="X10" i="3"/>
  <c r="G46" i="7"/>
  <c r="X20" i="3"/>
  <c r="G14" i="4"/>
  <c r="X50" i="8"/>
  <c r="H50" i="7"/>
  <c r="H29" i="8" s="1"/>
  <c r="I24" i="3"/>
  <c r="G13" i="3"/>
  <c r="D20" i="8"/>
  <c r="G23" i="3"/>
  <c r="G48" i="7"/>
  <c r="X48" i="7" s="1"/>
  <c r="X22" i="3"/>
  <c r="F60" i="8" l="1"/>
  <c r="H41" i="7"/>
  <c r="H10" i="3"/>
  <c r="H13" i="4"/>
  <c r="X14" i="4"/>
  <c r="G54" i="7"/>
  <c r="H11" i="4"/>
  <c r="H12" i="4" s="1"/>
  <c r="G58" i="8"/>
  <c r="X58" i="8" s="1"/>
  <c r="X46" i="7"/>
  <c r="X44" i="7"/>
  <c r="G55" i="8"/>
  <c r="X43" i="7"/>
  <c r="G18" i="8"/>
  <c r="X21" i="7"/>
  <c r="H18" i="3"/>
  <c r="G49" i="7"/>
  <c r="X23" i="3"/>
  <c r="X53" i="7"/>
  <c r="G28" i="8"/>
  <c r="X28" i="8" s="1"/>
  <c r="D47" i="8"/>
  <c r="D40" i="8"/>
  <c r="G19" i="7"/>
  <c r="G14" i="3"/>
  <c r="X13" i="3"/>
  <c r="I25" i="3"/>
  <c r="I26" i="3"/>
  <c r="I7" i="4" l="1"/>
  <c r="H53" i="7"/>
  <c r="H28" i="8" s="1"/>
  <c r="E40" i="8"/>
  <c r="D42" i="8"/>
  <c r="H21" i="7"/>
  <c r="X54" i="7"/>
  <c r="G30" i="8"/>
  <c r="X30" i="8" s="1"/>
  <c r="H45" i="7"/>
  <c r="H22" i="3"/>
  <c r="H20" i="3"/>
  <c r="I50" i="7"/>
  <c r="I29" i="8" s="1"/>
  <c r="J24" i="3"/>
  <c r="H14" i="4"/>
  <c r="I51" i="7"/>
  <c r="D51" i="8"/>
  <c r="X49" i="7"/>
  <c r="G37" i="8"/>
  <c r="X37" i="8" s="1"/>
  <c r="G48" i="8"/>
  <c r="X48" i="8" s="1"/>
  <c r="X18" i="8"/>
  <c r="H43" i="7"/>
  <c r="D33" i="8"/>
  <c r="X14" i="3"/>
  <c r="G59" i="8"/>
  <c r="X59" i="8" s="1"/>
  <c r="X55" i="8"/>
  <c r="H11" i="3"/>
  <c r="G17" i="8"/>
  <c r="X19" i="7"/>
  <c r="D36" i="8" l="1"/>
  <c r="D35" i="8"/>
  <c r="D38" i="8" s="1"/>
  <c r="D43" i="8" s="1"/>
  <c r="F7" i="10" s="1"/>
  <c r="H46" i="7"/>
  <c r="H23" i="3"/>
  <c r="J25" i="3"/>
  <c r="H48" i="7"/>
  <c r="H18" i="8"/>
  <c r="F40" i="8"/>
  <c r="E42" i="8"/>
  <c r="G19" i="8"/>
  <c r="X19" i="8" s="1"/>
  <c r="X17" i="8"/>
  <c r="I7" i="3"/>
  <c r="H44" i="7"/>
  <c r="H13" i="3"/>
  <c r="H55" i="8"/>
  <c r="D60" i="8"/>
  <c r="I13" i="4"/>
  <c r="H54" i="7"/>
  <c r="H30" i="8" s="1"/>
  <c r="I11" i="4"/>
  <c r="I12" i="4" s="1"/>
  <c r="G20" i="8" l="1"/>
  <c r="I14" i="4"/>
  <c r="H48" i="8"/>
  <c r="J51" i="7"/>
  <c r="D61" i="8"/>
  <c r="J26" i="3"/>
  <c r="I18" i="3"/>
  <c r="H49" i="7"/>
  <c r="H37" i="8" s="1"/>
  <c r="I41" i="7"/>
  <c r="I10" i="3"/>
  <c r="I11" i="3" s="1"/>
  <c r="G47" i="8"/>
  <c r="X20" i="8"/>
  <c r="I21" i="7"/>
  <c r="H19" i="7"/>
  <c r="H14" i="3"/>
  <c r="H58" i="8"/>
  <c r="I53" i="7"/>
  <c r="I28" i="8" s="1"/>
  <c r="J7" i="4"/>
  <c r="G40" i="8"/>
  <c r="F42" i="8"/>
  <c r="J7" i="3" l="1"/>
  <c r="I44" i="7"/>
  <c r="J11" i="4"/>
  <c r="J12" i="4" s="1"/>
  <c r="I43" i="7"/>
  <c r="E33" i="8"/>
  <c r="I13" i="3"/>
  <c r="I45" i="7"/>
  <c r="I22" i="3"/>
  <c r="I20" i="3"/>
  <c r="J50" i="7"/>
  <c r="J29" i="8" s="1"/>
  <c r="K24" i="3"/>
  <c r="G51" i="8"/>
  <c r="X47" i="8"/>
  <c r="X40" i="8"/>
  <c r="G42" i="8"/>
  <c r="X42" i="8" s="1"/>
  <c r="H17" i="8"/>
  <c r="I18" i="8"/>
  <c r="E8" i="10"/>
  <c r="E46" i="8"/>
  <c r="D23" i="8"/>
  <c r="H59" i="8"/>
  <c r="I54" i="7"/>
  <c r="I30" i="8" s="1"/>
  <c r="J13" i="4"/>
  <c r="J14" i="4" s="1"/>
  <c r="J54" i="7" l="1"/>
  <c r="J30" i="8" s="1"/>
  <c r="K13" i="4"/>
  <c r="I46" i="7"/>
  <c r="I48" i="8"/>
  <c r="I23" i="3"/>
  <c r="I48" i="7"/>
  <c r="I14" i="3"/>
  <c r="I19" i="7"/>
  <c r="E35" i="8"/>
  <c r="E36" i="8"/>
  <c r="H19" i="8"/>
  <c r="H20" i="8" s="1"/>
  <c r="I55" i="8"/>
  <c r="J53" i="7"/>
  <c r="J28" i="8" s="1"/>
  <c r="K7" i="4"/>
  <c r="J21" i="7"/>
  <c r="F8" i="10"/>
  <c r="G8" i="10" s="1"/>
  <c r="I8" i="10" s="1"/>
  <c r="D27" i="8"/>
  <c r="D31" i="8" s="1"/>
  <c r="E7" i="10" s="1"/>
  <c r="G7" i="10" s="1"/>
  <c r="I7" i="10" s="1"/>
  <c r="G60" i="8"/>
  <c r="X60" i="8" s="1"/>
  <c r="X51" i="8"/>
  <c r="E61" i="8"/>
  <c r="Y24" i="3"/>
  <c r="K25" i="3"/>
  <c r="J41" i="7"/>
  <c r="J10" i="3"/>
  <c r="H47" i="8" l="1"/>
  <c r="H40" i="8"/>
  <c r="E38" i="8"/>
  <c r="E43" i="8" s="1"/>
  <c r="I17" i="8"/>
  <c r="J43" i="7"/>
  <c r="F33" i="8"/>
  <c r="K51" i="7"/>
  <c r="Y51" i="7" s="1"/>
  <c r="Y25" i="3"/>
  <c r="I58" i="8"/>
  <c r="I59" i="8" s="1"/>
  <c r="E23" i="8"/>
  <c r="E27" i="8" s="1"/>
  <c r="E31" i="8" s="1"/>
  <c r="F46" i="8"/>
  <c r="I49" i="7"/>
  <c r="I37" i="8" s="1"/>
  <c r="J18" i="3"/>
  <c r="J11" i="3"/>
  <c r="K26" i="3"/>
  <c r="Y13" i="4"/>
  <c r="J18" i="8"/>
  <c r="K11" i="4"/>
  <c r="K14" i="4" s="1"/>
  <c r="K12" i="4"/>
  <c r="Y7" i="4"/>
  <c r="J45" i="7" l="1"/>
  <c r="J22" i="3"/>
  <c r="J20" i="3"/>
  <c r="I19" i="8"/>
  <c r="I20" i="8"/>
  <c r="J48" i="8"/>
  <c r="K54" i="7"/>
  <c r="Y14" i="4"/>
  <c r="L13" i="4"/>
  <c r="K50" i="7"/>
  <c r="Y26" i="3"/>
  <c r="L24" i="3"/>
  <c r="F35" i="8"/>
  <c r="F36" i="8"/>
  <c r="K7" i="3"/>
  <c r="J44" i="7"/>
  <c r="J13" i="3"/>
  <c r="J55" i="8"/>
  <c r="K53" i="7"/>
  <c r="L7" i="4"/>
  <c r="Y12" i="4"/>
  <c r="K21" i="7"/>
  <c r="Y11" i="4"/>
  <c r="F61" i="8"/>
  <c r="H51" i="8"/>
  <c r="H42" i="8"/>
  <c r="Y54" i="7" l="1"/>
  <c r="K30" i="8"/>
  <c r="Y30" i="8" s="1"/>
  <c r="J46" i="7"/>
  <c r="Y50" i="7"/>
  <c r="K29" i="8"/>
  <c r="Y29" i="8" s="1"/>
  <c r="G46" i="8"/>
  <c r="F23" i="8"/>
  <c r="F27" i="8" s="1"/>
  <c r="F31" i="8" s="1"/>
  <c r="K18" i="8"/>
  <c r="Y21" i="7"/>
  <c r="L11" i="4"/>
  <c r="L12" i="4" s="1"/>
  <c r="I47" i="8"/>
  <c r="J19" i="7"/>
  <c r="J14" i="3"/>
  <c r="K10" i="3"/>
  <c r="K11" i="3" s="1"/>
  <c r="K13" i="3" s="1"/>
  <c r="Y13" i="3" s="1"/>
  <c r="Y7" i="3"/>
  <c r="K41" i="7"/>
  <c r="Y41" i="7" s="1"/>
  <c r="F38" i="8"/>
  <c r="F43" i="8" s="1"/>
  <c r="Y53" i="7"/>
  <c r="K28" i="8"/>
  <c r="Y28" i="8" s="1"/>
  <c r="J48" i="7"/>
  <c r="J23" i="3"/>
  <c r="I40" i="8"/>
  <c r="H60" i="8"/>
  <c r="L25" i="3"/>
  <c r="L26" i="3" s="1"/>
  <c r="I51" i="8" l="1"/>
  <c r="L21" i="7"/>
  <c r="L51" i="7"/>
  <c r="K18" i="3"/>
  <c r="J49" i="7"/>
  <c r="J37" i="8" s="1"/>
  <c r="K48" i="8"/>
  <c r="Y48" i="8" s="1"/>
  <c r="Y18" i="8"/>
  <c r="K14" i="3"/>
  <c r="Y14" i="3" s="1"/>
  <c r="K19" i="7"/>
  <c r="G61" i="8"/>
  <c r="X46" i="8"/>
  <c r="L7" i="3"/>
  <c r="Y11" i="3"/>
  <c r="K44" i="7"/>
  <c r="K43" i="7"/>
  <c r="Y10" i="3"/>
  <c r="G33" i="8"/>
  <c r="L14" i="4"/>
  <c r="L53" i="7"/>
  <c r="L28" i="8" s="1"/>
  <c r="M7" i="4"/>
  <c r="M24" i="3"/>
  <c r="L50" i="7"/>
  <c r="L29" i="8" s="1"/>
  <c r="I42" i="8"/>
  <c r="J58" i="8"/>
  <c r="J17" i="8"/>
  <c r="L10" i="3" l="1"/>
  <c r="L11" i="3"/>
  <c r="L13" i="3" s="1"/>
  <c r="L41" i="7"/>
  <c r="M25" i="3"/>
  <c r="M11" i="4"/>
  <c r="M12" i="4" s="1"/>
  <c r="H46" i="8"/>
  <c r="G23" i="8"/>
  <c r="X61" i="8"/>
  <c r="L54" i="7"/>
  <c r="L30" i="8" s="1"/>
  <c r="M13" i="4"/>
  <c r="M14" i="4" s="1"/>
  <c r="K55" i="8"/>
  <c r="Y43" i="7"/>
  <c r="K45" i="7"/>
  <c r="Y45" i="7" s="1"/>
  <c r="K22" i="3"/>
  <c r="Y18" i="3"/>
  <c r="K20" i="3"/>
  <c r="X33" i="8"/>
  <c r="G35" i="8"/>
  <c r="G36" i="8"/>
  <c r="X36" i="8" s="1"/>
  <c r="Y19" i="7"/>
  <c r="J19" i="8"/>
  <c r="J20" i="8" s="1"/>
  <c r="L18" i="8"/>
  <c r="J59" i="8"/>
  <c r="Y44" i="7"/>
  <c r="I60" i="8"/>
  <c r="J47" i="8" l="1"/>
  <c r="J40" i="8"/>
  <c r="N7" i="4"/>
  <c r="M53" i="7"/>
  <c r="M28" i="8" s="1"/>
  <c r="L48" i="8"/>
  <c r="Y55" i="8"/>
  <c r="M54" i="7"/>
  <c r="M30" i="8" s="1"/>
  <c r="N13" i="4"/>
  <c r="X23" i="8"/>
  <c r="G27" i="8"/>
  <c r="H61" i="8"/>
  <c r="M21" i="7"/>
  <c r="G38" i="8"/>
  <c r="X35" i="8"/>
  <c r="M51" i="7"/>
  <c r="K46" i="7"/>
  <c r="Y20" i="3"/>
  <c r="M26" i="3"/>
  <c r="K48" i="7"/>
  <c r="Y22" i="3"/>
  <c r="L19" i="7"/>
  <c r="L14" i="3"/>
  <c r="M7" i="3"/>
  <c r="L44" i="7"/>
  <c r="K23" i="3"/>
  <c r="L43" i="7"/>
  <c r="H33" i="8"/>
  <c r="L55" i="8" l="1"/>
  <c r="N11" i="4"/>
  <c r="N12" i="4" s="1"/>
  <c r="I46" i="8"/>
  <c r="H23" i="8"/>
  <c r="H27" i="8" s="1"/>
  <c r="H31" i="8" s="1"/>
  <c r="M10" i="3"/>
  <c r="M11" i="3"/>
  <c r="M13" i="3"/>
  <c r="M41" i="7"/>
  <c r="Y48" i="7"/>
  <c r="K17" i="8"/>
  <c r="N24" i="3"/>
  <c r="M50" i="7"/>
  <c r="M29" i="8" s="1"/>
  <c r="K58" i="8"/>
  <c r="Y46" i="7"/>
  <c r="X38" i="8"/>
  <c r="G43" i="8"/>
  <c r="X43" i="8" s="1"/>
  <c r="G31" i="8"/>
  <c r="X31" i="8" s="1"/>
  <c r="X27" i="8"/>
  <c r="N14" i="4"/>
  <c r="H35" i="8"/>
  <c r="H36" i="8"/>
  <c r="L18" i="3"/>
  <c r="K49" i="7"/>
  <c r="Y23" i="3"/>
  <c r="J42" i="8"/>
  <c r="M18" i="8"/>
  <c r="J51" i="8"/>
  <c r="N54" i="7" l="1"/>
  <c r="N30" i="8" s="1"/>
  <c r="O13" i="4"/>
  <c r="M48" i="8"/>
  <c r="N21" i="7"/>
  <c r="Y49" i="7"/>
  <c r="K37" i="8"/>
  <c r="Y37" i="8" s="1"/>
  <c r="K19" i="8"/>
  <c r="Y19" i="8" s="1"/>
  <c r="K20" i="8"/>
  <c r="Y17" i="8"/>
  <c r="N7" i="3"/>
  <c r="M44" i="7"/>
  <c r="M43" i="7"/>
  <c r="I33" i="8"/>
  <c r="O7" i="4"/>
  <c r="N53" i="7"/>
  <c r="N28" i="8" s="1"/>
  <c r="N25" i="3"/>
  <c r="N26" i="3" s="1"/>
  <c r="L45" i="7"/>
  <c r="L22" i="3"/>
  <c r="L20" i="3"/>
  <c r="L23" i="3"/>
  <c r="H38" i="8"/>
  <c r="H43" i="8" s="1"/>
  <c r="M19" i="7"/>
  <c r="M14" i="3"/>
  <c r="J60" i="8"/>
  <c r="I61" i="8"/>
  <c r="Y58" i="8"/>
  <c r="K59" i="8"/>
  <c r="Y59" i="8" s="1"/>
  <c r="M55" i="8" l="1"/>
  <c r="K47" i="8"/>
  <c r="Y20" i="8"/>
  <c r="K40" i="8"/>
  <c r="N10" i="3"/>
  <c r="N11" i="3"/>
  <c r="N13" i="3"/>
  <c r="N41" i="7"/>
  <c r="L48" i="7"/>
  <c r="N50" i="7"/>
  <c r="N29" i="8" s="1"/>
  <c r="O24" i="3"/>
  <c r="J46" i="8"/>
  <c r="I23" i="8"/>
  <c r="I27" i="8" s="1"/>
  <c r="I31" i="8" s="1"/>
  <c r="O14" i="4"/>
  <c r="Z13" i="4"/>
  <c r="L49" i="7"/>
  <c r="L37" i="8" s="1"/>
  <c r="M18" i="3"/>
  <c r="L46" i="7"/>
  <c r="N51" i="7"/>
  <c r="N18" i="8"/>
  <c r="Z7" i="4"/>
  <c r="O11" i="4"/>
  <c r="I35" i="8"/>
  <c r="I36" i="8"/>
  <c r="L17" i="8" l="1"/>
  <c r="N48" i="8"/>
  <c r="N19" i="7"/>
  <c r="N14" i="3"/>
  <c r="N44" i="7"/>
  <c r="O7" i="3"/>
  <c r="N43" i="7"/>
  <c r="J33" i="8"/>
  <c r="M20" i="3"/>
  <c r="M45" i="7"/>
  <c r="M22" i="3"/>
  <c r="M23" i="3"/>
  <c r="O54" i="7"/>
  <c r="Z14" i="4"/>
  <c r="P13" i="4"/>
  <c r="L58" i="8"/>
  <c r="Y40" i="8"/>
  <c r="K42" i="8"/>
  <c r="Y42" i="8" s="1"/>
  <c r="I38" i="8"/>
  <c r="I43" i="8" s="1"/>
  <c r="J61" i="8"/>
  <c r="K51" i="8"/>
  <c r="Y47" i="8"/>
  <c r="O21" i="7"/>
  <c r="Z11" i="4"/>
  <c r="Z24" i="3"/>
  <c r="O25" i="3"/>
  <c r="O12" i="4"/>
  <c r="N55" i="8" l="1"/>
  <c r="P7" i="4"/>
  <c r="Z12" i="4"/>
  <c r="O53" i="7"/>
  <c r="L59" i="8"/>
  <c r="O51" i="7"/>
  <c r="Z51" i="7" s="1"/>
  <c r="Z25" i="3"/>
  <c r="M49" i="7"/>
  <c r="M37" i="8" s="1"/>
  <c r="N18" i="3"/>
  <c r="M48" i="7"/>
  <c r="Z54" i="7"/>
  <c r="O30" i="8"/>
  <c r="Z30" i="8" s="1"/>
  <c r="O26" i="3"/>
  <c r="L19" i="8"/>
  <c r="L20" i="8"/>
  <c r="K60" i="8"/>
  <c r="Y60" i="8" s="1"/>
  <c r="Y51" i="8"/>
  <c r="J35" i="8"/>
  <c r="J36" i="8"/>
  <c r="K46" i="8"/>
  <c r="J23" i="8"/>
  <c r="J27" i="8" s="1"/>
  <c r="J31" i="8" s="1"/>
  <c r="Z7" i="3"/>
  <c r="O41" i="7"/>
  <c r="Z41" i="7" s="1"/>
  <c r="O10" i="3"/>
  <c r="O11" i="3" s="1"/>
  <c r="O13" i="3" s="1"/>
  <c r="Z21" i="7"/>
  <c r="M46" i="7"/>
  <c r="O19" i="7" l="1"/>
  <c r="O14" i="3"/>
  <c r="Z14" i="3" s="1"/>
  <c r="Z13" i="3"/>
  <c r="P7" i="3"/>
  <c r="Z11" i="3"/>
  <c r="O44" i="7"/>
  <c r="M17" i="8"/>
  <c r="N20" i="3"/>
  <c r="N45" i="7"/>
  <c r="N22" i="3"/>
  <c r="N23" i="3"/>
  <c r="K61" i="8"/>
  <c r="Y46" i="8"/>
  <c r="J38" i="8"/>
  <c r="J43" i="8" s="1"/>
  <c r="M58" i="8"/>
  <c r="O18" i="8"/>
  <c r="L47" i="8"/>
  <c r="L40" i="8"/>
  <c r="Z53" i="7"/>
  <c r="O28" i="8"/>
  <c r="Z28" i="8" s="1"/>
  <c r="Z26" i="3"/>
  <c r="O50" i="7"/>
  <c r="P24" i="3"/>
  <c r="P11" i="4"/>
  <c r="O43" i="7"/>
  <c r="K33" i="8"/>
  <c r="Z10" i="3"/>
  <c r="M59" i="8" l="1"/>
  <c r="O55" i="8"/>
  <c r="Z43" i="7"/>
  <c r="N46" i="7"/>
  <c r="M19" i="8"/>
  <c r="M20" i="8"/>
  <c r="M40" i="8" s="1"/>
  <c r="L42" i="8"/>
  <c r="Z44" i="7"/>
  <c r="L51" i="8"/>
  <c r="P10" i="3"/>
  <c r="P41" i="7"/>
  <c r="O48" i="8"/>
  <c r="Z48" i="8" s="1"/>
  <c r="Z18" i="8"/>
  <c r="Y33" i="8"/>
  <c r="K35" i="8"/>
  <c r="K36" i="8"/>
  <c r="Y36" i="8" s="1"/>
  <c r="P21" i="7"/>
  <c r="P14" i="4"/>
  <c r="P12" i="4"/>
  <c r="L46" i="8"/>
  <c r="K23" i="8"/>
  <c r="Y61" i="8"/>
  <c r="P25" i="3"/>
  <c r="P26" i="3" s="1"/>
  <c r="N49" i="7"/>
  <c r="N37" i="8" s="1"/>
  <c r="O18" i="3"/>
  <c r="Z50" i="7"/>
  <c r="O29" i="8"/>
  <c r="Z29" i="8" s="1"/>
  <c r="N48" i="7"/>
  <c r="Z19" i="7"/>
  <c r="P43" i="7" l="1"/>
  <c r="L33" i="8"/>
  <c r="L60" i="8"/>
  <c r="Q7" i="4"/>
  <c r="P53" i="7"/>
  <c r="P28" i="8" s="1"/>
  <c r="P54" i="7"/>
  <c r="P30" i="8" s="1"/>
  <c r="Q13" i="4"/>
  <c r="M47" i="8"/>
  <c r="N58" i="8"/>
  <c r="O20" i="3"/>
  <c r="Z18" i="3"/>
  <c r="O45" i="7"/>
  <c r="Z45" i="7" s="1"/>
  <c r="O22" i="3"/>
  <c r="O23" i="3"/>
  <c r="Z55" i="8"/>
  <c r="P11" i="3"/>
  <c r="P50" i="7"/>
  <c r="P29" i="8" s="1"/>
  <c r="Q24" i="3"/>
  <c r="K27" i="8"/>
  <c r="Y23" i="8"/>
  <c r="L61" i="8"/>
  <c r="M42" i="8"/>
  <c r="Y35" i="8"/>
  <c r="K38" i="8"/>
  <c r="N17" i="8"/>
  <c r="P51" i="7"/>
  <c r="P18" i="8" s="1"/>
  <c r="M51" i="8" l="1"/>
  <c r="K31" i="8"/>
  <c r="Y31" i="8" s="1"/>
  <c r="Y27" i="8"/>
  <c r="P48" i="8"/>
  <c r="Q25" i="3"/>
  <c r="Q26" i="3"/>
  <c r="M46" i="8"/>
  <c r="L23" i="8"/>
  <c r="L27" i="8" s="1"/>
  <c r="L31" i="8" s="1"/>
  <c r="P44" i="7"/>
  <c r="Q7" i="3"/>
  <c r="P13" i="3"/>
  <c r="Q11" i="4"/>
  <c r="Q12" i="4" s="1"/>
  <c r="O49" i="7"/>
  <c r="Z23" i="3"/>
  <c r="P18" i="3"/>
  <c r="O48" i="7"/>
  <c r="Z22" i="3"/>
  <c r="N19" i="8"/>
  <c r="N20" i="8" s="1"/>
  <c r="L35" i="8"/>
  <c r="L36" i="8"/>
  <c r="K43" i="8"/>
  <c r="Y43" i="8" s="1"/>
  <c r="Y38" i="8"/>
  <c r="O46" i="7"/>
  <c r="Z20" i="3"/>
  <c r="N59" i="8"/>
  <c r="P55" i="8"/>
  <c r="Q14" i="4" l="1"/>
  <c r="R7" i="4"/>
  <c r="Q53" i="7"/>
  <c r="Q28" i="8" s="1"/>
  <c r="Q41" i="7"/>
  <c r="Q10" i="3"/>
  <c r="L38" i="8"/>
  <c r="L43" i="8" s="1"/>
  <c r="Q51" i="7"/>
  <c r="Z49" i="7"/>
  <c r="O37" i="8"/>
  <c r="Z37" i="8" s="1"/>
  <c r="O58" i="8"/>
  <c r="Z46" i="7"/>
  <c r="P19" i="7"/>
  <c r="P14" i="3"/>
  <c r="N47" i="8"/>
  <c r="N40" i="8"/>
  <c r="Q54" i="7"/>
  <c r="Q30" i="8" s="1"/>
  <c r="R13" i="4"/>
  <c r="R24" i="3"/>
  <c r="Q50" i="7"/>
  <c r="Q29" i="8" s="1"/>
  <c r="O17" i="8"/>
  <c r="Z48" i="7"/>
  <c r="P20" i="3"/>
  <c r="P23" i="3" s="1"/>
  <c r="P45" i="7"/>
  <c r="P22" i="3"/>
  <c r="Q21" i="7"/>
  <c r="M60" i="8"/>
  <c r="P49" i="7" l="1"/>
  <c r="P37" i="8" s="1"/>
  <c r="Q18" i="3"/>
  <c r="O19" i="8"/>
  <c r="Z19" i="8" s="1"/>
  <c r="Z17" i="8"/>
  <c r="O59" i="8"/>
  <c r="Z59" i="8" s="1"/>
  <c r="Z58" i="8"/>
  <c r="R25" i="3"/>
  <c r="R26" i="3"/>
  <c r="R14" i="4"/>
  <c r="M61" i="8"/>
  <c r="Q18" i="8"/>
  <c r="N42" i="8"/>
  <c r="N51" i="8"/>
  <c r="Q43" i="7"/>
  <c r="M33" i="8"/>
  <c r="Q11" i="3"/>
  <c r="P48" i="7"/>
  <c r="P46" i="7"/>
  <c r="R11" i="4"/>
  <c r="O20" i="8" l="1"/>
  <c r="P58" i="8"/>
  <c r="R54" i="7"/>
  <c r="R30" i="8" s="1"/>
  <c r="S13" i="4"/>
  <c r="M23" i="8"/>
  <c r="M27" i="8" s="1"/>
  <c r="M31" i="8" s="1"/>
  <c r="N46" i="8"/>
  <c r="Q48" i="8"/>
  <c r="R50" i="7"/>
  <c r="R29" i="8" s="1"/>
  <c r="S24" i="3"/>
  <c r="R51" i="7"/>
  <c r="N60" i="8"/>
  <c r="R7" i="3"/>
  <c r="Q44" i="7"/>
  <c r="Q13" i="3"/>
  <c r="M35" i="8"/>
  <c r="M36" i="8"/>
  <c r="P17" i="8"/>
  <c r="Q55" i="8"/>
  <c r="R21" i="7"/>
  <c r="O47" i="8"/>
  <c r="Z20" i="8"/>
  <c r="R12" i="4"/>
  <c r="O40" i="8"/>
  <c r="Q20" i="3"/>
  <c r="Q45" i="7"/>
  <c r="Q22" i="3"/>
  <c r="R53" i="7" l="1"/>
  <c r="R28" i="8" s="1"/>
  <c r="S7" i="4"/>
  <c r="Q46" i="7"/>
  <c r="Q23" i="3"/>
  <c r="Z40" i="8"/>
  <c r="O42" i="8"/>
  <c r="Z42" i="8" s="1"/>
  <c r="O51" i="8"/>
  <c r="Z47" i="8"/>
  <c r="S25" i="3"/>
  <c r="S26" i="3"/>
  <c r="AA24" i="3"/>
  <c r="N61" i="8"/>
  <c r="R18" i="8"/>
  <c r="AA13" i="4"/>
  <c r="Q48" i="7"/>
  <c r="P59" i="8"/>
  <c r="P19" i="8"/>
  <c r="P20" i="8" s="1"/>
  <c r="M38" i="8"/>
  <c r="M43" i="8" s="1"/>
  <c r="Q14" i="3"/>
  <c r="Q19" i="7"/>
  <c r="R41" i="7"/>
  <c r="R10" i="3"/>
  <c r="R11" i="3" s="1"/>
  <c r="P47" i="8" l="1"/>
  <c r="P40" i="8"/>
  <c r="S50" i="7"/>
  <c r="AA26" i="3"/>
  <c r="T24" i="3"/>
  <c r="O60" i="8"/>
  <c r="Z60" i="8" s="1"/>
  <c r="Z51" i="8"/>
  <c r="Q17" i="8"/>
  <c r="S51" i="7"/>
  <c r="AA51" i="7" s="1"/>
  <c r="AA25" i="3"/>
  <c r="R44" i="7"/>
  <c r="S7" i="3"/>
  <c r="R43" i="7"/>
  <c r="N33" i="8"/>
  <c r="R13" i="3"/>
  <c r="Q49" i="7"/>
  <c r="Q37" i="8" s="1"/>
  <c r="R18" i="3"/>
  <c r="R48" i="8"/>
  <c r="N23" i="8"/>
  <c r="N27" i="8" s="1"/>
  <c r="N31" i="8" s="1"/>
  <c r="O46" i="8"/>
  <c r="AA7" i="4"/>
  <c r="S11" i="4"/>
  <c r="Q58" i="8"/>
  <c r="AA7" i="3" l="1"/>
  <c r="S10" i="3"/>
  <c r="S11" i="3"/>
  <c r="S41" i="7"/>
  <c r="AA41" i="7" s="1"/>
  <c r="R55" i="8"/>
  <c r="R45" i="7"/>
  <c r="R22" i="3"/>
  <c r="R20" i="3"/>
  <c r="R23" i="3" s="1"/>
  <c r="T25" i="3"/>
  <c r="N35" i="8"/>
  <c r="N36" i="8"/>
  <c r="O61" i="8"/>
  <c r="Z46" i="8"/>
  <c r="Q19" i="8"/>
  <c r="Q20" i="8" s="1"/>
  <c r="R14" i="3"/>
  <c r="R19" i="7"/>
  <c r="AA50" i="7"/>
  <c r="S29" i="8"/>
  <c r="AA29" i="8" s="1"/>
  <c r="Q59" i="8"/>
  <c r="P51" i="8"/>
  <c r="S21" i="7"/>
  <c r="AA11" i="4"/>
  <c r="S14" i="4"/>
  <c r="S12" i="4"/>
  <c r="P42" i="8"/>
  <c r="R49" i="7" l="1"/>
  <c r="R37" i="8" s="1"/>
  <c r="S18" i="3"/>
  <c r="S18" i="8"/>
  <c r="AA21" i="7"/>
  <c r="N38" i="8"/>
  <c r="N43" i="8" s="1"/>
  <c r="P60" i="8"/>
  <c r="Q47" i="8"/>
  <c r="T51" i="7"/>
  <c r="T26" i="3"/>
  <c r="R46" i="7"/>
  <c r="R48" i="7"/>
  <c r="R17" i="8" s="1"/>
  <c r="Q40" i="8"/>
  <c r="S44" i="7"/>
  <c r="T7" i="3"/>
  <c r="AA11" i="3"/>
  <c r="S53" i="7"/>
  <c r="AA12" i="4"/>
  <c r="T7" i="4"/>
  <c r="S43" i="7"/>
  <c r="O33" i="8"/>
  <c r="AA10" i="3"/>
  <c r="AA14" i="4"/>
  <c r="T13" i="4"/>
  <c r="S54" i="7"/>
  <c r="S13" i="3"/>
  <c r="O23" i="8"/>
  <c r="P46" i="8"/>
  <c r="Z61" i="8"/>
  <c r="S55" i="8" l="1"/>
  <c r="AA43" i="7"/>
  <c r="T11" i="4"/>
  <c r="AA53" i="7"/>
  <c r="S28" i="8"/>
  <c r="AA28" i="8" s="1"/>
  <c r="Q51" i="8"/>
  <c r="O27" i="8"/>
  <c r="Z23" i="8"/>
  <c r="R19" i="8"/>
  <c r="R20" i="8" s="1"/>
  <c r="S30" i="8"/>
  <c r="AA30" i="8" s="1"/>
  <c r="AA54" i="7"/>
  <c r="T50" i="7"/>
  <c r="T29" i="8" s="1"/>
  <c r="U24" i="3"/>
  <c r="AA44" i="7"/>
  <c r="Z33" i="8"/>
  <c r="O35" i="8"/>
  <c r="O36" i="8"/>
  <c r="Z36" i="8" s="1"/>
  <c r="S20" i="3"/>
  <c r="S23" i="3"/>
  <c r="S45" i="7"/>
  <c r="AA45" i="7" s="1"/>
  <c r="AA18" i="3"/>
  <c r="S22" i="3"/>
  <c r="P61" i="8"/>
  <c r="T41" i="7"/>
  <c r="T10" i="3"/>
  <c r="S14" i="3"/>
  <c r="AA14" i="3" s="1"/>
  <c r="S19" i="7"/>
  <c r="AA13" i="3"/>
  <c r="Q42" i="8"/>
  <c r="T14" i="4"/>
  <c r="S48" i="8"/>
  <c r="AA48" i="8" s="1"/>
  <c r="AA18" i="8"/>
  <c r="R58" i="8"/>
  <c r="R59" i="8" l="1"/>
  <c r="S48" i="7"/>
  <c r="AA48" i="7" s="1"/>
  <c r="AA22" i="3"/>
  <c r="P23" i="8"/>
  <c r="P27" i="8" s="1"/>
  <c r="P31" i="8" s="1"/>
  <c r="Q46" i="8"/>
  <c r="T54" i="7"/>
  <c r="T30" i="8" s="1"/>
  <c r="U13" i="4"/>
  <c r="S46" i="7"/>
  <c r="AA20" i="3"/>
  <c r="Z27" i="8"/>
  <c r="O31" i="8"/>
  <c r="Z31" i="8" s="1"/>
  <c r="O38" i="8"/>
  <c r="Z35" i="8"/>
  <c r="Q60" i="8"/>
  <c r="T21" i="7"/>
  <c r="T43" i="7"/>
  <c r="P33" i="8"/>
  <c r="T12" i="4"/>
  <c r="R47" i="8"/>
  <c r="AA23" i="3"/>
  <c r="S49" i="7"/>
  <c r="T18" i="3"/>
  <c r="R40" i="8"/>
  <c r="AA19" i="7"/>
  <c r="T11" i="3"/>
  <c r="U25" i="3"/>
  <c r="AA55" i="8"/>
  <c r="R51" i="8" l="1"/>
  <c r="T45" i="7"/>
  <c r="T22" i="3"/>
  <c r="T20" i="3"/>
  <c r="T23" i="3" s="1"/>
  <c r="S58" i="8"/>
  <c r="AA46" i="7"/>
  <c r="P35" i="8"/>
  <c r="P36" i="8"/>
  <c r="T53" i="7"/>
  <c r="T28" i="8" s="1"/>
  <c r="U7" i="4"/>
  <c r="U51" i="7"/>
  <c r="T18" i="8"/>
  <c r="O43" i="8"/>
  <c r="Z43" i="8" s="1"/>
  <c r="Z38" i="8"/>
  <c r="U26" i="3"/>
  <c r="S17" i="8"/>
  <c r="S37" i="8"/>
  <c r="AA37" i="8" s="1"/>
  <c r="AA49" i="7"/>
  <c r="Q61" i="8"/>
  <c r="T55" i="8"/>
  <c r="T44" i="7"/>
  <c r="U7" i="3"/>
  <c r="T13" i="3"/>
  <c r="R42" i="8"/>
  <c r="P38" i="8" l="1"/>
  <c r="P43" i="8" s="1"/>
  <c r="T49" i="7"/>
  <c r="T37" i="8" s="1"/>
  <c r="U18" i="3"/>
  <c r="U11" i="4"/>
  <c r="T48" i="8"/>
  <c r="T14" i="3"/>
  <c r="T19" i="7"/>
  <c r="Q23" i="8"/>
  <c r="Q27" i="8" s="1"/>
  <c r="Q31" i="8" s="1"/>
  <c r="R46" i="8"/>
  <c r="T48" i="7"/>
  <c r="T46" i="7"/>
  <c r="S19" i="8"/>
  <c r="AA19" i="8" s="1"/>
  <c r="AA17" i="8"/>
  <c r="U41" i="7"/>
  <c r="U11" i="3"/>
  <c r="U10" i="3"/>
  <c r="AA58" i="8"/>
  <c r="S59" i="8"/>
  <c r="AA59" i="8" s="1"/>
  <c r="U50" i="7"/>
  <c r="U29" i="8" s="1"/>
  <c r="V24" i="3"/>
  <c r="R60" i="8"/>
  <c r="S20" i="8" l="1"/>
  <c r="T17" i="8"/>
  <c r="U44" i="7"/>
  <c r="V7" i="3"/>
  <c r="U13" i="3"/>
  <c r="U21" i="7"/>
  <c r="U14" i="4"/>
  <c r="T58" i="8"/>
  <c r="U12" i="4"/>
  <c r="V25" i="3"/>
  <c r="U43" i="7"/>
  <c r="Q33" i="8"/>
  <c r="U22" i="3"/>
  <c r="U20" i="3"/>
  <c r="U45" i="7"/>
  <c r="U23" i="3"/>
  <c r="R61" i="8"/>
  <c r="S47" i="8"/>
  <c r="AA20" i="8"/>
  <c r="S40" i="8"/>
  <c r="U19" i="7" l="1"/>
  <c r="U14" i="3"/>
  <c r="V51" i="7"/>
  <c r="S51" i="8"/>
  <c r="AA47" i="8"/>
  <c r="U46" i="7"/>
  <c r="V41" i="7"/>
  <c r="V10" i="3"/>
  <c r="V11" i="3" s="1"/>
  <c r="V13" i="3" s="1"/>
  <c r="V7" i="4"/>
  <c r="U53" i="7"/>
  <c r="U28" i="8" s="1"/>
  <c r="V18" i="3"/>
  <c r="U49" i="7"/>
  <c r="U37" i="8" s="1"/>
  <c r="V13" i="4"/>
  <c r="U54" i="7"/>
  <c r="U30" i="8" s="1"/>
  <c r="U18" i="8"/>
  <c r="U48" i="7"/>
  <c r="Q35" i="8"/>
  <c r="Q36" i="8"/>
  <c r="T19" i="8"/>
  <c r="T20" i="8" s="1"/>
  <c r="U55" i="8"/>
  <c r="AA40" i="8"/>
  <c r="S42" i="8"/>
  <c r="AA42" i="8" s="1"/>
  <c r="V26" i="3"/>
  <c r="T59" i="8"/>
  <c r="S46" i="8"/>
  <c r="R23" i="8"/>
  <c r="R27" i="8" s="1"/>
  <c r="R31" i="8" s="1"/>
  <c r="T47" i="8" l="1"/>
  <c r="T40" i="8"/>
  <c r="V19" i="7"/>
  <c r="V14" i="3"/>
  <c r="V43" i="7"/>
  <c r="R33" i="8"/>
  <c r="S60" i="8"/>
  <c r="AA60" i="8" s="1"/>
  <c r="AA51" i="8"/>
  <c r="Q38" i="8"/>
  <c r="Q43" i="8" s="1"/>
  <c r="U58" i="8"/>
  <c r="U59" i="8" s="1"/>
  <c r="AA46" i="8"/>
  <c r="V50" i="7"/>
  <c r="V29" i="8" s="1"/>
  <c r="W24" i="3"/>
  <c r="V14" i="4"/>
  <c r="V20" i="3"/>
  <c r="V23" i="3" s="1"/>
  <c r="V45" i="7"/>
  <c r="V22" i="3"/>
  <c r="V11" i="4"/>
  <c r="W7" i="3"/>
  <c r="V44" i="7"/>
  <c r="U48" i="8"/>
  <c r="U17" i="8"/>
  <c r="V55" i="8" l="1"/>
  <c r="T42" i="8"/>
  <c r="V48" i="7"/>
  <c r="V46" i="7"/>
  <c r="W25" i="3"/>
  <c r="AB24" i="3"/>
  <c r="U19" i="8"/>
  <c r="V21" i="7"/>
  <c r="W18" i="3"/>
  <c r="V49" i="7"/>
  <c r="V37" i="8" s="1"/>
  <c r="W13" i="4"/>
  <c r="V54" i="7"/>
  <c r="V30" i="8" s="1"/>
  <c r="R35" i="8"/>
  <c r="R36" i="8"/>
  <c r="S61" i="8"/>
  <c r="AB7" i="3"/>
  <c r="W41" i="7"/>
  <c r="AB41" i="7" s="1"/>
  <c r="W10" i="3"/>
  <c r="E25" i="10"/>
  <c r="G25" i="10" s="1"/>
  <c r="I25" i="10" s="1"/>
  <c r="V12" i="4"/>
  <c r="T51" i="8"/>
  <c r="W51" i="7" l="1"/>
  <c r="AB51" i="7" s="1"/>
  <c r="AB25" i="3"/>
  <c r="W26" i="3"/>
  <c r="U20" i="8"/>
  <c r="S23" i="8"/>
  <c r="T46" i="8"/>
  <c r="AA61" i="8"/>
  <c r="R38" i="8"/>
  <c r="R43" i="8" s="1"/>
  <c r="V18" i="8"/>
  <c r="V59" i="8"/>
  <c r="W43" i="7"/>
  <c r="V33" i="8"/>
  <c r="E26" i="10"/>
  <c r="G26" i="10" s="1"/>
  <c r="I26" i="10" s="1"/>
  <c r="U33" i="8"/>
  <c r="T33" i="8"/>
  <c r="S33" i="8"/>
  <c r="AB10" i="3"/>
  <c r="W11" i="3"/>
  <c r="V58" i="8"/>
  <c r="AB13" i="4"/>
  <c r="E36" i="10"/>
  <c r="G36" i="10" s="1"/>
  <c r="I36" i="10" s="1"/>
  <c r="T60" i="8"/>
  <c r="W22" i="3"/>
  <c r="W20" i="3"/>
  <c r="AB18" i="3"/>
  <c r="W45" i="7"/>
  <c r="AB45" i="7" s="1"/>
  <c r="E30" i="10"/>
  <c r="G30" i="10" s="1"/>
  <c r="I30" i="10" s="1"/>
  <c r="V53" i="7"/>
  <c r="V28" i="8" s="1"/>
  <c r="W7" i="4"/>
  <c r="V17" i="8"/>
  <c r="T61" i="8" l="1"/>
  <c r="W55" i="8"/>
  <c r="AB43" i="7"/>
  <c r="V48" i="8"/>
  <c r="V19" i="8"/>
  <c r="V20" i="8"/>
  <c r="V47" i="8" s="1"/>
  <c r="V51" i="8" s="1"/>
  <c r="V60" i="8" s="1"/>
  <c r="AB11" i="3"/>
  <c r="W44" i="7"/>
  <c r="E27" i="10"/>
  <c r="G27" i="10" s="1"/>
  <c r="I27" i="10" s="1"/>
  <c r="W13" i="3"/>
  <c r="S27" i="8"/>
  <c r="AA23" i="8"/>
  <c r="T35" i="8"/>
  <c r="T36" i="8"/>
  <c r="W50" i="7"/>
  <c r="AB26" i="3"/>
  <c r="U35" i="8"/>
  <c r="U36" i="8"/>
  <c r="W48" i="7"/>
  <c r="AB48" i="7" s="1"/>
  <c r="AB22" i="3"/>
  <c r="W46" i="7"/>
  <c r="E31" i="10"/>
  <c r="G31" i="10" s="1"/>
  <c r="I31" i="10" s="1"/>
  <c r="AB20" i="3"/>
  <c r="V35" i="8"/>
  <c r="V36" i="8"/>
  <c r="W11" i="4"/>
  <c r="AB7" i="4"/>
  <c r="W12" i="4"/>
  <c r="E33" i="10"/>
  <c r="G33" i="10" s="1"/>
  <c r="I33" i="10" s="1"/>
  <c r="U47" i="8"/>
  <c r="U40" i="8"/>
  <c r="AA33" i="8"/>
  <c r="S35" i="8"/>
  <c r="S36" i="8"/>
  <c r="AA36" i="8" s="1"/>
  <c r="W23" i="3"/>
  <c r="E13" i="10"/>
  <c r="G13" i="10" s="1"/>
  <c r="I13" i="10" s="1"/>
  <c r="AB50" i="7" l="1"/>
  <c r="W29" i="8"/>
  <c r="AB29" i="8" s="1"/>
  <c r="AB12" i="4"/>
  <c r="W53" i="7"/>
  <c r="E35" i="10"/>
  <c r="G35" i="10" s="1"/>
  <c r="I35" i="10" s="1"/>
  <c r="AB55" i="8"/>
  <c r="W19" i="7"/>
  <c r="W14" i="3"/>
  <c r="E28" i="10"/>
  <c r="G28" i="10" s="1"/>
  <c r="I28" i="10" s="1"/>
  <c r="AB13" i="3"/>
  <c r="W58" i="8"/>
  <c r="AB58" i="8" s="1"/>
  <c r="AB46" i="7"/>
  <c r="V40" i="8"/>
  <c r="U42" i="8"/>
  <c r="U38" i="8"/>
  <c r="U43" i="8" s="1"/>
  <c r="T38" i="8"/>
  <c r="T43" i="8" s="1"/>
  <c r="T23" i="8"/>
  <c r="T27" i="8" s="1"/>
  <c r="T31" i="8" s="1"/>
  <c r="U46" i="8"/>
  <c r="S31" i="8"/>
  <c r="AA31" i="8" s="1"/>
  <c r="AA27" i="8"/>
  <c r="V38" i="8"/>
  <c r="W36" i="8"/>
  <c r="AB44" i="7"/>
  <c r="W49" i="7"/>
  <c r="AB23" i="3"/>
  <c r="E32" i="10"/>
  <c r="G32" i="10" s="1"/>
  <c r="I32" i="10" s="1"/>
  <c r="AA35" i="8"/>
  <c r="S38" i="8"/>
  <c r="U51" i="8"/>
  <c r="W21" i="7"/>
  <c r="E34" i="10"/>
  <c r="G34" i="10" s="1"/>
  <c r="I34" i="10" s="1"/>
  <c r="AB11" i="4"/>
  <c r="W14" i="4"/>
  <c r="W37" i="8" l="1"/>
  <c r="AB37" i="8" s="1"/>
  <c r="AB49" i="7"/>
  <c r="W17" i="8"/>
  <c r="AB19" i="7"/>
  <c r="U61" i="8"/>
  <c r="AB53" i="7"/>
  <c r="W28" i="8"/>
  <c r="AB28" i="8" s="1"/>
  <c r="W18" i="8"/>
  <c r="AB21" i="7"/>
  <c r="E29" i="10"/>
  <c r="G29" i="10" s="1"/>
  <c r="I29" i="10" s="1"/>
  <c r="AB14" i="3"/>
  <c r="W59" i="8"/>
  <c r="AB59" i="8" s="1"/>
  <c r="AB14" i="4"/>
  <c r="W54" i="7"/>
  <c r="E160" i="10"/>
  <c r="E37" i="10"/>
  <c r="G37" i="10" s="1"/>
  <c r="I37" i="10" s="1"/>
  <c r="U60" i="8"/>
  <c r="AA38" i="8"/>
  <c r="S43" i="8"/>
  <c r="AA43" i="8" s="1"/>
  <c r="AB36" i="8"/>
  <c r="W38" i="8"/>
  <c r="V42" i="8"/>
  <c r="V43" i="8" s="1"/>
  <c r="E159" i="10"/>
  <c r="AB54" i="7" l="1"/>
  <c r="W30" i="8"/>
  <c r="AB30" i="8" s="1"/>
  <c r="E162" i="10"/>
  <c r="AB38" i="8"/>
  <c r="W19" i="8"/>
  <c r="AB19" i="8" s="1"/>
  <c r="W20" i="8"/>
  <c r="AB17" i="8"/>
  <c r="I160" i="10"/>
  <c r="G160" i="10"/>
  <c r="I159" i="10"/>
  <c r="G159" i="10"/>
  <c r="W48" i="8"/>
  <c r="AB48" i="8" s="1"/>
  <c r="AB18" i="8"/>
  <c r="U23" i="8"/>
  <c r="U27" i="8" s="1"/>
  <c r="U31" i="8" s="1"/>
  <c r="V46" i="8"/>
  <c r="G162" i="10" l="1"/>
  <c r="I162" i="10"/>
  <c r="E168" i="10"/>
  <c r="G168" i="10" s="1"/>
  <c r="I168" i="10" s="1"/>
  <c r="W47" i="8"/>
  <c r="AB20" i="8"/>
  <c r="W40" i="8"/>
  <c r="V61" i="8"/>
  <c r="V23" i="8" l="1"/>
  <c r="V27" i="8" s="1"/>
  <c r="V31" i="8" s="1"/>
  <c r="W46" i="8"/>
  <c r="W51" i="8"/>
  <c r="AB47" i="8"/>
  <c r="AB40" i="8"/>
  <c r="W42" i="8"/>
  <c r="AB42" i="8" l="1"/>
  <c r="W43" i="8"/>
  <c r="W60" i="8"/>
  <c r="AB60" i="8" s="1"/>
  <c r="AB51" i="8"/>
  <c r="W61" i="8"/>
  <c r="AB46" i="8"/>
  <c r="E172" i="10" l="1"/>
  <c r="G172" i="10" s="1"/>
  <c r="I172" i="10" s="1"/>
  <c r="E10" i="10"/>
  <c r="W23" i="8"/>
  <c r="AB61" i="8"/>
  <c r="E171" i="10"/>
  <c r="G171" i="10" s="1"/>
  <c r="I171" i="10" s="1"/>
  <c r="AB43" i="8"/>
  <c r="F9" i="10"/>
  <c r="E169" i="10" l="1"/>
  <c r="G169" i="10" s="1"/>
  <c r="I169" i="10" s="1"/>
  <c r="F10" i="10"/>
  <c r="AB23" i="8"/>
  <c r="W27" i="8"/>
  <c r="G10" i="10"/>
  <c r="I10" i="10" s="1"/>
  <c r="AB27" i="8" l="1"/>
  <c r="W31" i="8"/>
  <c r="E163" i="10"/>
  <c r="I163" i="10" l="1"/>
  <c r="G163" i="10"/>
  <c r="AB31" i="8"/>
  <c r="E170" i="10"/>
  <c r="G170" i="10" s="1"/>
  <c r="I170" i="10" s="1"/>
  <c r="E9" i="10"/>
  <c r="G9" i="10" s="1"/>
  <c r="I9" i="10" s="1"/>
  <c r="B2" i="10" s="1"/>
</calcChain>
</file>

<file path=xl/sharedStrings.xml><?xml version="1.0" encoding="utf-8"?>
<sst xmlns="http://schemas.openxmlformats.org/spreadsheetml/2006/main" count="1869" uniqueCount="677">
  <si>
    <t>FINMO</t>
  </si>
  <si>
    <t>Three-statement financial model. All formulas reference Model Inputs and in-sheet statement rows.</t>
  </si>
  <si>
    <t>Stub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</si>
  <si>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</si>
  <si>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</si>
  <si>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</si>
  <si>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</si>
  <si>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</si>
  <si>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</si>
  <si>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</si>
  <si>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</si>
  <si>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</si>
  <si>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</si>
  <si>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</si>
  <si>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</si>
  <si>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</si>
  <si>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</si>
  <si>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</si>
  <si>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</si>
  <si>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</si>
  <si>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</si>
  <si>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</si>
  <si>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</si>
  <si>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Y1</t>
  </si>
  <si>
    <t>Y2</t>
  </si>
  <si>
    <t>Y3</t>
  </si>
  <si>
    <t>Y4</t>
  </si>
  <si>
    <t>Y5</t>
  </si>
  <si>
    <t>Annual</t>
  </si>
  <si>
    <t>Days in Quarter</t>
  </si>
  <si>
    <t>Income Statement</t>
  </si>
  <si>
    <t>Revenue</t>
  </si>
  <si>
    <t>Formula</t>
  </si>
  <si>
    <t>Cost of Goods Sold</t>
  </si>
  <si>
    <t>Gross Profit</t>
  </si>
  <si>
    <t>Marketing</t>
  </si>
  <si>
    <t>Research &amp; Development</t>
  </si>
  <si>
    <t>Lease/Rent</t>
  </si>
  <si>
    <t>Payroll</t>
  </si>
  <si>
    <t>General &amp; Administrative</t>
  </si>
  <si>
    <t>EBITDA</t>
  </si>
  <si>
    <t>Interest</t>
  </si>
  <si>
    <t>Depreciation</t>
  </si>
  <si>
    <t>Taxes</t>
  </si>
  <si>
    <t>Net Income</t>
  </si>
  <si>
    <t>Balance Sheet</t>
  </si>
  <si>
    <t>Cash</t>
  </si>
  <si>
    <t>Accounts Receivable</t>
  </si>
  <si>
    <t>Inventory</t>
  </si>
  <si>
    <t>Prepaid Expenses</t>
  </si>
  <si>
    <t>Current Assets</t>
  </si>
  <si>
    <t>PPE</t>
  </si>
  <si>
    <t>Right-of-Use Asset (Capital Lease)</t>
  </si>
  <si>
    <t>Accumulated Depreciation</t>
  </si>
  <si>
    <t>Total Assets</t>
  </si>
  <si>
    <t>Accounts Payable</t>
  </si>
  <si>
    <t>Short Term Debt</t>
  </si>
  <si>
    <t>Deferred Revenue</t>
  </si>
  <si>
    <t>Current Liabilities</t>
  </si>
  <si>
    <t>Long Term Debt</t>
  </si>
  <si>
    <t>Capital Lease Obligation</t>
  </si>
  <si>
    <t>Total Liabilities</t>
  </si>
  <si>
    <t>Owner's Capital</t>
  </si>
  <si>
    <t>Retained Earnings</t>
  </si>
  <si>
    <t>Other Equity</t>
  </si>
  <si>
    <t>Total Equity</t>
  </si>
  <si>
    <t>Total Liabilities &amp; Equity</t>
  </si>
  <si>
    <t>Cash Flow</t>
  </si>
  <si>
    <t>Beginning Cash</t>
  </si>
  <si>
    <t>Changes in Current Assets</t>
  </si>
  <si>
    <t>Changes in Current Liabilities</t>
  </si>
  <si>
    <t>Operating Cash Flow</t>
  </si>
  <si>
    <t>Capital Expenditures</t>
  </si>
  <si>
    <t>Investing Cash Flow</t>
  </si>
  <si>
    <t>Debt Issuance (New Borrowing)</t>
  </si>
  <si>
    <t>Debt Repayment</t>
  </si>
  <si>
    <t>Equity</t>
  </si>
  <si>
    <t>Distributions</t>
  </si>
  <si>
    <t>Capital Lease Principal Payments</t>
  </si>
  <si>
    <t>Financing Cash Flow</t>
  </si>
  <si>
    <t>Net Cash Flow</t>
  </si>
  <si>
    <t>Ending Cash</t>
  </si>
  <si>
    <t>Revenue Drivers</t>
  </si>
  <si>
    <t>Source operating drivers. Model Inputs links to these rows.</t>
  </si>
  <si>
    <t>Revenue Driver Source Rows</t>
  </si>
  <si>
    <t>Primary line of business / Billable home visit</t>
  </si>
  <si>
    <t>Primary line of business / Billable home visit - Capacity</t>
  </si>
  <si>
    <t>Source driver</t>
  </si>
  <si>
    <t>Primary line of business / Billable home visit - Unit Price</t>
  </si>
  <si>
    <t>Primary line of business / Billable home visit - Utilization</t>
  </si>
  <si>
    <t>Primary line of business / Billable home visit - Revenue</t>
  </si>
  <si>
    <t>Capacity x Unit Price x Utilization</t>
  </si>
  <si>
    <t>Total Capacity Units</t>
  </si>
  <si>
    <t>All revenue driver capacity units</t>
  </si>
  <si>
    <t>Total Revenue</t>
  </si>
  <si>
    <t>All revenue products</t>
  </si>
  <si>
    <t>Stage Ramp Contract</t>
  </si>
  <si>
    <t>Actual Revenue QoQ Growth</t>
  </si>
  <si>
    <t>Total revenue growth from modeled revenue drivers</t>
  </si>
  <si>
    <t>Stage Ramp Revenue QoQ Target</t>
  </si>
  <si>
    <t>GPT-selected stage ramp contract</t>
  </si>
  <si>
    <t>Stage Ramp Revenue QoQ Max</t>
  </si>
  <si>
    <t>Stage Ramp Revenue QoQ Spike Max</t>
  </si>
  <si>
    <t>Stage Ramp Utilization Cap</t>
  </si>
  <si>
    <t>Stage Ramp COGS % Revenue Target</t>
  </si>
  <si>
    <t>Stage Ramp COGS % Revenue Max</t>
  </si>
  <si>
    <t>Stage Ramp Marketing % Revenue Max</t>
  </si>
  <si>
    <t>Stage Ramp R&amp;D % Revenue Max</t>
  </si>
  <si>
    <t>Stage Ramp G&amp;A % Revenue Max</t>
  </si>
  <si>
    <t>Stage Ramp Lease % Revenue Max</t>
  </si>
  <si>
    <t>Stage Ramp Net Income Margin Floor</t>
  </si>
  <si>
    <t>Payroll Schedule</t>
  </si>
  <si>
    <t>OEWS-title, capacity/utilization-driven payroll source. Model Inputs links to Total Payroll.</t>
  </si>
  <si>
    <t>Payroll Assumptions</t>
  </si>
  <si>
    <t>Capacity Labor Model</t>
  </si>
  <si>
    <t>labor_driven</t>
  </si>
  <si>
    <t>Labor Intensity Class</t>
  </si>
  <si>
    <t>medium</t>
  </si>
  <si>
    <t>Wage Positioning Tier</t>
  </si>
  <si>
    <t>market</t>
  </si>
  <si>
    <t>Wage Positioning Multiplier</t>
  </si>
  <si>
    <t>Capacity Units per Supporting FTE</t>
  </si>
  <si>
    <t>Target Payroll % of Revenue</t>
  </si>
  <si>
    <t>Quarter Summary</t>
  </si>
  <si>
    <t>Total Ending FTE</t>
  </si>
  <si>
    <t>Formula output from payroll detail</t>
  </si>
  <si>
    <t>Total Average FTE</t>
  </si>
  <si>
    <t>Total Payroll</t>
  </si>
  <si>
    <t>Linked from Revenue Drivers</t>
  </si>
  <si>
    <t>Revenue per Employee</t>
  </si>
  <si>
    <t>Python-built productivity formula</t>
  </si>
  <si>
    <t>Units per Employee</t>
  </si>
  <si>
    <t>Payroll % of Revenue</t>
  </si>
  <si>
    <t>Payroll Detail</t>
  </si>
  <si>
    <t>Quarter</t>
  </si>
  <si>
    <t>Staffing Class</t>
  </si>
  <si>
    <t>Title / Person</t>
  </si>
  <si>
    <t>OEWS Title</t>
  </si>
  <si>
    <t>Starting FTE</t>
  </si>
  <si>
    <t>Hires</t>
  </si>
  <si>
    <t>Ending FTE</t>
  </si>
  <si>
    <t>Average FTE</t>
  </si>
  <si>
    <t>Annual Wage</t>
  </si>
  <si>
    <t>Benefits %</t>
  </si>
  <si>
    <t>Wage Cost</t>
  </si>
  <si>
    <t>Taxes &amp; Benefits</t>
  </si>
  <si>
    <t>Wage Source</t>
  </si>
  <si>
    <t>key_person</t>
  </si>
  <si>
    <t>Chief Executive Officer (CEO)</t>
  </si>
  <si>
    <t>oews_median</t>
  </si>
  <si>
    <t>Clinical Director</t>
  </si>
  <si>
    <t>supporting_staff</t>
  </si>
  <si>
    <t>Registered Nurses</t>
  </si>
  <si>
    <t>oews_title_catalog:oews_median</t>
  </si>
  <si>
    <t>Debt Schedule</t>
  </si>
  <si>
    <t>Debt, interest, and capital lease mechanics. Model Inputs links to calculated outputs.</t>
  </si>
  <si>
    <t>Debt Amortization</t>
  </si>
  <si>
    <t>Opening Debt</t>
  </si>
  <si>
    <t>Calculated</t>
  </si>
  <si>
    <t>Debt Issuance</t>
  </si>
  <si>
    <t>Source borrowing</t>
  </si>
  <si>
    <t>Requested Debt Repayment</t>
  </si>
  <si>
    <t>Source scheduled repayment</t>
  </si>
  <si>
    <t>Actual Debt Repayment</t>
  </si>
  <si>
    <t>MIN(requested repayment, opening debt + issuance)</t>
  </si>
  <si>
    <t>Closing Debt</t>
  </si>
  <si>
    <t>Interest Rate</t>
  </si>
  <si>
    <t>Source rate</t>
  </si>
  <si>
    <t>Interest Expense</t>
  </si>
  <si>
    <t>Average debt balance x rate</t>
  </si>
  <si>
    <t>Total Debt Service</t>
  </si>
  <si>
    <t>Interest + actual repayment</t>
  </si>
  <si>
    <t>Capital Lease Schedule</t>
  </si>
  <si>
    <t>Lease Opening Balance</t>
  </si>
  <si>
    <t>Capital leases</t>
  </si>
  <si>
    <t>Requested Lease Principal Repayments</t>
  </si>
  <si>
    <t>Lease Principal Repayments</t>
  </si>
  <si>
    <t>Lease Net Additions</t>
  </si>
  <si>
    <t>Lease Interest Expense</t>
  </si>
  <si>
    <t>Lease Closing Balance</t>
  </si>
  <si>
    <t>Right-of-Use Asset Opening</t>
  </si>
  <si>
    <t>Lease Asset Depreciation</t>
  </si>
  <si>
    <t>Right-of-Use Asset Closing</t>
  </si>
  <si>
    <t>CapEx &amp; Depreciation Schedule</t>
  </si>
  <si>
    <t>Capital expenditure and depreciation mechanics. Model Inputs links to calculated outputs.</t>
  </si>
  <si>
    <t>PPE and Depreciation</t>
  </si>
  <si>
    <t>Opening PPE</t>
  </si>
  <si>
    <t>Schedule source</t>
  </si>
  <si>
    <t>Lease Additions</t>
  </si>
  <si>
    <t>Depreciation Rate</t>
  </si>
  <si>
    <t>Depreciation Expense</t>
  </si>
  <si>
    <t>Closing PPE</t>
  </si>
  <si>
    <t>Opening Accumulated Depreciation</t>
  </si>
  <si>
    <t>Working Capital Schedule</t>
  </si>
  <si>
    <t>Working-capital drivers. Model Inputs links to these source rows.</t>
  </si>
  <si>
    <t>Working Capital Drivers</t>
  </si>
  <si>
    <t>Accounts Receivable Days</t>
  </si>
  <si>
    <t>Working capital driver</t>
  </si>
  <si>
    <t>Inventory Days</t>
  </si>
  <si>
    <t>Accounts Payable Days</t>
  </si>
  <si>
    <t>Prepaid Expenses (% of Revenue)</t>
  </si>
  <si>
    <t>Deferred Revenue (% of Revenue)</t>
  </si>
  <si>
    <t>Short Term Debt (% of LTD)</t>
  </si>
  <si>
    <t>Opening Working Capital Seeds</t>
  </si>
  <si>
    <t>Cash Opening Balance</t>
  </si>
  <si>
    <t>Opening balance seed</t>
  </si>
  <si>
    <t>Accounts Receivable Opening Balance</t>
  </si>
  <si>
    <t>Inventory Opening Balance</t>
  </si>
  <si>
    <t>Accounts Payable Opening Balance</t>
  </si>
  <si>
    <t>Short Term Debt Opening Balance</t>
  </si>
  <si>
    <t>Cash &amp; Equity Schedule</t>
  </si>
  <si>
    <t>Equity, distributions, lease/rent, and opening cash seeds. Model Inputs links to these rows.</t>
  </si>
  <si>
    <t>Equity and Distributions</t>
  </si>
  <si>
    <t>Equity / distribution input</t>
  </si>
  <si>
    <t>Operating Fixed Cash Items</t>
  </si>
  <si>
    <t>Lease</t>
  </si>
  <si>
    <t>Operating lease/rent input</t>
  </si>
  <si>
    <t>Model Inputs</t>
  </si>
  <si>
    <t>Formula-driven bridge from schedules into FINMO. FINMO references this sheet only.</t>
  </si>
  <si>
    <t>Income Statement Inputs</t>
  </si>
  <si>
    <t>Revenue Drivers schedule</t>
  </si>
  <si>
    <t>Direct model driver</t>
  </si>
  <si>
    <t>Cash Equity Schedule output</t>
  </si>
  <si>
    <t>Payroll Schedule output</t>
  </si>
  <si>
    <t>Debt Schedule output</t>
  </si>
  <si>
    <t>CapEx Depreciation output</t>
  </si>
  <si>
    <t>Balance Sheet Inputs</t>
  </si>
  <si>
    <t>Working Capital schedule</t>
  </si>
  <si>
    <t>Cash Equity Schedule schedule</t>
  </si>
  <si>
    <t>Cash Flow and Schedule Inputs</t>
  </si>
  <si>
    <t>Debt Opening Balance</t>
  </si>
  <si>
    <t>Debt Schedule schedule</t>
  </si>
  <si>
    <t>Debt Closing Balance</t>
  </si>
  <si>
    <t>Right-of-Use Asset</t>
  </si>
  <si>
    <t>CapEx Depreciation schedule</t>
  </si>
  <si>
    <t>PPE Closing Balance</t>
  </si>
  <si>
    <t>Audit Source</t>
  </si>
  <si>
    <t>Persisted system outputs used only for checks and audit tie-outs.</t>
  </si>
  <si>
    <t>Persisted FINMO</t>
  </si>
  <si>
    <t>Current Liabilites</t>
  </si>
  <si>
    <t>Depreciatoin</t>
  </si>
  <si>
    <t>Changes in Current Liabilites</t>
  </si>
  <si>
    <t>Checks</t>
  </si>
  <si>
    <t>Model Status</t>
  </si>
  <si>
    <t>Rule</t>
  </si>
  <si>
    <t>Only real formula/coherence failures return FAIL. Baseline scenario changes show CHANGED.</t>
  </si>
  <si>
    <t>Category</t>
  </si>
  <si>
    <t>Line Item</t>
  </si>
  <si>
    <t>Sheet</t>
  </si>
  <si>
    <t>Range / Cell</t>
  </si>
  <si>
    <t>Actual</t>
  </si>
  <si>
    <t>Expected</t>
  </si>
  <si>
    <t>Difference</t>
  </si>
  <si>
    <t>Tolerance</t>
  </si>
  <si>
    <t>Status</t>
  </si>
  <si>
    <t>Notes</t>
  </si>
  <si>
    <t>Model Coherence Checks</t>
  </si>
  <si>
    <t>Statement Coherence</t>
  </si>
  <si>
    <t>Balance Sheet balances Q1</t>
  </si>
  <si>
    <t>Cross-sheet</t>
  </si>
  <si>
    <t>'FINMO'!D31</t>
  </si>
  <si>
    <t>Total assets must equal total liabilities and equity.</t>
  </si>
  <si>
    <t>Cash Flow ties to Balance Sheet Q1</t>
  </si>
  <si>
    <t>'FINMO'!D61</t>
  </si>
  <si>
    <t>Ending cash must tie to balance-sheet cash.</t>
  </si>
  <si>
    <t>Balance Sheet balances Q20</t>
  </si>
  <si>
    <t>'FINMO'!W31</t>
  </si>
  <si>
    <t>Cash Flow ties to Balance Sheet Q20</t>
  </si>
  <si>
    <t>'FINMO'!W61</t>
  </si>
  <si>
    <t>Schedule Bridge</t>
  </si>
  <si>
    <t>Revenue Drivers total feeds Model Inputs Revenue</t>
  </si>
  <si>
    <t>'Revenue Drivers'!C14:W14</t>
  </si>
  <si>
    <t>Changing Revenue Drivers should update Model Inputs and FINMO without creating a model failure.</t>
  </si>
  <si>
    <t>Payroll Schedule total feeds Model Inputs Payroll</t>
  </si>
  <si>
    <t>'Payroll Schedule'!D17:W17</t>
  </si>
  <si>
    <t>Changing payroll detail should update payroll summary, Model Inputs, and FINMO payroll.</t>
  </si>
  <si>
    <t>Debt repayment feeds Model Inputs</t>
  </si>
  <si>
    <t>'Debt Schedule'!C10:W10</t>
  </si>
  <si>
    <t>Debt repayment must flow through the model from actual mechanically capped repayment.</t>
  </si>
  <si>
    <t>Capital lease additions feed CapEx schedule</t>
  </si>
  <si>
    <t>'Debt Schedule'!C21:W21</t>
  </si>
  <si>
    <t>Lease additions must affect PPE/depreciation through the CapEx schedule.</t>
  </si>
  <si>
    <t>Lease/rent feeds Model Inputs</t>
  </si>
  <si>
    <t>'Cash Equity Schedule'!C12:W12</t>
  </si>
  <si>
    <t>Operating lease/rent must flow through Model Inputs into FINMO.</t>
  </si>
  <si>
    <t>Schedule Coherence</t>
  </si>
  <si>
    <t>Payroll summary totals equal payroll detail by quarter</t>
  </si>
  <si>
    <t>A27:N86</t>
  </si>
  <si>
    <t>If this fails, payroll summary is no longer tied to detail FTE/payroll rows.</t>
  </si>
  <si>
    <t>Payroll productivity metrics</t>
  </si>
  <si>
    <t>A16:W22</t>
  </si>
  <si>
    <t>Revenue per employee, units per employee, and payroll percent must stay tied to revenue/capacity and average FTE.</t>
  </si>
  <si>
    <t>Payroll detail FTE math</t>
  </si>
  <si>
    <t>E27:H86</t>
  </si>
  <si>
    <t>Ending FTE must equal starting FTE plus hires; average FTE must be the average of starting and ending FTE.</t>
  </si>
  <si>
    <t>Payroll detail wage and tax math</t>
  </si>
  <si>
    <t>I27:M86</t>
  </si>
  <si>
    <t>Payroll dollars must flow from average FTE, wage, benefits/taxes, and total payroll formulas.</t>
  </si>
  <si>
    <t>Line-Item Formula Logic Diagnostics</t>
  </si>
  <si>
    <t>Formula Logic</t>
  </si>
  <si>
    <t>Revenue calculation - lob_1_product_1</t>
  </si>
  <si>
    <t>'Revenue Drivers'!C11:W11</t>
  </si>
  <si>
    <t>Revenue rows must equal capacity x unit price x utilization.</t>
  </si>
  <si>
    <t>Revenue total equals all revenue products</t>
  </si>
  <si>
    <t>Total revenue must stay tied to all revenue-product rows.</t>
  </si>
  <si>
    <t>Revenue total capacity equals all capacity products</t>
  </si>
  <si>
    <t>'Revenue Drivers'!C13:W13</t>
  </si>
  <si>
    <t>Total capacity units must stay tied to all revenue-driver capacity rows.</t>
  </si>
  <si>
    <t>Debt opening balance continuity</t>
  </si>
  <si>
    <t>'Debt Schedule'!D7:W7</t>
  </si>
  <si>
    <t>Each quarter's opening debt must equal the prior quarter's closing debt.</t>
  </si>
  <si>
    <t>Actual debt repayment cap</t>
  </si>
  <si>
    <t>Actual repayment must not exceed requested repayment or available debt balance.</t>
  </si>
  <si>
    <t>Closing debt formula</t>
  </si>
  <si>
    <t>'Debt Schedule'!C11:W11</t>
  </si>
  <si>
    <t>Closing debt must equal opening debt plus issuance less actual repayment, floored at zero.</t>
  </si>
  <si>
    <t>Interest expense formula</t>
  </si>
  <si>
    <t>'Debt Schedule'!C13:W13</t>
  </si>
  <si>
    <t>Interest expense must equal average debt balance times interest rate.</t>
  </si>
  <si>
    <t>Debt service formula</t>
  </si>
  <si>
    <t>'Debt Schedule'!C14:W14</t>
  </si>
  <si>
    <t>Debt service must equal interest expense plus actual debt repayment.</t>
  </si>
  <si>
    <t>Lease opening balance continuity</t>
  </si>
  <si>
    <t>'Debt Schedule'!D18:W18</t>
  </si>
  <si>
    <t>Each quarter's opening lease balance must equal the prior quarter's closing lease balance.</t>
  </si>
  <si>
    <t>Lease principal repayment cap</t>
  </si>
  <si>
    <t>'Debt Schedule'!C20:W20</t>
  </si>
  <si>
    <t>Lease principal repayment must not exceed requested repayment or available lease balance.</t>
  </si>
  <si>
    <t>Lease closing balance formula</t>
  </si>
  <si>
    <t>'Debt Schedule'!C23:W23</t>
  </si>
  <si>
    <t>Lease closing balance must equal opening balance plus additions less principal repayment, floored at zero.</t>
  </si>
  <si>
    <t>PPE opening balance continuity</t>
  </si>
  <si>
    <t>CapEx Depreciation</t>
  </si>
  <si>
    <t>'CapEx Depreciation'!D7:W7</t>
  </si>
  <si>
    <t>Each quarter's opening PPE must equal the prior quarter's closing PPE.</t>
  </si>
  <si>
    <t>Depreciation expense formula</t>
  </si>
  <si>
    <t>'CapEx Depreciation'!C11:W11</t>
  </si>
  <si>
    <t>Depreciation must equal opening PPE times rate, capped at opening PPE.</t>
  </si>
  <si>
    <t>Closing PPE formula</t>
  </si>
  <si>
    <t>'CapEx Depreciation'!C12:W12</t>
  </si>
  <si>
    <t>Closing PPE must include capex and lease additions and subtract depreciation.</t>
  </si>
  <si>
    <t>Accumulated depreciation continuity</t>
  </si>
  <si>
    <t>'CapEx Depreciation'!D13:W13</t>
  </si>
  <si>
    <t>Opening accumulated depreciation must equal the prior quarter's accumulated depreciation.</t>
  </si>
  <si>
    <t>Accumulated depreciation formula</t>
  </si>
  <si>
    <t>'CapEx Depreciation'!C14:W14</t>
  </si>
  <si>
    <t>Accumulated depreciation must roll forward by depreciation expense.</t>
  </si>
  <si>
    <t>Formula Manifest by Line Item</t>
  </si>
  <si>
    <t>Formula Manifest</t>
  </si>
  <si>
    <t>Revenue Drivers - Total Revenue</t>
  </si>
  <si>
    <t>This line is expected to be formula-driven across every period. Formula presence is verified at export; live edit integrity is covered by the logic and bridge checks above.</t>
  </si>
  <si>
    <t>Revenue Drivers - Total Capacity Units</t>
  </si>
  <si>
    <t>Revenue Drivers - Actual Revenue QoQ Growth</t>
  </si>
  <si>
    <t>'Revenue Drivers'!C17:W17</t>
  </si>
  <si>
    <t>Payroll Schedule - Total Ending FTE</t>
  </si>
  <si>
    <t>'Payroll Schedule'!C15:W15</t>
  </si>
  <si>
    <t>Payroll Schedule - Total Average FTE</t>
  </si>
  <si>
    <t>'Payroll Schedule'!C16:W16</t>
  </si>
  <si>
    <t>Payroll Schedule - Total Payroll</t>
  </si>
  <si>
    <t>'Payroll Schedule'!C17:W17</t>
  </si>
  <si>
    <t>Payroll Schedule - Total Revenue</t>
  </si>
  <si>
    <t>'Payroll Schedule'!C18:W18</t>
  </si>
  <si>
    <t>Payroll Schedule - Total Capacity Units</t>
  </si>
  <si>
    <t>'Payroll Schedule'!C19:W19</t>
  </si>
  <si>
    <t>Payroll Schedule - Revenue per Employee</t>
  </si>
  <si>
    <t>'Payroll Schedule'!C20:W20</t>
  </si>
  <si>
    <t>Payroll Schedule - Units per Employee</t>
  </si>
  <si>
    <t>'Payroll Schedule'!C21:W21</t>
  </si>
  <si>
    <t>Payroll Schedule - Payroll % of Revenue</t>
  </si>
  <si>
    <t>'Payroll Schedule'!C22:W22</t>
  </si>
  <si>
    <t>CapEx Schedule - Lease Additions</t>
  </si>
  <si>
    <t>'CapEx Depreciation'!D9:W9</t>
  </si>
  <si>
    <t>CapEx Schedule - Closing PPE</t>
  </si>
  <si>
    <t>Debt Schedule - Opening Debt</t>
  </si>
  <si>
    <t>This debt/lease line is expected to be formula-driven across every period. Formula presence is verified at export; live edit integrity is covered by the logic and bridge checks above.</t>
  </si>
  <si>
    <t>Debt Schedule - Actual Debt Repayment</t>
  </si>
  <si>
    <t>Debt Schedule - Closing Debt</t>
  </si>
  <si>
    <t>Debt Schedule - Interest Expense</t>
  </si>
  <si>
    <t>Debt Schedule - Total Debt Service</t>
  </si>
  <si>
    <t>Debt Schedule - Lease Opening Balance</t>
  </si>
  <si>
    <t>Debt Schedule - Lease Principal Repayments</t>
  </si>
  <si>
    <t>Debt Schedule - Lease Closing Balance</t>
  </si>
  <si>
    <t>Payroll Detail - Ending FTE</t>
  </si>
  <si>
    <t>'Payroll Schedule'!G27:G86</t>
  </si>
  <si>
    <t>Payroll detail calculation columns must remain formulas so edits flow downstream. Formula presence is verified at export; live edit integrity is covered by the logic and bridge checks above.</t>
  </si>
  <si>
    <t>Payroll Detail - Average FTE</t>
  </si>
  <si>
    <t>'Payroll Schedule'!H27:H86</t>
  </si>
  <si>
    <t>Payroll Detail - Wage Cost</t>
  </si>
  <si>
    <t>'Payroll Schedule'!K27:K86</t>
  </si>
  <si>
    <t>Payroll Detail - Taxes &amp; Benefits</t>
  </si>
  <si>
    <t>'Payroll Schedule'!L27:L86</t>
  </si>
  <si>
    <t>Payroll Detail - Total Payroll</t>
  </si>
  <si>
    <t>'Payroll Schedule'!M27:M86</t>
  </si>
  <si>
    <t>Model Inputs - revenue::lob_1_product_1::Capacity</t>
  </si>
  <si>
    <t>'Model Inputs'!C7:W7</t>
  </si>
  <si>
    <t>Formula bridge rows in Model Inputs must stay linked to schedules. Formula presence is verified at export; live edit integrity is covered by the logic and bridge checks above.</t>
  </si>
  <si>
    <t>Model Inputs - revenue::lob_1_product_1::Unit Price</t>
  </si>
  <si>
    <t>'Model Inputs'!C8:W8</t>
  </si>
  <si>
    <t>Model Inputs - revenue::lob_1_product_1::Utilization</t>
  </si>
  <si>
    <t>'Model Inputs'!C9:W9</t>
  </si>
  <si>
    <t>Model Inputs - revenue::lob_1_product_1::Revenue</t>
  </si>
  <si>
    <t>'Model Inputs'!C10:W10</t>
  </si>
  <si>
    <t>Model Inputs - is::Revenue</t>
  </si>
  <si>
    <t>'Model Inputs'!C11:W11</t>
  </si>
  <si>
    <t>Model Inputs - is::Lease</t>
  </si>
  <si>
    <t>'Model Inputs'!C15:W15</t>
  </si>
  <si>
    <t>Model Inputs - is::Payroll</t>
  </si>
  <si>
    <t>'Model Inputs'!D16:W16</t>
  </si>
  <si>
    <t>Model Inputs - is::Interest Rate</t>
  </si>
  <si>
    <t>'Model Inputs'!C18:W18</t>
  </si>
  <si>
    <t>Model Inputs - is::Interest Expense</t>
  </si>
  <si>
    <t>'Model Inputs'!D19:W19</t>
  </si>
  <si>
    <t>Model Inputs - is::Depreciation</t>
  </si>
  <si>
    <t>'Model Inputs'!C20:W20</t>
  </si>
  <si>
    <t>Model Inputs - is::Depreciation Expense</t>
  </si>
  <si>
    <t>'Model Inputs'!C21:W21</t>
  </si>
  <si>
    <t>Model Inputs - bs::Accounts Receivable Days</t>
  </si>
  <si>
    <t>'Model Inputs'!C25:W25</t>
  </si>
  <si>
    <t>Model Inputs - bs::Inventory Days</t>
  </si>
  <si>
    <t>'Model Inputs'!C26:W26</t>
  </si>
  <si>
    <t>Model Inputs - bs::Accounts Payable Days</t>
  </si>
  <si>
    <t>'Model Inputs'!C27:W27</t>
  </si>
  <si>
    <t>Model Inputs - bs::Prepaid Expenses (% of Revenue)</t>
  </si>
  <si>
    <t>'Model Inputs'!C28:W28</t>
  </si>
  <si>
    <t>Model Inputs - bs::Deferred Revenue (% of Revenue)</t>
  </si>
  <si>
    <t>'Model Inputs'!C29:W29</t>
  </si>
  <si>
    <t>Model Inputs - bs::Short Term Debt (% of LTD)</t>
  </si>
  <si>
    <t>'Model Inputs'!C30:W30</t>
  </si>
  <si>
    <t>Model Inputs - bs::Owner's Capital</t>
  </si>
  <si>
    <t>'Model Inputs'!C31:W31</t>
  </si>
  <si>
    <t>Model Inputs - bs::Other Equity</t>
  </si>
  <si>
    <t>'Model Inputs'!C32:W32</t>
  </si>
  <si>
    <t>Model Inputs - bs::Distributions</t>
  </si>
  <si>
    <t>'Model Inputs'!C33:W33</t>
  </si>
  <si>
    <t>Model Inputs - cash::Cash Opening Balance</t>
  </si>
  <si>
    <t>'Model Inputs'!C36:W36</t>
  </si>
  <si>
    <t>Model Inputs - cash::Accounts Receivable Opening Balance</t>
  </si>
  <si>
    <t>'Model Inputs'!C37:W37</t>
  </si>
  <si>
    <t>Model Inputs - cash::Inventory Opening Balance</t>
  </si>
  <si>
    <t>'Model Inputs'!C38:W38</t>
  </si>
  <si>
    <t>Model Inputs - cash::Accounts Payable Opening Balance</t>
  </si>
  <si>
    <t>'Model Inputs'!C39:W39</t>
  </si>
  <si>
    <t>Model Inputs - cash::Short Term Debt Opening Balance</t>
  </si>
  <si>
    <t>'Model Inputs'!C40:W40</t>
  </si>
  <si>
    <t>Model Inputs - cash::Debt Opening Balance</t>
  </si>
  <si>
    <t>'Model Inputs'!C41:W41</t>
  </si>
  <si>
    <t>Model Inputs - cash::Debt Issuance</t>
  </si>
  <si>
    <t>'Model Inputs'!C42:W42</t>
  </si>
  <si>
    <t>Model Inputs - cash::Debt Repayment</t>
  </si>
  <si>
    <t>'Model Inputs'!C43:W43</t>
  </si>
  <si>
    <t>Model Inputs - cash::Debt Closing Balance</t>
  </si>
  <si>
    <t>'Model Inputs'!C44:W44</t>
  </si>
  <si>
    <t>Model Inputs - cash::Lease Opening Balance</t>
  </si>
  <si>
    <t>'Model Inputs'!C45:W45</t>
  </si>
  <si>
    <t>Model Inputs - cash::Lease Principal Repayments</t>
  </si>
  <si>
    <t>'Model Inputs'!C46:W46</t>
  </si>
  <si>
    <t>Model Inputs - cash::Lease Net Additions</t>
  </si>
  <si>
    <t>'Model Inputs'!C47:W47</t>
  </si>
  <si>
    <t>Model Inputs - cash::Lease Interest Expense</t>
  </si>
  <si>
    <t>'Model Inputs'!C48:W48</t>
  </si>
  <si>
    <t>Model Inputs - cash::Lease Closing Balance</t>
  </si>
  <si>
    <t>'Model Inputs'!C49:W49</t>
  </si>
  <si>
    <t>Model Inputs - cash::Right-of-Use Asset</t>
  </si>
  <si>
    <t>'Model Inputs'!C50:W50</t>
  </si>
  <si>
    <t>Model Inputs - cash::Lease Asset Depreciation</t>
  </si>
  <si>
    <t>'Model Inputs'!C51:W51</t>
  </si>
  <si>
    <t>Model Inputs - cash::Capital Expenditures</t>
  </si>
  <si>
    <t>'Model Inputs'!C52:W52</t>
  </si>
  <si>
    <t>Model Inputs - cash::PPE Closing Balance</t>
  </si>
  <si>
    <t>'Model Inputs'!C53:W53</t>
  </si>
  <si>
    <t>Model Inputs - cash::Accumulated Depreciation</t>
  </si>
  <si>
    <t>'Model Inputs'!C54:W54</t>
  </si>
  <si>
    <t>FINMO - Income Statement - Revenue</t>
  </si>
  <si>
    <t>'FINMO'!C8:W8</t>
  </si>
  <si>
    <t>FINMO statement lines must remain formula-driven. Formula presence is verified at export; live edit integrity is covered by the logic and bridge checks above.</t>
  </si>
  <si>
    <t>FINMO - Income Statement - Cost of Goods Sold</t>
  </si>
  <si>
    <t>'FINMO'!C9:W9</t>
  </si>
  <si>
    <t>FINMO - Income Statement - Gross Profit</t>
  </si>
  <si>
    <t>'FINMO'!C10:W10</t>
  </si>
  <si>
    <t>FINMO - Income Statement - Marketing</t>
  </si>
  <si>
    <t>'FINMO'!C11:W11</t>
  </si>
  <si>
    <t>FINMO - Income Statement - Research &amp; Development</t>
  </si>
  <si>
    <t>'FINMO'!C12:W12</t>
  </si>
  <si>
    <t>FINMO - Income Statement - Lease/Rent</t>
  </si>
  <si>
    <t>'FINMO'!C13:W13</t>
  </si>
  <si>
    <t>FINMO - Income Statement - Payroll</t>
  </si>
  <si>
    <t>'FINMO'!C14:W14</t>
  </si>
  <si>
    <t>FINMO - Income Statement - General &amp; Administrative</t>
  </si>
  <si>
    <t>'FINMO'!C15:W15</t>
  </si>
  <si>
    <t>FINMO - Income Statement - EBITDA</t>
  </si>
  <si>
    <t>'FINMO'!C16:W16</t>
  </si>
  <si>
    <t>FINMO - Income Statement - Interest</t>
  </si>
  <si>
    <t>'FINMO'!C17:W17</t>
  </si>
  <si>
    <t>FINMO - Income Statement - Depreciation</t>
  </si>
  <si>
    <t>'FINMO'!C18:W18</t>
  </si>
  <si>
    <t>FINMO - Income Statement - Taxes</t>
  </si>
  <si>
    <t>'FINMO'!C19:W19</t>
  </si>
  <si>
    <t>FINMO - Income Statement - Net Income</t>
  </si>
  <si>
    <t>'FINMO'!C20:W20</t>
  </si>
  <si>
    <t>FINMO - Balance Sheet - Cash</t>
  </si>
  <si>
    <t>'FINMO'!C23:W23</t>
  </si>
  <si>
    <t>FINMO - Balance Sheet - Accounts Receivable</t>
  </si>
  <si>
    <t>'FINMO'!C24:W24</t>
  </si>
  <si>
    <t>FINMO - Balance Sheet - Inventory</t>
  </si>
  <si>
    <t>'FINMO'!C25:W25</t>
  </si>
  <si>
    <t>FINMO - Balance Sheet - Prepaid Expenses</t>
  </si>
  <si>
    <t>'FINMO'!C26:W26</t>
  </si>
  <si>
    <t>FINMO - Balance Sheet - Current Assets</t>
  </si>
  <si>
    <t>'FINMO'!C27:W27</t>
  </si>
  <si>
    <t>FINMO - Balance Sheet - PPE</t>
  </si>
  <si>
    <t>'FINMO'!C28:W28</t>
  </si>
  <si>
    <t>FINMO - Balance Sheet - Right-of-Use Asset (Capital Lease)</t>
  </si>
  <si>
    <t>'FINMO'!C29:W29</t>
  </si>
  <si>
    <t>FINMO - Balance Sheet - Accumulated Depreciation</t>
  </si>
  <si>
    <t>'FINMO'!C30:W30</t>
  </si>
  <si>
    <t>FINMO - Balance Sheet - Total Assets</t>
  </si>
  <si>
    <t>'FINMO'!C31:W31</t>
  </si>
  <si>
    <t>FINMO - Balance Sheet - Accounts Payable</t>
  </si>
  <si>
    <t>'FINMO'!C32:W32</t>
  </si>
  <si>
    <t>FINMO - Balance Sheet - Short Term Debt</t>
  </si>
  <si>
    <t>'FINMO'!C33:W33</t>
  </si>
  <si>
    <t>FINMO - Balance Sheet - Deferred Revenue</t>
  </si>
  <si>
    <t>'FINMO'!C34:W34</t>
  </si>
  <si>
    <t>FINMO - Balance Sheet - Current Liabilities</t>
  </si>
  <si>
    <t>'FINMO'!C35:W35</t>
  </si>
  <si>
    <t>FINMO - Balance Sheet - Long Term Debt</t>
  </si>
  <si>
    <t>'FINMO'!C36:W36</t>
  </si>
  <si>
    <t>FINMO - Balance Sheet - Capital Lease Obligation</t>
  </si>
  <si>
    <t>'FINMO'!C37:W37</t>
  </si>
  <si>
    <t>FINMO - Balance Sheet - Total Liabilities</t>
  </si>
  <si>
    <t>'FINMO'!C38:W38</t>
  </si>
  <si>
    <t>FINMO - Balance Sheet - Owner's Capital</t>
  </si>
  <si>
    <t>'FINMO'!C39:W39</t>
  </si>
  <si>
    <t>FINMO - Balance Sheet - Retained Earnings</t>
  </si>
  <si>
    <t>'FINMO'!C40:W40</t>
  </si>
  <si>
    <t>FINMO - Balance Sheet - Other Equity</t>
  </si>
  <si>
    <t>'FINMO'!C41:W41</t>
  </si>
  <si>
    <t>FINMO - Balance Sheet - Total Equity</t>
  </si>
  <si>
    <t>'FINMO'!C42:W42</t>
  </si>
  <si>
    <t>FINMO - Balance Sheet - Total Liabilities &amp; Equity</t>
  </si>
  <si>
    <t>'FINMO'!C43:W43</t>
  </si>
  <si>
    <t>FINMO - Cash Flow - Beginning Cash</t>
  </si>
  <si>
    <t>'FINMO'!C46:W46</t>
  </si>
  <si>
    <t>FINMO - Cash Flow - Net Income</t>
  </si>
  <si>
    <t>'FINMO'!C47:W47</t>
  </si>
  <si>
    <t>FINMO - Cash Flow - Depreciation</t>
  </si>
  <si>
    <t>'FINMO'!C48:W48</t>
  </si>
  <si>
    <t>FINMO - Cash Flow - Changes in Current Assets</t>
  </si>
  <si>
    <t>'FINMO'!C49:W49</t>
  </si>
  <si>
    <t>FINMO - Cash Flow - Changes in Current Liabilities</t>
  </si>
  <si>
    <t>'FINMO'!C50:W50</t>
  </si>
  <si>
    <t>FINMO - Cash Flow - Operating Cash Flow</t>
  </si>
  <si>
    <t>'FINMO'!C51:W51</t>
  </si>
  <si>
    <t>FINMO - Cash Flow - Capital Expenditures</t>
  </si>
  <si>
    <t>'FINMO'!C52:W52</t>
  </si>
  <si>
    <t>FINMO - Cash Flow - Investing Cash Flow</t>
  </si>
  <si>
    <t>'FINMO'!C53:W53</t>
  </si>
  <si>
    <t>FINMO - Cash Flow - Debt Issuance (New Borrowing)</t>
  </si>
  <si>
    <t>'FINMO'!C54:W54</t>
  </si>
  <si>
    <t>FINMO - Cash Flow - Debt Repayment</t>
  </si>
  <si>
    <t>'FINMO'!C55:W55</t>
  </si>
  <si>
    <t>FINMO - Cash Flow - Equity</t>
  </si>
  <si>
    <t>'FINMO'!C56:W56</t>
  </si>
  <si>
    <t>FINMO - Cash Flow - Distributions</t>
  </si>
  <si>
    <t>'FINMO'!C57:W57</t>
  </si>
  <si>
    <t>FINMO - Cash Flow - Capital Lease Principal Payments</t>
  </si>
  <si>
    <t>'FINMO'!C58:W58</t>
  </si>
  <si>
    <t>FINMO - Cash Flow - Financing Cash Flow</t>
  </si>
  <si>
    <t>'FINMO'!C59:W59</t>
  </si>
  <si>
    <t>FINMO - Cash Flow - Net Cash Flow</t>
  </si>
  <si>
    <t>'FINMO'!C60:W60</t>
  </si>
  <si>
    <t>FINMO - Cash Flow - Ending Cash</t>
  </si>
  <si>
    <t>'FINMO'!C61:W61</t>
  </si>
  <si>
    <t>Formula Error Scans</t>
  </si>
  <si>
    <t>Formula Error Scan</t>
  </si>
  <si>
    <t>Revenue Drivers formula/error scan</t>
  </si>
  <si>
    <t>'Revenue Drivers'!C7:W28</t>
  </si>
  <si>
    <t>Counts Excel error values in the range.</t>
  </si>
  <si>
    <t>Payroll Schedule formula/error scan</t>
  </si>
  <si>
    <t>'Payroll Schedule'!C15:W86</t>
  </si>
  <si>
    <t>Debt Schedule formula/error scan</t>
  </si>
  <si>
    <t>'Debt Schedule'!C7:W26</t>
  </si>
  <si>
    <t>CapEx Depreciation formula/error scan</t>
  </si>
  <si>
    <t>'CapEx Depreciation'!C7:W14</t>
  </si>
  <si>
    <t>Cash Equity Schedule formula/error scan</t>
  </si>
  <si>
    <t>Cash Equity Schedule</t>
  </si>
  <si>
    <t>'Cash Equity Schedule'!C7:W12</t>
  </si>
  <si>
    <t>Model Inputs formula/error scan</t>
  </si>
  <si>
    <t>'Model Inputs'!C7:W54</t>
  </si>
  <si>
    <t>FINMO formula/error scan</t>
  </si>
  <si>
    <t>'FINMO'!C8:W61</t>
  </si>
  <si>
    <t>Persisted Baseline Reconciliation</t>
  </si>
  <si>
    <t>Persisted Baseline</t>
  </si>
  <si>
    <t>Revenue Q20</t>
  </si>
  <si>
    <t>FINMO vs Audit Source</t>
  </si>
  <si>
    <t>'FINMO'!W8</t>
  </si>
  <si>
    <t>CHANGED means assumptions were edited from the persisted run; it is informational and does not fail Model Status.</t>
  </si>
  <si>
    <t>Payroll Q20</t>
  </si>
  <si>
    <t>'FINMO'!W14</t>
  </si>
  <si>
    <t>Net Income Q20</t>
  </si>
  <si>
    <t>'FINMO'!W20</t>
  </si>
  <si>
    <t>Cash Q20</t>
  </si>
  <si>
    <t>'FINMO'!W23</t>
  </si>
  <si>
    <t>Total Assets Q20</t>
  </si>
  <si>
    <t>Total Liabilities &amp; Equity Q20</t>
  </si>
  <si>
    <t>'FINMO'!W43</t>
  </si>
  <si>
    <t>Ending Cash Q20</t>
  </si>
  <si>
    <t>Run Diagnostics</t>
  </si>
  <si>
    <t>Run Metadata</t>
  </si>
  <si>
    <t>Planning Mode</t>
  </si>
  <si>
    <t>turnaround</t>
  </si>
  <si>
    <t>Cash Strategy</t>
  </si>
  <si>
    <t>balanced</t>
  </si>
  <si>
    <t>Business Stage</t>
  </si>
  <si>
    <t>pre-revenue</t>
  </si>
  <si>
    <t>Business Name</t>
  </si>
  <si>
    <t>CareFirst Home Health Services</t>
  </si>
  <si>
    <t>Business Start Date</t>
  </si>
  <si>
    <t>06/19/2026</t>
  </si>
  <si>
    <t>NAICS-6</t>
  </si>
  <si>
    <t>621610</t>
  </si>
  <si>
    <t>Draft ID</t>
  </si>
  <si>
    <t>0caeb5ad5d0843a6b4f0e52ba0cf7d5f</t>
  </si>
  <si>
    <t>Planning Run ID</t>
  </si>
  <si>
    <t>c029942f239d4bb784a8889a94a4049e</t>
  </si>
  <si>
    <t>Acceptance Gate</t>
  </si>
  <si>
    <t>Score</t>
  </si>
  <si>
    <t>13/16</t>
  </si>
  <si>
    <t>Verdict</t>
  </si>
  <si>
    <t>FAILED</t>
  </si>
  <si>
    <t>GPT Exhaustion Handler</t>
  </si>
  <si>
    <t>Fired</t>
  </si>
  <si>
    <t>Yes</t>
  </si>
  <si>
    <t>landed_best_effort_no_all_pass</t>
  </si>
  <si>
    <t>Scope</t>
  </si>
  <si>
    <t>pnl_path</t>
  </si>
  <si>
    <t>Tool calls used</t>
  </si>
  <si>
    <t>4</t>
  </si>
  <si>
    <t>Budget extension triggered</t>
  </si>
  <si>
    <t>False</t>
  </si>
  <si>
    <t>Realism Check Detail</t>
  </si>
  <si>
    <t>Metric Key</t>
  </si>
  <si>
    <t>advertising_percent_of_revenue</t>
  </si>
  <si>
    <t>✓</t>
  </si>
  <si>
    <t>ap_days_dpo</t>
  </si>
  <si>
    <t>ar_days_dso</t>
  </si>
  <si>
    <t>capex_percent_of_revenue</t>
  </si>
  <si>
    <t>cogs_percent_of_revenue</t>
  </si>
  <si>
    <t>current_assets_minus_cash</t>
  </si>
  <si>
    <t>current_liabilities_to_revenue</t>
  </si>
  <si>
    <t>current_ratio</t>
  </si>
  <si>
    <t>debt_to_assets</t>
  </si>
  <si>
    <t>debt_to_equity</t>
  </si>
  <si>
    <t>deferred_revenue_percent_of_revenue</t>
  </si>
  <si>
    <t>depreciation_percent_of_revenue</t>
  </si>
  <si>
    <t>ebitda_margin</t>
  </si>
  <si>
    <t>ebitda_margin_q20_holds_or_improves_vs_q11</t>
  </si>
  <si>
    <t>ebitda_positive_by_q11</t>
  </si>
  <si>
    <t>X</t>
  </si>
  <si>
    <t>ebitda_recovery_trend_q5_q11</t>
  </si>
  <si>
    <t>effective_tax_rate</t>
  </si>
  <si>
    <t>fixed_cost_burden_reduced_or_scaled_by_q11</t>
  </si>
  <si>
    <t>gross_margin_percent</t>
  </si>
  <si>
    <t>gross_margin_supports_ebitda_recovery</t>
  </si>
  <si>
    <t>inventory_days</t>
  </si>
  <si>
    <t>loss_window_funded_through_q5</t>
  </si>
  <si>
    <t>marketing_percent_of_revenue</t>
  </si>
  <si>
    <t>net_income_margin</t>
  </si>
  <si>
    <t>operating_cash_flow_margin</t>
  </si>
  <si>
    <t>operating_margin_percent</t>
  </si>
  <si>
    <t>payroll_percent_of_revenue</t>
  </si>
  <si>
    <t>prepaid_expenses_percent_of_revenue</t>
  </si>
  <si>
    <t>quick_ratio</t>
  </si>
  <si>
    <t>r_and_d_percent_of_revenue</t>
  </si>
  <si>
    <t>rent_percent_of_revenue</t>
  </si>
  <si>
    <t>sga_percent_of_revenue</t>
  </si>
  <si>
    <t>total_assets_to_revenue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</si>
</sst>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;[Red]\(#,##0.0\);\-"/>
    <numFmt numFmtId="166" formatCode="\$#,##0;[Red]\(\$#,##0\);\-"/>
    <numFmt numFmtId="167" formatCode="0.0%;[Red]\(0.0%\);\-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F4E79"/>
      </top>
      <bottom style="thin">
        <color rgb="FFD9E2F3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166" fontId="7" fillId="5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166" fontId="7" fillId="7" borderId="2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167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166" fontId="7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3" fillId="3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2" borderId="0" xfId="0" applyFont="1" applyFill="1"/>
    <xf numFmtId="166" fontId="6" fillId="0" borderId="0" xfId="0" applyNumberFormat="1" applyFont="1" applyAlignment="1">
      <alignment horizontal="right"/>
    </xf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82</v>
      </c>
    </row>
    <row r="2" spans="1:28" x14ac:dyDescent="0.3">
      <c r="A2" s="2" t="s">
        <v>83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84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s="53" t="s">
        <v>85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spans="1:28" x14ac:dyDescent="0.3">
      <c r="A8" s="7" t="s">
        <v>86</v>
      </c>
      <c r="B8" s="7" t="s">
        <v>87</v>
      </c>
      <c r="C8" s="8">
        <v>1040</v>
      </c>
      <c r="D8" s="8">
        <v>2364.0300000000002</v>
      </c>
      <c r="E8" s="8">
        <v>2364.0300000000002</v>
      </c>
      <c r="F8" s="8">
        <v>2364.0300000000002</v>
      </c>
      <c r="G8" s="8">
        <v>2364.0300000000002</v>
      </c>
      <c r="H8" s="8">
        <v>2364.0300000000002</v>
      </c>
      <c r="I8" s="8">
        <v>2364.0300000000002</v>
      </c>
      <c r="J8" s="8">
        <v>2364.0300000000002</v>
      </c>
      <c r="K8" s="8">
        <v>2364.0300000000002</v>
      </c>
      <c r="L8" s="8">
        <v>2364.0300000000002</v>
      </c>
      <c r="M8" s="8">
        <v>2364.0300000000002</v>
      </c>
      <c r="N8" s="8">
        <v>2364.0300000000002</v>
      </c>
      <c r="O8" s="8">
        <v>2364.0300000000002</v>
      </c>
      <c r="P8" s="8">
        <v>2364.0300000000002</v>
      </c>
      <c r="Q8" s="8">
        <v>2364.0300000000002</v>
      </c>
      <c r="R8" s="8">
        <v>2364.0300000000002</v>
      </c>
      <c r="S8" s="8">
        <v>2364.0300000000002</v>
      </c>
      <c r="T8" s="8">
        <v>2364.0300000000002</v>
      </c>
      <c r="U8" s="8">
        <v>2364.0300000000002</v>
      </c>
      <c r="V8" s="8">
        <v>2364.0300000000002</v>
      </c>
      <c r="W8" s="8">
        <v>2364.0300000000002</v>
      </c>
      <c r="X8" s="9"/>
      <c r="Y8" s="9"/>
      <c r="Z8" s="9"/>
      <c r="AA8" s="9"/>
      <c r="AB8" s="9"/>
    </row>
    <row r="9" spans="1:28" x14ac:dyDescent="0.3">
      <c r="A9" s="7" t="s">
        <v>88</v>
      </c>
      <c r="B9" s="7" t="s">
        <v>87</v>
      </c>
      <c r="C9" s="10">
        <v>150</v>
      </c>
      <c r="D9" s="10">
        <v>150</v>
      </c>
      <c r="E9" s="10">
        <v>158</v>
      </c>
      <c r="F9" s="10">
        <v>166</v>
      </c>
      <c r="G9" s="10">
        <v>174</v>
      </c>
      <c r="H9" s="10">
        <v>182</v>
      </c>
      <c r="I9" s="10">
        <v>190</v>
      </c>
      <c r="J9" s="10">
        <v>198</v>
      </c>
      <c r="K9" s="10">
        <v>206</v>
      </c>
      <c r="L9" s="10">
        <v>214</v>
      </c>
      <c r="M9" s="10">
        <v>222</v>
      </c>
      <c r="N9" s="10">
        <v>230</v>
      </c>
      <c r="O9" s="10">
        <v>231.11111099999999</v>
      </c>
      <c r="P9" s="10">
        <v>232.22222199999999</v>
      </c>
      <c r="Q9" s="10">
        <v>233.33333300000001</v>
      </c>
      <c r="R9" s="10">
        <v>234.444444</v>
      </c>
      <c r="S9" s="10">
        <v>235.555556</v>
      </c>
      <c r="T9" s="10">
        <v>236.66666699999999</v>
      </c>
      <c r="U9" s="10">
        <v>237.77777800000001</v>
      </c>
      <c r="V9" s="10">
        <v>238.88888900000001</v>
      </c>
      <c r="W9" s="10">
        <v>240</v>
      </c>
      <c r="X9" s="11"/>
      <c r="Y9" s="11"/>
      <c r="Z9" s="11"/>
      <c r="AA9" s="11"/>
      <c r="AB9" s="11"/>
    </row>
    <row r="10" spans="1:28" x14ac:dyDescent="0.3">
      <c r="A10" s="7" t="s">
        <v>89</v>
      </c>
      <c r="B10" s="7" t="s">
        <v>87</v>
      </c>
      <c r="C10" s="12">
        <v>0.75</v>
      </c>
      <c r="D10" s="12">
        <v>0.75</v>
      </c>
      <c r="E10" s="12">
        <v>0.75900000000000001</v>
      </c>
      <c r="F10" s="12">
        <v>0.76800000000000002</v>
      </c>
      <c r="G10" s="12">
        <v>0.77700000000000002</v>
      </c>
      <c r="H10" s="12">
        <v>0.78600000000000003</v>
      </c>
      <c r="I10" s="12">
        <v>0.79500000000000004</v>
      </c>
      <c r="J10" s="12">
        <v>0.80400000000000005</v>
      </c>
      <c r="K10" s="12">
        <v>0.81299999999999994</v>
      </c>
      <c r="L10" s="12">
        <v>0.82199999999999995</v>
      </c>
      <c r="M10" s="12">
        <v>0.83099999999999996</v>
      </c>
      <c r="N10" s="12">
        <v>0.84</v>
      </c>
      <c r="O10" s="12">
        <v>0.84</v>
      </c>
      <c r="P10" s="12">
        <v>0.84</v>
      </c>
      <c r="Q10" s="12">
        <v>0.84</v>
      </c>
      <c r="R10" s="12">
        <v>0.84</v>
      </c>
      <c r="S10" s="12">
        <v>0.84</v>
      </c>
      <c r="T10" s="12">
        <v>0.84</v>
      </c>
      <c r="U10" s="12">
        <v>0.84</v>
      </c>
      <c r="V10" s="12">
        <v>0.84</v>
      </c>
      <c r="W10" s="12">
        <v>0.84</v>
      </c>
      <c r="X10" s="13"/>
      <c r="Y10" s="13"/>
      <c r="Z10" s="13"/>
      <c r="AA10" s="13"/>
      <c r="AB10" s="13"/>
    </row>
    <row r="11" spans="1:28" x14ac:dyDescent="0.3">
      <c r="A11" s="14" t="s">
        <v>90</v>
      </c>
      <c r="B11" s="14" t="s">
        <v>91</v>
      </c>
      <c r="C11" s="15">
        <f t="shared" ref="C11:W11" si="0">C8*C9*C10</f>
        <v>117000</v>
      </c>
      <c r="D11" s="15">
        <f t="shared" si="0"/>
        <v>265953.37500000006</v>
      </c>
      <c r="E11" s="15">
        <f t="shared" si="0"/>
        <v>283499.20566000004</v>
      </c>
      <c r="F11" s="15">
        <f t="shared" si="0"/>
        <v>301385.45664000005</v>
      </c>
      <c r="G11" s="15">
        <f t="shared" si="0"/>
        <v>319612.12794000003</v>
      </c>
      <c r="H11" s="15">
        <f t="shared" si="0"/>
        <v>338179.21956000006</v>
      </c>
      <c r="I11" s="15">
        <f t="shared" si="0"/>
        <v>357086.73150000005</v>
      </c>
      <c r="J11" s="15">
        <f t="shared" si="0"/>
        <v>376334.66376000008</v>
      </c>
      <c r="K11" s="15">
        <f t="shared" si="0"/>
        <v>395923.01634000003</v>
      </c>
      <c r="L11" s="15">
        <f t="shared" si="0"/>
        <v>415851.78924000001</v>
      </c>
      <c r="M11" s="15">
        <f t="shared" si="0"/>
        <v>436120.98246000003</v>
      </c>
      <c r="N11" s="15">
        <f t="shared" si="0"/>
        <v>456730.59600000002</v>
      </c>
      <c r="O11" s="15">
        <f t="shared" si="0"/>
        <v>458937.0237793572</v>
      </c>
      <c r="P11" s="15">
        <f t="shared" si="0"/>
        <v>461143.45155871444</v>
      </c>
      <c r="Q11" s="15">
        <f t="shared" si="0"/>
        <v>463349.87933807162</v>
      </c>
      <c r="R11" s="15">
        <f t="shared" si="0"/>
        <v>465556.30711742881</v>
      </c>
      <c r="S11" s="15">
        <f t="shared" si="0"/>
        <v>467762.73688257125</v>
      </c>
      <c r="T11" s="15">
        <f t="shared" si="0"/>
        <v>469969.16466192843</v>
      </c>
      <c r="U11" s="15">
        <f t="shared" si="0"/>
        <v>472175.59244128561</v>
      </c>
      <c r="V11" s="15">
        <f t="shared" si="0"/>
        <v>474382.02022064285</v>
      </c>
      <c r="W11" s="15">
        <f t="shared" si="0"/>
        <v>476588.44800000003</v>
      </c>
      <c r="X11" s="15">
        <f>SUM(D11:G11)</f>
        <v>1170450.1652400002</v>
      </c>
      <c r="Y11" s="15">
        <f>SUM(H11:K11)</f>
        <v>1467523.6311600003</v>
      </c>
      <c r="Z11" s="15">
        <f>SUM(L11:O11)</f>
        <v>1767640.3914793571</v>
      </c>
      <c r="AA11" s="15">
        <f>SUM(P11:S11)</f>
        <v>1857812.3748967862</v>
      </c>
      <c r="AB11" s="15">
        <f>SUM(T11:W11)</f>
        <v>1893115.225323857</v>
      </c>
    </row>
    <row r="13" spans="1:28" x14ac:dyDescent="0.3">
      <c r="A13" s="16" t="s">
        <v>92</v>
      </c>
      <c r="B13" s="16" t="s">
        <v>93</v>
      </c>
      <c r="C13" s="17">
        <f t="shared" ref="C13:W13" si="1">SUM(C8)</f>
        <v>1040</v>
      </c>
      <c r="D13" s="17">
        <f t="shared" si="1"/>
        <v>2364.0300000000002</v>
      </c>
      <c r="E13" s="17">
        <f t="shared" si="1"/>
        <v>2364.0300000000002</v>
      </c>
      <c r="F13" s="17">
        <f t="shared" si="1"/>
        <v>2364.0300000000002</v>
      </c>
      <c r="G13" s="17">
        <f t="shared" si="1"/>
        <v>2364.0300000000002</v>
      </c>
      <c r="H13" s="17">
        <f t="shared" si="1"/>
        <v>2364.0300000000002</v>
      </c>
      <c r="I13" s="17">
        <f t="shared" si="1"/>
        <v>2364.0300000000002</v>
      </c>
      <c r="J13" s="17">
        <f t="shared" si="1"/>
        <v>2364.0300000000002</v>
      </c>
      <c r="K13" s="17">
        <f t="shared" si="1"/>
        <v>2364.0300000000002</v>
      </c>
      <c r="L13" s="17">
        <f t="shared" si="1"/>
        <v>2364.0300000000002</v>
      </c>
      <c r="M13" s="17">
        <f t="shared" si="1"/>
        <v>2364.0300000000002</v>
      </c>
      <c r="N13" s="17">
        <f t="shared" si="1"/>
        <v>2364.0300000000002</v>
      </c>
      <c r="O13" s="17">
        <f t="shared" si="1"/>
        <v>2364.0300000000002</v>
      </c>
      <c r="P13" s="17">
        <f t="shared" si="1"/>
        <v>2364.0300000000002</v>
      </c>
      <c r="Q13" s="17">
        <f t="shared" si="1"/>
        <v>2364.0300000000002</v>
      </c>
      <c r="R13" s="17">
        <f t="shared" si="1"/>
        <v>2364.0300000000002</v>
      </c>
      <c r="S13" s="17">
        <f t="shared" si="1"/>
        <v>2364.0300000000002</v>
      </c>
      <c r="T13" s="17">
        <f t="shared" si="1"/>
        <v>2364.0300000000002</v>
      </c>
      <c r="U13" s="17">
        <f t="shared" si="1"/>
        <v>2364.0300000000002</v>
      </c>
      <c r="V13" s="17">
        <f t="shared" si="1"/>
        <v>2364.0300000000002</v>
      </c>
      <c r="W13" s="17">
        <f t="shared" si="1"/>
        <v>2364.0300000000002</v>
      </c>
      <c r="X13" s="17">
        <f>SUM(D13:G13)</f>
        <v>9456.1200000000008</v>
      </c>
      <c r="Y13" s="17">
        <f>SUM(H13:K13)</f>
        <v>9456.1200000000008</v>
      </c>
      <c r="Z13" s="17">
        <f>SUM(L13:O13)</f>
        <v>9456.1200000000008</v>
      </c>
      <c r="AA13" s="17">
        <f>SUM(P13:S13)</f>
        <v>9456.1200000000008</v>
      </c>
      <c r="AB13" s="17">
        <f>SUM(T13:W13)</f>
        <v>9456.1200000000008</v>
      </c>
    </row>
    <row r="14" spans="1:28" x14ac:dyDescent="0.3">
      <c r="A14" s="18" t="s">
        <v>94</v>
      </c>
      <c r="B14" s="18" t="s">
        <v>95</v>
      </c>
      <c r="C14" s="19">
        <f t="shared" ref="C14:W14" si="2">SUM(C11)</f>
        <v>117000</v>
      </c>
      <c r="D14" s="19">
        <f t="shared" si="2"/>
        <v>265953.37500000006</v>
      </c>
      <c r="E14" s="19">
        <f t="shared" si="2"/>
        <v>283499.20566000004</v>
      </c>
      <c r="F14" s="19">
        <f t="shared" si="2"/>
        <v>301385.45664000005</v>
      </c>
      <c r="G14" s="19">
        <f t="shared" si="2"/>
        <v>319612.12794000003</v>
      </c>
      <c r="H14" s="19">
        <f t="shared" si="2"/>
        <v>338179.21956000006</v>
      </c>
      <c r="I14" s="19">
        <f t="shared" si="2"/>
        <v>357086.73150000005</v>
      </c>
      <c r="J14" s="19">
        <f t="shared" si="2"/>
        <v>376334.66376000008</v>
      </c>
      <c r="K14" s="19">
        <f t="shared" si="2"/>
        <v>395923.01634000003</v>
      </c>
      <c r="L14" s="19">
        <f t="shared" si="2"/>
        <v>415851.78924000001</v>
      </c>
      <c r="M14" s="19">
        <f t="shared" si="2"/>
        <v>436120.98246000003</v>
      </c>
      <c r="N14" s="19">
        <f t="shared" si="2"/>
        <v>456730.59600000002</v>
      </c>
      <c r="O14" s="19">
        <f t="shared" si="2"/>
        <v>458937.0237793572</v>
      </c>
      <c r="P14" s="19">
        <f t="shared" si="2"/>
        <v>461143.45155871444</v>
      </c>
      <c r="Q14" s="19">
        <f t="shared" si="2"/>
        <v>463349.87933807162</v>
      </c>
      <c r="R14" s="19">
        <f t="shared" si="2"/>
        <v>465556.30711742881</v>
      </c>
      <c r="S14" s="19">
        <f t="shared" si="2"/>
        <v>467762.73688257125</v>
      </c>
      <c r="T14" s="19">
        <f t="shared" si="2"/>
        <v>469969.16466192843</v>
      </c>
      <c r="U14" s="19">
        <f t="shared" si="2"/>
        <v>472175.59244128561</v>
      </c>
      <c r="V14" s="19">
        <f t="shared" si="2"/>
        <v>474382.02022064285</v>
      </c>
      <c r="W14" s="19">
        <f t="shared" si="2"/>
        <v>476588.44800000003</v>
      </c>
      <c r="X14" s="19">
        <f>SUM(D14:G14)</f>
        <v>1170450.1652400002</v>
      </c>
      <c r="Y14" s="19">
        <f>SUM(H14:K14)</f>
        <v>1467523.6311600003</v>
      </c>
      <c r="Z14" s="19">
        <f>SUM(L14:O14)</f>
        <v>1767640.3914793571</v>
      </c>
      <c r="AA14" s="19">
        <f>SUM(P14:S14)</f>
        <v>1857812.3748967862</v>
      </c>
      <c r="AB14" s="19">
        <f>SUM(T14:W14)</f>
        <v>1893115.225323857</v>
      </c>
    </row>
    <row r="16" spans="1:28" x14ac:dyDescent="0.3">
      <c r="A16" s="53" t="s">
        <v>96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</row>
    <row r="17" spans="1:28" x14ac:dyDescent="0.3">
      <c r="A17" s="20" t="s">
        <v>97</v>
      </c>
      <c r="B17" s="20" t="s">
        <v>98</v>
      </c>
      <c r="C17" s="21">
        <f>0</f>
        <v>0</v>
      </c>
      <c r="D17" s="21">
        <f t="shared" ref="D17:W17" si="3">IFERROR(D14/C14-1,0)</f>
        <v>1.2731057692307699</v>
      </c>
      <c r="E17" s="21">
        <f t="shared" si="3"/>
        <v>6.5973333333333217E-2</v>
      </c>
      <c r="F17" s="21">
        <f t="shared" si="3"/>
        <v>6.3091009155951339E-2</v>
      </c>
      <c r="G17" s="21">
        <f t="shared" si="3"/>
        <v>6.0476280120481896E-2</v>
      </c>
      <c r="H17" s="21">
        <f t="shared" si="3"/>
        <v>5.8092575333954732E-2</v>
      </c>
      <c r="I17" s="21">
        <f t="shared" si="3"/>
        <v>5.5909739115846069E-2</v>
      </c>
      <c r="J17" s="21">
        <f t="shared" si="3"/>
        <v>5.3902681231380312E-2</v>
      </c>
      <c r="K17" s="21">
        <f t="shared" si="3"/>
        <v>5.2050354289160161E-2</v>
      </c>
      <c r="L17" s="21">
        <f t="shared" si="3"/>
        <v>5.0334969369111082E-2</v>
      </c>
      <c r="M17" s="21">
        <f t="shared" si="3"/>
        <v>4.8741387543488779E-2</v>
      </c>
      <c r="N17" s="21">
        <f t="shared" si="3"/>
        <v>4.7256642924512926E-2</v>
      </c>
      <c r="O17" s="21">
        <f t="shared" si="3"/>
        <v>4.8309173913043679E-3</v>
      </c>
      <c r="P17" s="21">
        <f t="shared" si="3"/>
        <v>4.8076918292345727E-3</v>
      </c>
      <c r="Q17" s="21">
        <f t="shared" si="3"/>
        <v>4.7846885213249646E-3</v>
      </c>
      <c r="R17" s="21">
        <f t="shared" si="3"/>
        <v>4.7619042925168831E-3</v>
      </c>
      <c r="S17" s="21">
        <f t="shared" si="3"/>
        <v>4.7393402933448847E-3</v>
      </c>
      <c r="T17" s="21">
        <f t="shared" si="3"/>
        <v>4.7169806514772983E-3</v>
      </c>
      <c r="U17" s="21">
        <f t="shared" si="3"/>
        <v>4.69483520465519E-3</v>
      </c>
      <c r="V17" s="21">
        <f t="shared" si="3"/>
        <v>4.6728967246048025E-3</v>
      </c>
      <c r="W17" s="21">
        <f t="shared" si="3"/>
        <v>4.6511623234180011E-3</v>
      </c>
      <c r="X17" s="21">
        <f t="shared" ref="X17:X28" si="4">AVERAGE(D17:G17)</f>
        <v>0.36566159796013409</v>
      </c>
      <c r="Y17" s="21">
        <f t="shared" ref="Y17:Y28" si="5">AVERAGE(H17:K17)</f>
        <v>5.4988837492585319E-2</v>
      </c>
      <c r="Z17" s="21">
        <f t="shared" ref="Z17:Z28" si="6">AVERAGE(L17:O17)</f>
        <v>3.7790979307104289E-2</v>
      </c>
      <c r="AA17" s="21">
        <f t="shared" ref="AA17:AA28" si="7">AVERAGE(P17:S17)</f>
        <v>4.7734062341053263E-3</v>
      </c>
      <c r="AB17" s="21">
        <f t="shared" ref="AB17:AB28" si="8">AVERAGE(T17:W17)</f>
        <v>4.683968726038823E-3</v>
      </c>
    </row>
    <row r="18" spans="1:28" x14ac:dyDescent="0.3">
      <c r="A18" s="7" t="s">
        <v>99</v>
      </c>
      <c r="B18" s="7" t="s">
        <v>100</v>
      </c>
      <c r="C18" s="12">
        <v>0</v>
      </c>
      <c r="D18" s="12">
        <v>0.5</v>
      </c>
      <c r="E18" s="12">
        <v>0.5</v>
      </c>
      <c r="F18" s="12">
        <v>0.5</v>
      </c>
      <c r="G18" s="12">
        <v>0.5</v>
      </c>
      <c r="H18" s="12">
        <v>0.5</v>
      </c>
      <c r="I18" s="12">
        <v>0.5</v>
      </c>
      <c r="J18" s="12">
        <v>0.5</v>
      </c>
      <c r="K18" s="12">
        <v>0.5</v>
      </c>
      <c r="L18" s="12">
        <v>0.5</v>
      </c>
      <c r="M18" s="12">
        <v>0.5</v>
      </c>
      <c r="N18" s="12">
        <v>0.5</v>
      </c>
      <c r="O18" s="12">
        <v>0.5</v>
      </c>
      <c r="P18" s="12">
        <v>0.5</v>
      </c>
      <c r="Q18" s="12">
        <v>0.5</v>
      </c>
      <c r="R18" s="12">
        <v>0.5</v>
      </c>
      <c r="S18" s="12">
        <v>0.5</v>
      </c>
      <c r="T18" s="12">
        <v>0.5</v>
      </c>
      <c r="U18" s="12">
        <v>0.5</v>
      </c>
      <c r="V18" s="12">
        <v>0.5</v>
      </c>
      <c r="W18" s="12">
        <v>0.5</v>
      </c>
      <c r="X18" s="13">
        <f t="shared" si="4"/>
        <v>0.5</v>
      </c>
      <c r="Y18" s="13">
        <f t="shared" si="5"/>
        <v>0.5</v>
      </c>
      <c r="Z18" s="13">
        <f t="shared" si="6"/>
        <v>0.5</v>
      </c>
      <c r="AA18" s="13">
        <f t="shared" si="7"/>
        <v>0.5</v>
      </c>
      <c r="AB18" s="13">
        <f t="shared" si="8"/>
        <v>0.5</v>
      </c>
    </row>
    <row r="19" spans="1:28" x14ac:dyDescent="0.3">
      <c r="A19" s="7" t="s">
        <v>101</v>
      </c>
      <c r="B19" s="7" t="s">
        <v>100</v>
      </c>
      <c r="C19" s="12">
        <v>0</v>
      </c>
      <c r="D19" s="12">
        <v>0.75</v>
      </c>
      <c r="E19" s="12">
        <v>0.75</v>
      </c>
      <c r="F19" s="12">
        <v>0.75</v>
      </c>
      <c r="G19" s="12">
        <v>0.75</v>
      </c>
      <c r="H19" s="12">
        <v>0.75</v>
      </c>
      <c r="I19" s="12">
        <v>0.75</v>
      </c>
      <c r="J19" s="12">
        <v>0.75</v>
      </c>
      <c r="K19" s="12">
        <v>0.75</v>
      </c>
      <c r="L19" s="12">
        <v>0.75</v>
      </c>
      <c r="M19" s="12">
        <v>0.75</v>
      </c>
      <c r="N19" s="12">
        <v>0.75</v>
      </c>
      <c r="O19" s="12">
        <v>0.75</v>
      </c>
      <c r="P19" s="12">
        <v>0.75</v>
      </c>
      <c r="Q19" s="12">
        <v>0.75</v>
      </c>
      <c r="R19" s="12">
        <v>0.75</v>
      </c>
      <c r="S19" s="12">
        <v>0.75</v>
      </c>
      <c r="T19" s="12">
        <v>0.75</v>
      </c>
      <c r="U19" s="12">
        <v>0.75</v>
      </c>
      <c r="V19" s="12">
        <v>0.75</v>
      </c>
      <c r="W19" s="12">
        <v>0.75</v>
      </c>
      <c r="X19" s="13">
        <f t="shared" si="4"/>
        <v>0.75</v>
      </c>
      <c r="Y19" s="13">
        <f t="shared" si="5"/>
        <v>0.75</v>
      </c>
      <c r="Z19" s="13">
        <f t="shared" si="6"/>
        <v>0.75</v>
      </c>
      <c r="AA19" s="13">
        <f t="shared" si="7"/>
        <v>0.75</v>
      </c>
      <c r="AB19" s="13">
        <f t="shared" si="8"/>
        <v>0.75</v>
      </c>
    </row>
    <row r="20" spans="1:28" x14ac:dyDescent="0.3">
      <c r="A20" s="7" t="s">
        <v>102</v>
      </c>
      <c r="B20" s="7" t="s">
        <v>100</v>
      </c>
      <c r="C20" s="12">
        <v>0</v>
      </c>
      <c r="D20" s="12">
        <v>0.75</v>
      </c>
      <c r="E20" s="12">
        <v>0.75</v>
      </c>
      <c r="F20" s="12">
        <v>0.75</v>
      </c>
      <c r="G20" s="12">
        <v>0.75</v>
      </c>
      <c r="H20" s="12">
        <v>0.75</v>
      </c>
      <c r="I20" s="12">
        <v>0.75</v>
      </c>
      <c r="J20" s="12">
        <v>0.75</v>
      </c>
      <c r="K20" s="12">
        <v>0.75</v>
      </c>
      <c r="L20" s="12">
        <v>0.75</v>
      </c>
      <c r="M20" s="12">
        <v>0.75</v>
      </c>
      <c r="N20" s="12">
        <v>0.75</v>
      </c>
      <c r="O20" s="12">
        <v>0.75</v>
      </c>
      <c r="P20" s="12">
        <v>0.75</v>
      </c>
      <c r="Q20" s="12">
        <v>0.75</v>
      </c>
      <c r="R20" s="12">
        <v>0.75</v>
      </c>
      <c r="S20" s="12">
        <v>0.75</v>
      </c>
      <c r="T20" s="12">
        <v>0.75</v>
      </c>
      <c r="U20" s="12">
        <v>0.75</v>
      </c>
      <c r="V20" s="12">
        <v>0.75</v>
      </c>
      <c r="W20" s="12">
        <v>0.75</v>
      </c>
      <c r="X20" s="13">
        <f t="shared" si="4"/>
        <v>0.75</v>
      </c>
      <c r="Y20" s="13">
        <f t="shared" si="5"/>
        <v>0.75</v>
      </c>
      <c r="Z20" s="13">
        <f t="shared" si="6"/>
        <v>0.75</v>
      </c>
      <c r="AA20" s="13">
        <f t="shared" si="7"/>
        <v>0.75</v>
      </c>
      <c r="AB20" s="13">
        <f t="shared" si="8"/>
        <v>0.75</v>
      </c>
    </row>
    <row r="21" spans="1:28" x14ac:dyDescent="0.3">
      <c r="A21" s="7" t="s">
        <v>103</v>
      </c>
      <c r="B21" s="7" t="s">
        <v>100</v>
      </c>
      <c r="C21" s="12">
        <v>0</v>
      </c>
      <c r="D21" s="12">
        <v>0.25</v>
      </c>
      <c r="E21" s="12">
        <v>0.31</v>
      </c>
      <c r="F21" s="12">
        <v>0.37</v>
      </c>
      <c r="G21" s="12">
        <v>0.43</v>
      </c>
      <c r="H21" s="12">
        <v>0.49</v>
      </c>
      <c r="I21" s="12">
        <v>0.55000000000000004</v>
      </c>
      <c r="J21" s="12">
        <v>0.61</v>
      </c>
      <c r="K21" s="12">
        <v>0.67</v>
      </c>
      <c r="L21" s="12">
        <v>0.73</v>
      </c>
      <c r="M21" s="12">
        <v>0.79</v>
      </c>
      <c r="N21" s="12">
        <v>0.85</v>
      </c>
      <c r="O21" s="12">
        <v>0.85</v>
      </c>
      <c r="P21" s="12">
        <v>0.85</v>
      </c>
      <c r="Q21" s="12">
        <v>0.85</v>
      </c>
      <c r="R21" s="12">
        <v>0.85</v>
      </c>
      <c r="S21" s="12">
        <v>0.85</v>
      </c>
      <c r="T21" s="12">
        <v>0.85</v>
      </c>
      <c r="U21" s="12">
        <v>0.85</v>
      </c>
      <c r="V21" s="12">
        <v>0.85</v>
      </c>
      <c r="W21" s="12">
        <v>0.85</v>
      </c>
      <c r="X21" s="13">
        <f t="shared" si="4"/>
        <v>0.34</v>
      </c>
      <c r="Y21" s="13">
        <f t="shared" si="5"/>
        <v>0.57999999999999996</v>
      </c>
      <c r="Z21" s="13">
        <f t="shared" si="6"/>
        <v>0.80500000000000005</v>
      </c>
      <c r="AA21" s="13">
        <f t="shared" si="7"/>
        <v>0.85</v>
      </c>
      <c r="AB21" s="13">
        <f t="shared" si="8"/>
        <v>0.85</v>
      </c>
    </row>
    <row r="22" spans="1:28" x14ac:dyDescent="0.3">
      <c r="A22" s="7" t="s">
        <v>104</v>
      </c>
      <c r="B22" s="7" t="s">
        <v>100</v>
      </c>
      <c r="C22" s="12">
        <v>0</v>
      </c>
      <c r="D22" s="12">
        <v>0.69</v>
      </c>
      <c r="E22" s="12">
        <v>0.69</v>
      </c>
      <c r="F22" s="12">
        <v>0.69</v>
      </c>
      <c r="G22" s="12">
        <v>0.69</v>
      </c>
      <c r="H22" s="12">
        <v>0.69</v>
      </c>
      <c r="I22" s="12">
        <v>0.69</v>
      </c>
      <c r="J22" s="12">
        <v>0.69</v>
      </c>
      <c r="K22" s="12">
        <v>0.69</v>
      </c>
      <c r="L22" s="12">
        <v>0.69</v>
      </c>
      <c r="M22" s="12">
        <v>0.69</v>
      </c>
      <c r="N22" s="12">
        <v>0.69</v>
      </c>
      <c r="O22" s="12">
        <v>0.69</v>
      </c>
      <c r="P22" s="12">
        <v>0.69</v>
      </c>
      <c r="Q22" s="12">
        <v>0.69</v>
      </c>
      <c r="R22" s="12">
        <v>0.69</v>
      </c>
      <c r="S22" s="12">
        <v>0.69</v>
      </c>
      <c r="T22" s="12">
        <v>0.69</v>
      </c>
      <c r="U22" s="12">
        <v>0.69</v>
      </c>
      <c r="V22" s="12">
        <v>0.69</v>
      </c>
      <c r="W22" s="12">
        <v>0.69</v>
      </c>
      <c r="X22" s="13">
        <f t="shared" si="4"/>
        <v>0.69</v>
      </c>
      <c r="Y22" s="13">
        <f t="shared" si="5"/>
        <v>0.69</v>
      </c>
      <c r="Z22" s="13">
        <f t="shared" si="6"/>
        <v>0.69</v>
      </c>
      <c r="AA22" s="13">
        <f t="shared" si="7"/>
        <v>0.69</v>
      </c>
      <c r="AB22" s="13">
        <f t="shared" si="8"/>
        <v>0.69</v>
      </c>
    </row>
    <row r="23" spans="1:28" x14ac:dyDescent="0.3">
      <c r="A23" s="7" t="s">
        <v>105</v>
      </c>
      <c r="B23" s="7" t="s">
        <v>100</v>
      </c>
      <c r="C23" s="12">
        <v>0</v>
      </c>
      <c r="D23" s="12">
        <v>0.75</v>
      </c>
      <c r="E23" s="12">
        <v>0.75</v>
      </c>
      <c r="F23" s="12">
        <v>0.75</v>
      </c>
      <c r="G23" s="12">
        <v>0.75</v>
      </c>
      <c r="H23" s="12">
        <v>0.75</v>
      </c>
      <c r="I23" s="12">
        <v>0.75</v>
      </c>
      <c r="J23" s="12">
        <v>0.75</v>
      </c>
      <c r="K23" s="12">
        <v>0.75</v>
      </c>
      <c r="L23" s="12">
        <v>0.75</v>
      </c>
      <c r="M23" s="12">
        <v>0.75</v>
      </c>
      <c r="N23" s="12">
        <v>0.75</v>
      </c>
      <c r="O23" s="12">
        <v>0.75</v>
      </c>
      <c r="P23" s="12">
        <v>0.75</v>
      </c>
      <c r="Q23" s="12">
        <v>0.75</v>
      </c>
      <c r="R23" s="12">
        <v>0.75</v>
      </c>
      <c r="S23" s="12">
        <v>0.75</v>
      </c>
      <c r="T23" s="12">
        <v>0.75</v>
      </c>
      <c r="U23" s="12">
        <v>0.75</v>
      </c>
      <c r="V23" s="12">
        <v>0.75</v>
      </c>
      <c r="W23" s="12">
        <v>0.75</v>
      </c>
      <c r="X23" s="13">
        <f t="shared" si="4"/>
        <v>0.75</v>
      </c>
      <c r="Y23" s="13">
        <f t="shared" si="5"/>
        <v>0.75</v>
      </c>
      <c r="Z23" s="13">
        <f t="shared" si="6"/>
        <v>0.75</v>
      </c>
      <c r="AA23" s="13">
        <f t="shared" si="7"/>
        <v>0.75</v>
      </c>
      <c r="AB23" s="13">
        <f t="shared" si="8"/>
        <v>0.75</v>
      </c>
    </row>
    <row r="24" spans="1:28" x14ac:dyDescent="0.3">
      <c r="A24" s="7" t="s">
        <v>106</v>
      </c>
      <c r="B24" s="7" t="s">
        <v>100</v>
      </c>
      <c r="C24" s="12">
        <v>0</v>
      </c>
      <c r="D24" s="12">
        <v>0.28000000000000003</v>
      </c>
      <c r="E24" s="12">
        <v>0.28000000000000003</v>
      </c>
      <c r="F24" s="12">
        <v>0.28000000000000003</v>
      </c>
      <c r="G24" s="12">
        <v>0.28000000000000003</v>
      </c>
      <c r="H24" s="12">
        <v>0.28000000000000003</v>
      </c>
      <c r="I24" s="12">
        <v>0.28000000000000003</v>
      </c>
      <c r="J24" s="12">
        <v>0.28000000000000003</v>
      </c>
      <c r="K24" s="12">
        <v>0.28000000000000003</v>
      </c>
      <c r="L24" s="12">
        <v>0.28000000000000003</v>
      </c>
      <c r="M24" s="12">
        <v>0.28000000000000003</v>
      </c>
      <c r="N24" s="12">
        <v>0.28000000000000003</v>
      </c>
      <c r="O24" s="12">
        <v>0.28000000000000003</v>
      </c>
      <c r="P24" s="12">
        <v>0.28000000000000003</v>
      </c>
      <c r="Q24" s="12">
        <v>0.28000000000000003</v>
      </c>
      <c r="R24" s="12">
        <v>0.28000000000000003</v>
      </c>
      <c r="S24" s="12">
        <v>0.28000000000000003</v>
      </c>
      <c r="T24" s="12">
        <v>0.28000000000000003</v>
      </c>
      <c r="U24" s="12">
        <v>0.28000000000000003</v>
      </c>
      <c r="V24" s="12">
        <v>0.28000000000000003</v>
      </c>
      <c r="W24" s="12">
        <v>0.28000000000000003</v>
      </c>
      <c r="X24" s="13">
        <f t="shared" si="4"/>
        <v>0.28000000000000003</v>
      </c>
      <c r="Y24" s="13">
        <f t="shared" si="5"/>
        <v>0.28000000000000003</v>
      </c>
      <c r="Z24" s="13">
        <f t="shared" si="6"/>
        <v>0.28000000000000003</v>
      </c>
      <c r="AA24" s="13">
        <f t="shared" si="7"/>
        <v>0.28000000000000003</v>
      </c>
      <c r="AB24" s="13">
        <f t="shared" si="8"/>
        <v>0.28000000000000003</v>
      </c>
    </row>
    <row r="25" spans="1:28" x14ac:dyDescent="0.3">
      <c r="A25" s="7" t="s">
        <v>107</v>
      </c>
      <c r="B25" s="7" t="s">
        <v>100</v>
      </c>
      <c r="C25" s="12">
        <v>0</v>
      </c>
      <c r="D25" s="12">
        <v>0.02</v>
      </c>
      <c r="E25" s="12">
        <v>0.02</v>
      </c>
      <c r="F25" s="12">
        <v>0.02</v>
      </c>
      <c r="G25" s="12">
        <v>0.02</v>
      </c>
      <c r="H25" s="12">
        <v>0.02</v>
      </c>
      <c r="I25" s="12">
        <v>0.02</v>
      </c>
      <c r="J25" s="12">
        <v>0.02</v>
      </c>
      <c r="K25" s="12">
        <v>0.02</v>
      </c>
      <c r="L25" s="12">
        <v>0.02</v>
      </c>
      <c r="M25" s="12">
        <v>0.02</v>
      </c>
      <c r="N25" s="12">
        <v>0.02</v>
      </c>
      <c r="O25" s="12">
        <v>0.02</v>
      </c>
      <c r="P25" s="12">
        <v>0.02</v>
      </c>
      <c r="Q25" s="12">
        <v>0.02</v>
      </c>
      <c r="R25" s="12">
        <v>0.02</v>
      </c>
      <c r="S25" s="12">
        <v>0.02</v>
      </c>
      <c r="T25" s="12">
        <v>0.02</v>
      </c>
      <c r="U25" s="12">
        <v>0.02</v>
      </c>
      <c r="V25" s="12">
        <v>0.02</v>
      </c>
      <c r="W25" s="12">
        <v>0.02</v>
      </c>
      <c r="X25" s="13">
        <f t="shared" si="4"/>
        <v>0.02</v>
      </c>
      <c r="Y25" s="13">
        <f t="shared" si="5"/>
        <v>0.02</v>
      </c>
      <c r="Z25" s="13">
        <f t="shared" si="6"/>
        <v>0.02</v>
      </c>
      <c r="AA25" s="13">
        <f t="shared" si="7"/>
        <v>0.02</v>
      </c>
      <c r="AB25" s="13">
        <f t="shared" si="8"/>
        <v>0.02</v>
      </c>
    </row>
    <row r="26" spans="1:28" x14ac:dyDescent="0.3">
      <c r="A26" s="7" t="s">
        <v>108</v>
      </c>
      <c r="B26" s="7" t="s">
        <v>100</v>
      </c>
      <c r="C26" s="12">
        <v>0</v>
      </c>
      <c r="D26" s="12">
        <v>0.28000000000000003</v>
      </c>
      <c r="E26" s="12">
        <v>0.28000000000000003</v>
      </c>
      <c r="F26" s="12">
        <v>0.28000000000000003</v>
      </c>
      <c r="G26" s="12">
        <v>0.28000000000000003</v>
      </c>
      <c r="H26" s="12">
        <v>0.28000000000000003</v>
      </c>
      <c r="I26" s="12">
        <v>0.28000000000000003</v>
      </c>
      <c r="J26" s="12">
        <v>0.28000000000000003</v>
      </c>
      <c r="K26" s="12">
        <v>0.28000000000000003</v>
      </c>
      <c r="L26" s="12">
        <v>0.28000000000000003</v>
      </c>
      <c r="M26" s="12">
        <v>0.28000000000000003</v>
      </c>
      <c r="N26" s="12">
        <v>0.28000000000000003</v>
      </c>
      <c r="O26" s="12">
        <v>0.28000000000000003</v>
      </c>
      <c r="P26" s="12">
        <v>0.28000000000000003</v>
      </c>
      <c r="Q26" s="12">
        <v>0.28000000000000003</v>
      </c>
      <c r="R26" s="12">
        <v>0.28000000000000003</v>
      </c>
      <c r="S26" s="12">
        <v>0.28000000000000003</v>
      </c>
      <c r="T26" s="12">
        <v>0.28000000000000003</v>
      </c>
      <c r="U26" s="12">
        <v>0.28000000000000003</v>
      </c>
      <c r="V26" s="12">
        <v>0.28000000000000003</v>
      </c>
      <c r="W26" s="12">
        <v>0.28000000000000003</v>
      </c>
      <c r="X26" s="13">
        <f t="shared" si="4"/>
        <v>0.28000000000000003</v>
      </c>
      <c r="Y26" s="13">
        <f t="shared" si="5"/>
        <v>0.28000000000000003</v>
      </c>
      <c r="Z26" s="13">
        <f t="shared" si="6"/>
        <v>0.28000000000000003</v>
      </c>
      <c r="AA26" s="13">
        <f t="shared" si="7"/>
        <v>0.28000000000000003</v>
      </c>
      <c r="AB26" s="13">
        <f t="shared" si="8"/>
        <v>0.28000000000000003</v>
      </c>
    </row>
    <row r="27" spans="1:28" x14ac:dyDescent="0.3">
      <c r="A27" s="7" t="s">
        <v>109</v>
      </c>
      <c r="B27" s="7" t="s">
        <v>100</v>
      </c>
      <c r="C27" s="12">
        <v>0</v>
      </c>
      <c r="D27" s="12">
        <v>0.04</v>
      </c>
      <c r="E27" s="12">
        <v>0.04</v>
      </c>
      <c r="F27" s="12">
        <v>0.04</v>
      </c>
      <c r="G27" s="12">
        <v>0.04</v>
      </c>
      <c r="H27" s="12">
        <v>0.04</v>
      </c>
      <c r="I27" s="12">
        <v>0.04</v>
      </c>
      <c r="J27" s="12">
        <v>0.04</v>
      </c>
      <c r="K27" s="12">
        <v>0.04</v>
      </c>
      <c r="L27" s="12">
        <v>0.04</v>
      </c>
      <c r="M27" s="12">
        <v>0.04</v>
      </c>
      <c r="N27" s="12">
        <v>0.04</v>
      </c>
      <c r="O27" s="12">
        <v>0.04</v>
      </c>
      <c r="P27" s="12">
        <v>0.04</v>
      </c>
      <c r="Q27" s="12">
        <v>0.04</v>
      </c>
      <c r="R27" s="12">
        <v>0.04</v>
      </c>
      <c r="S27" s="12">
        <v>0.04</v>
      </c>
      <c r="T27" s="12">
        <v>0.04</v>
      </c>
      <c r="U27" s="12">
        <v>0.04</v>
      </c>
      <c r="V27" s="12">
        <v>0.04</v>
      </c>
      <c r="W27" s="12">
        <v>0.04</v>
      </c>
      <c r="X27" s="13">
        <f t="shared" si="4"/>
        <v>0.04</v>
      </c>
      <c r="Y27" s="13">
        <f t="shared" si="5"/>
        <v>0.04</v>
      </c>
      <c r="Z27" s="13">
        <f t="shared" si="6"/>
        <v>0.04</v>
      </c>
      <c r="AA27" s="13">
        <f t="shared" si="7"/>
        <v>0.04</v>
      </c>
      <c r="AB27" s="13">
        <f t="shared" si="8"/>
        <v>0.04</v>
      </c>
    </row>
    <row r="28" spans="1:28" x14ac:dyDescent="0.3">
      <c r="A28" s="7" t="s">
        <v>110</v>
      </c>
      <c r="B28" s="7" t="s">
        <v>100</v>
      </c>
      <c r="C28" s="12">
        <v>0</v>
      </c>
      <c r="D28" s="12">
        <v>-0.1</v>
      </c>
      <c r="E28" s="12">
        <v>-0.1</v>
      </c>
      <c r="F28" s="12">
        <v>-0.1</v>
      </c>
      <c r="G28" s="12">
        <v>-0.1</v>
      </c>
      <c r="H28" s="12">
        <v>-0.09</v>
      </c>
      <c r="I28" s="12">
        <v>-7.0000000000000007E-2</v>
      </c>
      <c r="J28" s="12">
        <v>-0.06</v>
      </c>
      <c r="K28" s="12">
        <v>-0.05</v>
      </c>
      <c r="L28" s="12">
        <v>-0.03</v>
      </c>
      <c r="M28" s="12">
        <v>-0.02</v>
      </c>
      <c r="N28" s="12">
        <v>0</v>
      </c>
      <c r="O28" s="12">
        <v>0.01</v>
      </c>
      <c r="P28" s="12">
        <v>0.01</v>
      </c>
      <c r="Q28" s="12">
        <v>0.02</v>
      </c>
      <c r="R28" s="12">
        <v>0.02</v>
      </c>
      <c r="S28" s="12">
        <v>0.03</v>
      </c>
      <c r="T28" s="12">
        <v>0.03</v>
      </c>
      <c r="U28" s="12">
        <v>0.04</v>
      </c>
      <c r="V28" s="12">
        <v>0.04</v>
      </c>
      <c r="W28" s="12">
        <v>0.05</v>
      </c>
      <c r="X28" s="13">
        <f t="shared" si="4"/>
        <v>-0.1</v>
      </c>
      <c r="Y28" s="13">
        <f t="shared" si="5"/>
        <v>-6.7500000000000004E-2</v>
      </c>
      <c r="Z28" s="13">
        <f t="shared" si="6"/>
        <v>-0.01</v>
      </c>
      <c r="AA28" s="13">
        <f t="shared" si="7"/>
        <v>0.02</v>
      </c>
      <c r="AB28" s="13">
        <f t="shared" si="8"/>
        <v>4.0000000000000008E-2</v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14" width="16" customWidth="1"/>
    <col min="15" max="28" width="14" customWidth="1"/>
  </cols>
  <sheetData>
    <row r="1" spans="1:28" ht="21" x14ac:dyDescent="0.4">
      <c r="A1" s="1" t="s">
        <v>111</v>
      </c>
    </row>
    <row r="2" spans="1:28" x14ac:dyDescent="0.3">
      <c r="A2" s="2" t="s">
        <v>112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113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t="s">
        <v>114</v>
      </c>
      <c r="B7" t="s">
        <v>115</v>
      </c>
    </row>
    <row r="8" spans="1:28" x14ac:dyDescent="0.3">
      <c r="A8" t="s">
        <v>116</v>
      </c>
      <c r="B8" t="s">
        <v>117</v>
      </c>
    </row>
    <row r="9" spans="1:28" x14ac:dyDescent="0.3">
      <c r="A9" t="s">
        <v>118</v>
      </c>
      <c r="B9" t="s">
        <v>119</v>
      </c>
    </row>
    <row r="10" spans="1:28" x14ac:dyDescent="0.3">
      <c r="A10" t="s">
        <v>120</v>
      </c>
      <c r="B10">
        <v>1.2</v>
      </c>
    </row>
    <row r="11" spans="1:28" x14ac:dyDescent="0.3">
      <c r="A11" t="s">
        <v>121</v>
      </c>
      <c r="B11">
        <v>606.21</v>
      </c>
    </row>
    <row r="12" spans="1:28" x14ac:dyDescent="0.3">
      <c r="A12" t="s">
        <v>122</v>
      </c>
      <c r="B12">
        <v>0.45</v>
      </c>
    </row>
    <row r="14" spans="1:28" x14ac:dyDescent="0.3">
      <c r="A14" s="53" t="s">
        <v>123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1:28" x14ac:dyDescent="0.3">
      <c r="A15" s="20" t="s">
        <v>124</v>
      </c>
      <c r="B15" s="20" t="s">
        <v>125</v>
      </c>
      <c r="C15" s="22">
        <f>SUMIFS($G$27:$G$86,$A$27:$A$86,0)</f>
        <v>0</v>
      </c>
      <c r="D15" s="22">
        <f>SUMIFS($G$27:$G$86,$A$27:$A$86,1)</f>
        <v>3</v>
      </c>
      <c r="E15" s="22">
        <f>SUMIFS($G$27:$G$86,$A$27:$A$86,2)</f>
        <v>3</v>
      </c>
      <c r="F15" s="22">
        <f>SUMIFS($G$27:$G$86,$A$27:$A$86,3)</f>
        <v>3</v>
      </c>
      <c r="G15" s="22">
        <f>SUMIFS($G$27:$G$86,$A$27:$A$86,4)</f>
        <v>3</v>
      </c>
      <c r="H15" s="22">
        <f>SUMIFS($G$27:$G$86,$A$27:$A$86,5)</f>
        <v>3</v>
      </c>
      <c r="I15" s="22">
        <f>SUMIFS($G$27:$G$86,$A$27:$A$86,6)</f>
        <v>3</v>
      </c>
      <c r="J15" s="22">
        <f>SUMIFS($G$27:$G$86,$A$27:$A$86,7)</f>
        <v>3</v>
      </c>
      <c r="K15" s="22">
        <f>SUMIFS($G$27:$G$86,$A$27:$A$86,8)</f>
        <v>3</v>
      </c>
      <c r="L15" s="22">
        <f>SUMIFS($G$27:$G$86,$A$27:$A$86,9)</f>
        <v>3</v>
      </c>
      <c r="M15" s="22">
        <f>SUMIFS($G$27:$G$86,$A$27:$A$86,10)</f>
        <v>3</v>
      </c>
      <c r="N15" s="22">
        <f>SUMIFS($G$27:$G$86,$A$27:$A$86,11)</f>
        <v>3</v>
      </c>
      <c r="O15" s="22">
        <f>SUMIFS($G$27:$G$86,$A$27:$A$86,12)</f>
        <v>3</v>
      </c>
      <c r="P15" s="22">
        <f>SUMIFS($G$27:$G$86,$A$27:$A$86,13)</f>
        <v>3</v>
      </c>
      <c r="Q15" s="22">
        <f>SUMIFS($G$27:$G$86,$A$27:$A$86,14)</f>
        <v>3</v>
      </c>
      <c r="R15" s="22">
        <f>SUMIFS($G$27:$G$86,$A$27:$A$86,15)</f>
        <v>3</v>
      </c>
      <c r="S15" s="22">
        <f>SUMIFS($G$27:$G$86,$A$27:$A$86,16)</f>
        <v>3</v>
      </c>
      <c r="T15" s="22">
        <f>SUMIFS($G$27:$G$86,$A$27:$A$86,17)</f>
        <v>3</v>
      </c>
      <c r="U15" s="22">
        <f>SUMIFS($G$27:$G$86,$A$27:$A$86,18)</f>
        <v>3</v>
      </c>
      <c r="V15" s="22">
        <f>SUMIFS($G$27:$G$86,$A$27:$A$86,19)</f>
        <v>3</v>
      </c>
      <c r="W15" s="22">
        <f>SUMIFS($G$27:$G$86,$A$27:$A$86,20)</f>
        <v>3</v>
      </c>
      <c r="X15" s="22">
        <f>G15</f>
        <v>3</v>
      </c>
      <c r="Y15" s="22">
        <f>K15</f>
        <v>3</v>
      </c>
      <c r="Z15" s="22">
        <f>O15</f>
        <v>3</v>
      </c>
      <c r="AA15" s="22">
        <f>S15</f>
        <v>3</v>
      </c>
      <c r="AB15" s="22">
        <f>W15</f>
        <v>3</v>
      </c>
    </row>
    <row r="16" spans="1:28" x14ac:dyDescent="0.3">
      <c r="A16" s="20" t="s">
        <v>126</v>
      </c>
      <c r="B16" s="20" t="s">
        <v>125</v>
      </c>
      <c r="C16" s="22">
        <f>SUMIFS($H$27:$H$86,$A$27:$A$86,0)</f>
        <v>0</v>
      </c>
      <c r="D16" s="22">
        <f>SUMIFS($H$27:$H$86,$A$27:$A$86,1)</f>
        <v>3</v>
      </c>
      <c r="E16" s="22">
        <f>SUMIFS($H$27:$H$86,$A$27:$A$86,2)</f>
        <v>3</v>
      </c>
      <c r="F16" s="22">
        <f>SUMIFS($H$27:$H$86,$A$27:$A$86,3)</f>
        <v>3</v>
      </c>
      <c r="G16" s="22">
        <f>SUMIFS($H$27:$H$86,$A$27:$A$86,4)</f>
        <v>3</v>
      </c>
      <c r="H16" s="22">
        <f>SUMIFS($H$27:$H$86,$A$27:$A$86,5)</f>
        <v>3</v>
      </c>
      <c r="I16" s="22">
        <f>SUMIFS($H$27:$H$86,$A$27:$A$86,6)</f>
        <v>3</v>
      </c>
      <c r="J16" s="22">
        <f>SUMIFS($H$27:$H$86,$A$27:$A$86,7)</f>
        <v>3</v>
      </c>
      <c r="K16" s="22">
        <f>SUMIFS($H$27:$H$86,$A$27:$A$86,8)</f>
        <v>3</v>
      </c>
      <c r="L16" s="22">
        <f>SUMIFS($H$27:$H$86,$A$27:$A$86,9)</f>
        <v>3</v>
      </c>
      <c r="M16" s="22">
        <f>SUMIFS($H$27:$H$86,$A$27:$A$86,10)</f>
        <v>3</v>
      </c>
      <c r="N16" s="22">
        <f>SUMIFS($H$27:$H$86,$A$27:$A$86,11)</f>
        <v>3</v>
      </c>
      <c r="O16" s="22">
        <f>SUMIFS($H$27:$H$86,$A$27:$A$86,12)</f>
        <v>3</v>
      </c>
      <c r="P16" s="22">
        <f>SUMIFS($H$27:$H$86,$A$27:$A$86,13)</f>
        <v>3</v>
      </c>
      <c r="Q16" s="22">
        <f>SUMIFS($H$27:$H$86,$A$27:$A$86,14)</f>
        <v>3</v>
      </c>
      <c r="R16" s="22">
        <f>SUMIFS($H$27:$H$86,$A$27:$A$86,15)</f>
        <v>3</v>
      </c>
      <c r="S16" s="22">
        <f>SUMIFS($H$27:$H$86,$A$27:$A$86,16)</f>
        <v>3</v>
      </c>
      <c r="T16" s="22">
        <f>SUMIFS($H$27:$H$86,$A$27:$A$86,17)</f>
        <v>3</v>
      </c>
      <c r="U16" s="22">
        <f>SUMIFS($H$27:$H$86,$A$27:$A$86,18)</f>
        <v>3</v>
      </c>
      <c r="V16" s="22">
        <f>SUMIFS($H$27:$H$86,$A$27:$A$86,19)</f>
        <v>3</v>
      </c>
      <c r="W16" s="22">
        <f>SUMIFS($H$27:$H$86,$A$27:$A$86,20)</f>
        <v>3</v>
      </c>
      <c r="X16" s="22">
        <f>AVERAGE(D16:G16)</f>
        <v>3</v>
      </c>
      <c r="Y16" s="22">
        <f>AVERAGE(H16:K16)</f>
        <v>3</v>
      </c>
      <c r="Z16" s="22">
        <f>AVERAGE(L16:O16)</f>
        <v>3</v>
      </c>
      <c r="AA16" s="22">
        <f>AVERAGE(P16:S16)</f>
        <v>3</v>
      </c>
      <c r="AB16" s="22">
        <f>AVERAGE(T16:W16)</f>
        <v>3</v>
      </c>
    </row>
    <row r="17" spans="1:28" x14ac:dyDescent="0.3">
      <c r="A17" s="23" t="s">
        <v>127</v>
      </c>
      <c r="B17" s="23" t="s">
        <v>125</v>
      </c>
      <c r="C17" s="24">
        <f>SUMIFS($M$27:$M$86,$A$27:$A$86,0)</f>
        <v>0</v>
      </c>
      <c r="D17" s="24">
        <f>SUMIFS($M$27:$M$86,$A$27:$A$86,1)</f>
        <v>106929.45</v>
      </c>
      <c r="E17" s="24">
        <f>SUMIFS($M$27:$M$86,$A$27:$A$86,2)</f>
        <v>106929.45</v>
      </c>
      <c r="F17" s="24">
        <f>SUMIFS($M$27:$M$86,$A$27:$A$86,3)</f>
        <v>106929.45</v>
      </c>
      <c r="G17" s="24">
        <f>SUMIFS($M$27:$M$86,$A$27:$A$86,4)</f>
        <v>106929.45</v>
      </c>
      <c r="H17" s="24">
        <f>SUMIFS($M$27:$M$86,$A$27:$A$86,5)</f>
        <v>110137.575</v>
      </c>
      <c r="I17" s="24">
        <f>SUMIFS($M$27:$M$86,$A$27:$A$86,6)</f>
        <v>110137.575</v>
      </c>
      <c r="J17" s="24">
        <f>SUMIFS($M$27:$M$86,$A$27:$A$86,7)</f>
        <v>110137.575</v>
      </c>
      <c r="K17" s="24">
        <f>SUMIFS($M$27:$M$86,$A$27:$A$86,8)</f>
        <v>110137.575</v>
      </c>
      <c r="L17" s="24">
        <f>SUMIFS($M$27:$M$86,$A$27:$A$86,9)</f>
        <v>113441.20749999999</v>
      </c>
      <c r="M17" s="24">
        <f>SUMIFS($M$27:$M$86,$A$27:$A$86,10)</f>
        <v>113441.20749999999</v>
      </c>
      <c r="N17" s="24">
        <f>SUMIFS($M$27:$M$86,$A$27:$A$86,11)</f>
        <v>113441.20749999999</v>
      </c>
      <c r="O17" s="24">
        <f>SUMIFS($M$27:$M$86,$A$27:$A$86,12)</f>
        <v>113441.20749999999</v>
      </c>
      <c r="P17" s="24">
        <f>SUMIFS($M$27:$M$86,$A$27:$A$86,13)</f>
        <v>116844.655</v>
      </c>
      <c r="Q17" s="24">
        <f>SUMIFS($M$27:$M$86,$A$27:$A$86,14)</f>
        <v>116844.655</v>
      </c>
      <c r="R17" s="24">
        <f>SUMIFS($M$27:$M$86,$A$27:$A$86,15)</f>
        <v>116844.655</v>
      </c>
      <c r="S17" s="24">
        <f>SUMIFS($M$27:$M$86,$A$27:$A$86,16)</f>
        <v>116844.655</v>
      </c>
      <c r="T17" s="24">
        <f>SUMIFS($M$27:$M$86,$A$27:$A$86,17)</f>
        <v>120350.0675</v>
      </c>
      <c r="U17" s="24">
        <f>SUMIFS($M$27:$M$86,$A$27:$A$86,18)</f>
        <v>120350.0675</v>
      </c>
      <c r="V17" s="24">
        <f>SUMIFS($M$27:$M$86,$A$27:$A$86,19)</f>
        <v>120350.0675</v>
      </c>
      <c r="W17" s="24">
        <f>SUMIFS($M$27:$M$86,$A$27:$A$86,20)</f>
        <v>120350.0675</v>
      </c>
      <c r="X17" s="24">
        <f>SUM(D17:G17)</f>
        <v>427717.8</v>
      </c>
      <c r="Y17" s="24">
        <f>SUM(H17:K17)</f>
        <v>440550.3</v>
      </c>
      <c r="Z17" s="24">
        <f>SUM(L17:O17)</f>
        <v>453764.82999999996</v>
      </c>
      <c r="AA17" s="24">
        <f>SUM(P17:S17)</f>
        <v>467378.62</v>
      </c>
      <c r="AB17" s="24">
        <f>SUM(T17:W17)</f>
        <v>481400.27</v>
      </c>
    </row>
    <row r="18" spans="1:28" x14ac:dyDescent="0.3">
      <c r="A18" s="20" t="s">
        <v>94</v>
      </c>
      <c r="B18" s="20" t="s">
        <v>128</v>
      </c>
      <c r="C18" s="25">
        <f>'Revenue Drivers'!C14</f>
        <v>117000</v>
      </c>
      <c r="D18" s="25">
        <f>'Revenue Drivers'!D14</f>
        <v>265953.37500000006</v>
      </c>
      <c r="E18" s="25">
        <f>'Revenue Drivers'!E14</f>
        <v>283499.20566000004</v>
      </c>
      <c r="F18" s="25">
        <f>'Revenue Drivers'!F14</f>
        <v>301385.45664000005</v>
      </c>
      <c r="G18" s="25">
        <f>'Revenue Drivers'!G14</f>
        <v>319612.12794000003</v>
      </c>
      <c r="H18" s="25">
        <f>'Revenue Drivers'!H14</f>
        <v>338179.21956000006</v>
      </c>
      <c r="I18" s="25">
        <f>'Revenue Drivers'!I14</f>
        <v>357086.73150000005</v>
      </c>
      <c r="J18" s="25">
        <f>'Revenue Drivers'!J14</f>
        <v>376334.66376000008</v>
      </c>
      <c r="K18" s="25">
        <f>'Revenue Drivers'!K14</f>
        <v>395923.01634000003</v>
      </c>
      <c r="L18" s="25">
        <f>'Revenue Drivers'!L14</f>
        <v>415851.78924000001</v>
      </c>
      <c r="M18" s="25">
        <f>'Revenue Drivers'!M14</f>
        <v>436120.98246000003</v>
      </c>
      <c r="N18" s="25">
        <f>'Revenue Drivers'!N14</f>
        <v>456730.59600000002</v>
      </c>
      <c r="O18" s="25">
        <f>'Revenue Drivers'!O14</f>
        <v>458937.0237793572</v>
      </c>
      <c r="P18" s="25">
        <f>'Revenue Drivers'!P14</f>
        <v>461143.45155871444</v>
      </c>
      <c r="Q18" s="25">
        <f>'Revenue Drivers'!Q14</f>
        <v>463349.87933807162</v>
      </c>
      <c r="R18" s="25">
        <f>'Revenue Drivers'!R14</f>
        <v>465556.30711742881</v>
      </c>
      <c r="S18" s="25">
        <f>'Revenue Drivers'!S14</f>
        <v>467762.73688257125</v>
      </c>
      <c r="T18" s="25">
        <f>'Revenue Drivers'!T14</f>
        <v>469969.16466192843</v>
      </c>
      <c r="U18" s="25">
        <f>'Revenue Drivers'!U14</f>
        <v>472175.59244128561</v>
      </c>
      <c r="V18" s="25">
        <f>'Revenue Drivers'!V14</f>
        <v>474382.02022064285</v>
      </c>
      <c r="W18" s="25">
        <f>'Revenue Drivers'!W14</f>
        <v>476588.44800000003</v>
      </c>
      <c r="X18" s="25">
        <f>SUM(D18:G18)</f>
        <v>1170450.1652400002</v>
      </c>
      <c r="Y18" s="25">
        <f>SUM(H18:K18)</f>
        <v>1467523.6311600003</v>
      </c>
      <c r="Z18" s="25">
        <f>SUM(L18:O18)</f>
        <v>1767640.3914793571</v>
      </c>
      <c r="AA18" s="25">
        <f>SUM(P18:S18)</f>
        <v>1857812.3748967862</v>
      </c>
      <c r="AB18" s="25">
        <f>SUM(T18:W18)</f>
        <v>1893115.225323857</v>
      </c>
    </row>
    <row r="19" spans="1:28" x14ac:dyDescent="0.3">
      <c r="A19" s="20" t="s">
        <v>92</v>
      </c>
      <c r="B19" s="20" t="s">
        <v>128</v>
      </c>
      <c r="C19" s="22">
        <f>'Revenue Drivers'!C13</f>
        <v>1040</v>
      </c>
      <c r="D19" s="22">
        <f>'Revenue Drivers'!D13</f>
        <v>2364.0300000000002</v>
      </c>
      <c r="E19" s="22">
        <f>'Revenue Drivers'!E13</f>
        <v>2364.0300000000002</v>
      </c>
      <c r="F19" s="22">
        <f>'Revenue Drivers'!F13</f>
        <v>2364.0300000000002</v>
      </c>
      <c r="G19" s="22">
        <f>'Revenue Drivers'!G13</f>
        <v>2364.0300000000002</v>
      </c>
      <c r="H19" s="22">
        <f>'Revenue Drivers'!H13</f>
        <v>2364.0300000000002</v>
      </c>
      <c r="I19" s="22">
        <f>'Revenue Drivers'!I13</f>
        <v>2364.0300000000002</v>
      </c>
      <c r="J19" s="22">
        <f>'Revenue Drivers'!J13</f>
        <v>2364.0300000000002</v>
      </c>
      <c r="K19" s="22">
        <f>'Revenue Drivers'!K13</f>
        <v>2364.0300000000002</v>
      </c>
      <c r="L19" s="22">
        <f>'Revenue Drivers'!L13</f>
        <v>2364.0300000000002</v>
      </c>
      <c r="M19" s="22">
        <f>'Revenue Drivers'!M13</f>
        <v>2364.0300000000002</v>
      </c>
      <c r="N19" s="22">
        <f>'Revenue Drivers'!N13</f>
        <v>2364.0300000000002</v>
      </c>
      <c r="O19" s="22">
        <f>'Revenue Drivers'!O13</f>
        <v>2364.0300000000002</v>
      </c>
      <c r="P19" s="22">
        <f>'Revenue Drivers'!P13</f>
        <v>2364.0300000000002</v>
      </c>
      <c r="Q19" s="22">
        <f>'Revenue Drivers'!Q13</f>
        <v>2364.0300000000002</v>
      </c>
      <c r="R19" s="22">
        <f>'Revenue Drivers'!R13</f>
        <v>2364.0300000000002</v>
      </c>
      <c r="S19" s="22">
        <f>'Revenue Drivers'!S13</f>
        <v>2364.0300000000002</v>
      </c>
      <c r="T19" s="22">
        <f>'Revenue Drivers'!T13</f>
        <v>2364.0300000000002</v>
      </c>
      <c r="U19" s="22">
        <f>'Revenue Drivers'!U13</f>
        <v>2364.0300000000002</v>
      </c>
      <c r="V19" s="22">
        <f>'Revenue Drivers'!V13</f>
        <v>2364.0300000000002</v>
      </c>
      <c r="W19" s="22">
        <f>'Revenue Drivers'!W13</f>
        <v>2364.0300000000002</v>
      </c>
      <c r="X19" s="22">
        <f>SUM(D19:G19)</f>
        <v>9456.1200000000008</v>
      </c>
      <c r="Y19" s="22">
        <f>SUM(H19:K19)</f>
        <v>9456.1200000000008</v>
      </c>
      <c r="Z19" s="22">
        <f>SUM(L19:O19)</f>
        <v>9456.1200000000008</v>
      </c>
      <c r="AA19" s="22">
        <f>SUM(P19:S19)</f>
        <v>9456.1200000000008</v>
      </c>
      <c r="AB19" s="22">
        <f>SUM(T19:W19)</f>
        <v>9456.1200000000008</v>
      </c>
    </row>
    <row r="20" spans="1:28" x14ac:dyDescent="0.3">
      <c r="A20" s="23" t="s">
        <v>129</v>
      </c>
      <c r="B20" s="23" t="s">
        <v>130</v>
      </c>
      <c r="C20" s="24">
        <f t="shared" ref="C20:AB20" si="0">IFERROR(C18/C16,0)</f>
        <v>0</v>
      </c>
      <c r="D20" s="24">
        <f t="shared" si="0"/>
        <v>88651.125000000015</v>
      </c>
      <c r="E20" s="24">
        <f t="shared" si="0"/>
        <v>94499.735220000017</v>
      </c>
      <c r="F20" s="24">
        <f t="shared" si="0"/>
        <v>100461.81888000002</v>
      </c>
      <c r="G20" s="24">
        <f t="shared" si="0"/>
        <v>106537.37598000001</v>
      </c>
      <c r="H20" s="24">
        <f t="shared" si="0"/>
        <v>112726.40652000002</v>
      </c>
      <c r="I20" s="24">
        <f t="shared" si="0"/>
        <v>119028.91050000001</v>
      </c>
      <c r="J20" s="24">
        <f t="shared" si="0"/>
        <v>125444.88792000002</v>
      </c>
      <c r="K20" s="24">
        <f t="shared" si="0"/>
        <v>131974.33878000002</v>
      </c>
      <c r="L20" s="24">
        <f t="shared" si="0"/>
        <v>138617.26308</v>
      </c>
      <c r="M20" s="24">
        <f t="shared" si="0"/>
        <v>145373.66082000002</v>
      </c>
      <c r="N20" s="24">
        <f t="shared" si="0"/>
        <v>152243.53200000001</v>
      </c>
      <c r="O20" s="24">
        <f t="shared" si="0"/>
        <v>152979.00792645241</v>
      </c>
      <c r="P20" s="24">
        <f t="shared" si="0"/>
        <v>153714.48385290481</v>
      </c>
      <c r="Q20" s="24">
        <f t="shared" si="0"/>
        <v>154449.95977935722</v>
      </c>
      <c r="R20" s="24">
        <f t="shared" si="0"/>
        <v>155185.43570580959</v>
      </c>
      <c r="S20" s="24">
        <f t="shared" si="0"/>
        <v>155920.91229419041</v>
      </c>
      <c r="T20" s="24">
        <f t="shared" si="0"/>
        <v>156656.38822064281</v>
      </c>
      <c r="U20" s="24">
        <f t="shared" si="0"/>
        <v>157391.86414709521</v>
      </c>
      <c r="V20" s="24">
        <f t="shared" si="0"/>
        <v>158127.34007354762</v>
      </c>
      <c r="W20" s="24">
        <f t="shared" si="0"/>
        <v>158862.81600000002</v>
      </c>
      <c r="X20" s="24">
        <f t="shared" si="0"/>
        <v>390150.05508000008</v>
      </c>
      <c r="Y20" s="24">
        <f t="shared" si="0"/>
        <v>489174.54372000013</v>
      </c>
      <c r="Z20" s="24">
        <f t="shared" si="0"/>
        <v>589213.46382645238</v>
      </c>
      <c r="AA20" s="24">
        <f t="shared" si="0"/>
        <v>619270.79163226206</v>
      </c>
      <c r="AB20" s="24">
        <f t="shared" si="0"/>
        <v>631038.40844128572</v>
      </c>
    </row>
    <row r="21" spans="1:28" x14ac:dyDescent="0.3">
      <c r="A21" s="23" t="s">
        <v>131</v>
      </c>
      <c r="B21" s="23" t="s">
        <v>130</v>
      </c>
      <c r="C21" s="26">
        <f t="shared" ref="C21:AB21" si="1">IFERROR(C19/C16,0)</f>
        <v>0</v>
      </c>
      <c r="D21" s="26">
        <f t="shared" si="1"/>
        <v>788.0100000000001</v>
      </c>
      <c r="E21" s="26">
        <f t="shared" si="1"/>
        <v>788.0100000000001</v>
      </c>
      <c r="F21" s="26">
        <f t="shared" si="1"/>
        <v>788.0100000000001</v>
      </c>
      <c r="G21" s="26">
        <f t="shared" si="1"/>
        <v>788.0100000000001</v>
      </c>
      <c r="H21" s="26">
        <f t="shared" si="1"/>
        <v>788.0100000000001</v>
      </c>
      <c r="I21" s="26">
        <f t="shared" si="1"/>
        <v>788.0100000000001</v>
      </c>
      <c r="J21" s="26">
        <f t="shared" si="1"/>
        <v>788.0100000000001</v>
      </c>
      <c r="K21" s="26">
        <f t="shared" si="1"/>
        <v>788.0100000000001</v>
      </c>
      <c r="L21" s="26">
        <f t="shared" si="1"/>
        <v>788.0100000000001</v>
      </c>
      <c r="M21" s="26">
        <f t="shared" si="1"/>
        <v>788.0100000000001</v>
      </c>
      <c r="N21" s="26">
        <f t="shared" si="1"/>
        <v>788.0100000000001</v>
      </c>
      <c r="O21" s="26">
        <f t="shared" si="1"/>
        <v>788.0100000000001</v>
      </c>
      <c r="P21" s="26">
        <f t="shared" si="1"/>
        <v>788.0100000000001</v>
      </c>
      <c r="Q21" s="26">
        <f t="shared" si="1"/>
        <v>788.0100000000001</v>
      </c>
      <c r="R21" s="26">
        <f t="shared" si="1"/>
        <v>788.0100000000001</v>
      </c>
      <c r="S21" s="26">
        <f t="shared" si="1"/>
        <v>788.0100000000001</v>
      </c>
      <c r="T21" s="26">
        <f t="shared" si="1"/>
        <v>788.0100000000001</v>
      </c>
      <c r="U21" s="26">
        <f t="shared" si="1"/>
        <v>788.0100000000001</v>
      </c>
      <c r="V21" s="26">
        <f t="shared" si="1"/>
        <v>788.0100000000001</v>
      </c>
      <c r="W21" s="26">
        <f t="shared" si="1"/>
        <v>788.0100000000001</v>
      </c>
      <c r="X21" s="26">
        <f t="shared" si="1"/>
        <v>3152.0400000000004</v>
      </c>
      <c r="Y21" s="26">
        <f t="shared" si="1"/>
        <v>3152.0400000000004</v>
      </c>
      <c r="Z21" s="26">
        <f t="shared" si="1"/>
        <v>3152.0400000000004</v>
      </c>
      <c r="AA21" s="26">
        <f t="shared" si="1"/>
        <v>3152.0400000000004</v>
      </c>
      <c r="AB21" s="26">
        <f t="shared" si="1"/>
        <v>3152.0400000000004</v>
      </c>
    </row>
    <row r="22" spans="1:28" x14ac:dyDescent="0.3">
      <c r="A22" s="20" t="s">
        <v>132</v>
      </c>
      <c r="B22" s="20" t="s">
        <v>130</v>
      </c>
      <c r="C22" s="21">
        <f t="shared" ref="C22:AB22" si="2">IFERROR(C17/C18,0)</f>
        <v>0</v>
      </c>
      <c r="D22" s="21">
        <f t="shared" si="2"/>
        <v>0.40206088755218833</v>
      </c>
      <c r="E22" s="21">
        <f t="shared" si="2"/>
        <v>0.37717724729091567</v>
      </c>
      <c r="F22" s="21">
        <f t="shared" si="2"/>
        <v>0.35479299894594934</v>
      </c>
      <c r="G22" s="21">
        <f t="shared" si="2"/>
        <v>0.33456005155121521</v>
      </c>
      <c r="H22" s="21">
        <f t="shared" si="2"/>
        <v>0.32567812754224923</v>
      </c>
      <c r="I22" s="21">
        <f t="shared" si="2"/>
        <v>0.30843368090813528</v>
      </c>
      <c r="J22" s="21">
        <f t="shared" si="2"/>
        <v>0.29265859780123266</v>
      </c>
      <c r="K22" s="21">
        <f t="shared" si="2"/>
        <v>0.27817926832881834</v>
      </c>
      <c r="L22" s="21">
        <f t="shared" si="2"/>
        <v>0.27279239968480645</v>
      </c>
      <c r="M22" s="21">
        <f t="shared" si="2"/>
        <v>0.26011407857544333</v>
      </c>
      <c r="N22" s="21">
        <f t="shared" si="2"/>
        <v>0.24837663273165081</v>
      </c>
      <c r="O22" s="21">
        <f t="shared" si="2"/>
        <v>0.24718251442389411</v>
      </c>
      <c r="P22" s="21">
        <f t="shared" si="2"/>
        <v>0.25338027593160545</v>
      </c>
      <c r="Q22" s="21">
        <f t="shared" si="2"/>
        <v>0.25217370330800759</v>
      </c>
      <c r="R22" s="21">
        <f t="shared" si="2"/>
        <v>0.25097856739062047</v>
      </c>
      <c r="S22" s="21">
        <f t="shared" si="2"/>
        <v>0.2497947052788283</v>
      </c>
      <c r="T22" s="21">
        <f t="shared" si="2"/>
        <v>0.25608077412179509</v>
      </c>
      <c r="U22" s="21">
        <f t="shared" si="2"/>
        <v>0.25488413511116709</v>
      </c>
      <c r="V22" s="21">
        <f t="shared" si="2"/>
        <v>0.25369862762510098</v>
      </c>
      <c r="W22" s="21">
        <f t="shared" si="2"/>
        <v>0.25252409705910456</v>
      </c>
      <c r="X22" s="21">
        <f t="shared" si="2"/>
        <v>0.36543016755634072</v>
      </c>
      <c r="Y22" s="21">
        <f t="shared" si="2"/>
        <v>0.30019979961192728</v>
      </c>
      <c r="Z22" s="21">
        <f t="shared" si="2"/>
        <v>0.25670652932989346</v>
      </c>
      <c r="AA22" s="21">
        <f t="shared" si="2"/>
        <v>0.25157471567922246</v>
      </c>
      <c r="AB22" s="21">
        <f t="shared" si="2"/>
        <v>0.25428999965791643</v>
      </c>
    </row>
    <row r="25" spans="1:28" x14ac:dyDescent="0.3">
      <c r="A25" s="53" t="s">
        <v>133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 spans="1:28" x14ac:dyDescent="0.3">
      <c r="A26" s="27" t="s">
        <v>134</v>
      </c>
      <c r="B26" s="27" t="s">
        <v>135</v>
      </c>
      <c r="C26" s="27" t="s">
        <v>136</v>
      </c>
      <c r="D26" s="27" t="s">
        <v>137</v>
      </c>
      <c r="E26" s="27" t="s">
        <v>138</v>
      </c>
      <c r="F26" s="27" t="s">
        <v>139</v>
      </c>
      <c r="G26" s="27" t="s">
        <v>140</v>
      </c>
      <c r="H26" s="27" t="s">
        <v>141</v>
      </c>
      <c r="I26" s="27" t="s">
        <v>142</v>
      </c>
      <c r="J26" s="27" t="s">
        <v>143</v>
      </c>
      <c r="K26" s="27" t="s">
        <v>144</v>
      </c>
      <c r="L26" s="27" t="s">
        <v>145</v>
      </c>
      <c r="M26" s="27" t="s">
        <v>127</v>
      </c>
      <c r="N26" s="27" t="s">
        <v>146</v>
      </c>
    </row>
    <row r="27" spans="1:28" x14ac:dyDescent="0.3">
      <c r="A27">
        <v>1</v>
      </c>
      <c r="B27" t="s">
        <v>147</v>
      </c>
      <c r="C27" t="s">
        <v>148</v>
      </c>
      <c r="E27" s="28">
        <v>1</v>
      </c>
      <c r="F27" s="28">
        <v>0</v>
      </c>
      <c r="G27" s="29">
        <f t="shared" ref="G27:G58" si="3">E27+F27</f>
        <v>1</v>
      </c>
      <c r="H27" s="29">
        <f t="shared" ref="H27:H58" si="4">(E27+G27)/2</f>
        <v>1</v>
      </c>
      <c r="I27" s="30">
        <v>149770</v>
      </c>
      <c r="J27" s="31">
        <v>0.22</v>
      </c>
      <c r="K27" s="32">
        <f t="shared" ref="K27:K58" si="5">H27*I27/4</f>
        <v>37442.5</v>
      </c>
      <c r="L27" s="32">
        <f t="shared" ref="L27:L58" si="6">K27*J27</f>
        <v>8237.35</v>
      </c>
      <c r="M27" s="32">
        <f t="shared" ref="M27:M58" si="7">K27+L27</f>
        <v>45679.85</v>
      </c>
      <c r="N27" t="s">
        <v>149</v>
      </c>
    </row>
    <row r="28" spans="1:28" x14ac:dyDescent="0.3">
      <c r="A28">
        <v>2</v>
      </c>
      <c r="B28" t="s">
        <v>147</v>
      </c>
      <c r="C28" t="s">
        <v>148</v>
      </c>
      <c r="E28" s="28">
        <v>1</v>
      </c>
      <c r="F28" s="28">
        <v>0</v>
      </c>
      <c r="G28" s="29">
        <f t="shared" si="3"/>
        <v>1</v>
      </c>
      <c r="H28" s="29">
        <f t="shared" si="4"/>
        <v>1</v>
      </c>
      <c r="I28" s="30">
        <v>149770</v>
      </c>
      <c r="J28" s="31">
        <v>0.22</v>
      </c>
      <c r="K28" s="32">
        <f t="shared" si="5"/>
        <v>37442.5</v>
      </c>
      <c r="L28" s="32">
        <f t="shared" si="6"/>
        <v>8237.35</v>
      </c>
      <c r="M28" s="32">
        <f t="shared" si="7"/>
        <v>45679.85</v>
      </c>
      <c r="N28" t="s">
        <v>149</v>
      </c>
    </row>
    <row r="29" spans="1:28" x14ac:dyDescent="0.3">
      <c r="A29">
        <v>3</v>
      </c>
      <c r="B29" t="s">
        <v>147</v>
      </c>
      <c r="C29" t="s">
        <v>148</v>
      </c>
      <c r="E29" s="28">
        <v>1</v>
      </c>
      <c r="F29" s="28">
        <v>0</v>
      </c>
      <c r="G29" s="29">
        <f t="shared" si="3"/>
        <v>1</v>
      </c>
      <c r="H29" s="29">
        <f t="shared" si="4"/>
        <v>1</v>
      </c>
      <c r="I29" s="30">
        <v>149770</v>
      </c>
      <c r="J29" s="31">
        <v>0.22</v>
      </c>
      <c r="K29" s="32">
        <f t="shared" si="5"/>
        <v>37442.5</v>
      </c>
      <c r="L29" s="32">
        <f t="shared" si="6"/>
        <v>8237.35</v>
      </c>
      <c r="M29" s="32">
        <f t="shared" si="7"/>
        <v>45679.85</v>
      </c>
      <c r="N29" t="s">
        <v>149</v>
      </c>
    </row>
    <row r="30" spans="1:28" x14ac:dyDescent="0.3">
      <c r="A30">
        <v>4</v>
      </c>
      <c r="B30" t="s">
        <v>147</v>
      </c>
      <c r="C30" t="s">
        <v>148</v>
      </c>
      <c r="E30" s="28">
        <v>1</v>
      </c>
      <c r="F30" s="28">
        <v>0</v>
      </c>
      <c r="G30" s="29">
        <f t="shared" si="3"/>
        <v>1</v>
      </c>
      <c r="H30" s="29">
        <f t="shared" si="4"/>
        <v>1</v>
      </c>
      <c r="I30" s="30">
        <v>149770</v>
      </c>
      <c r="J30" s="31">
        <v>0.22</v>
      </c>
      <c r="K30" s="32">
        <f t="shared" si="5"/>
        <v>37442.5</v>
      </c>
      <c r="L30" s="32">
        <f t="shared" si="6"/>
        <v>8237.35</v>
      </c>
      <c r="M30" s="32">
        <f t="shared" si="7"/>
        <v>45679.85</v>
      </c>
      <c r="N30" t="s">
        <v>149</v>
      </c>
    </row>
    <row r="31" spans="1:28" x14ac:dyDescent="0.3">
      <c r="A31">
        <v>5</v>
      </c>
      <c r="B31" t="s">
        <v>147</v>
      </c>
      <c r="C31" t="s">
        <v>148</v>
      </c>
      <c r="E31" s="28">
        <v>1</v>
      </c>
      <c r="F31" s="28">
        <v>0</v>
      </c>
      <c r="G31" s="29">
        <f t="shared" si="3"/>
        <v>1</v>
      </c>
      <c r="H31" s="29">
        <f t="shared" si="4"/>
        <v>1</v>
      </c>
      <c r="I31" s="30">
        <v>154263</v>
      </c>
      <c r="J31" s="31">
        <v>0.22</v>
      </c>
      <c r="K31" s="32">
        <f t="shared" si="5"/>
        <v>38565.75</v>
      </c>
      <c r="L31" s="32">
        <f t="shared" si="6"/>
        <v>8484.4650000000001</v>
      </c>
      <c r="M31" s="32">
        <f t="shared" si="7"/>
        <v>47050.214999999997</v>
      </c>
      <c r="N31" t="s">
        <v>149</v>
      </c>
    </row>
    <row r="32" spans="1:28" x14ac:dyDescent="0.3">
      <c r="A32">
        <v>6</v>
      </c>
      <c r="B32" t="s">
        <v>147</v>
      </c>
      <c r="C32" t="s">
        <v>148</v>
      </c>
      <c r="E32" s="28">
        <v>1</v>
      </c>
      <c r="F32" s="28">
        <v>0</v>
      </c>
      <c r="G32" s="29">
        <f t="shared" si="3"/>
        <v>1</v>
      </c>
      <c r="H32" s="29">
        <f t="shared" si="4"/>
        <v>1</v>
      </c>
      <c r="I32" s="30">
        <v>154263</v>
      </c>
      <c r="J32" s="31">
        <v>0.22</v>
      </c>
      <c r="K32" s="32">
        <f t="shared" si="5"/>
        <v>38565.75</v>
      </c>
      <c r="L32" s="32">
        <f t="shared" si="6"/>
        <v>8484.4650000000001</v>
      </c>
      <c r="M32" s="32">
        <f t="shared" si="7"/>
        <v>47050.214999999997</v>
      </c>
      <c r="N32" t="s">
        <v>149</v>
      </c>
    </row>
    <row r="33" spans="1:14" x14ac:dyDescent="0.3">
      <c r="A33">
        <v>7</v>
      </c>
      <c r="B33" t="s">
        <v>147</v>
      </c>
      <c r="C33" t="s">
        <v>148</v>
      </c>
      <c r="E33" s="28">
        <v>1</v>
      </c>
      <c r="F33" s="28">
        <v>0</v>
      </c>
      <c r="G33" s="29">
        <f t="shared" si="3"/>
        <v>1</v>
      </c>
      <c r="H33" s="29">
        <f t="shared" si="4"/>
        <v>1</v>
      </c>
      <c r="I33" s="30">
        <v>154263</v>
      </c>
      <c r="J33" s="31">
        <v>0.22</v>
      </c>
      <c r="K33" s="32">
        <f t="shared" si="5"/>
        <v>38565.75</v>
      </c>
      <c r="L33" s="32">
        <f t="shared" si="6"/>
        <v>8484.4650000000001</v>
      </c>
      <c r="M33" s="32">
        <f t="shared" si="7"/>
        <v>47050.214999999997</v>
      </c>
      <c r="N33" t="s">
        <v>149</v>
      </c>
    </row>
    <row r="34" spans="1:14" x14ac:dyDescent="0.3">
      <c r="A34">
        <v>8</v>
      </c>
      <c r="B34" t="s">
        <v>147</v>
      </c>
      <c r="C34" t="s">
        <v>148</v>
      </c>
      <c r="E34" s="28">
        <v>1</v>
      </c>
      <c r="F34" s="28">
        <v>0</v>
      </c>
      <c r="G34" s="29">
        <f t="shared" si="3"/>
        <v>1</v>
      </c>
      <c r="H34" s="29">
        <f t="shared" si="4"/>
        <v>1</v>
      </c>
      <c r="I34" s="30">
        <v>154263</v>
      </c>
      <c r="J34" s="31">
        <v>0.22</v>
      </c>
      <c r="K34" s="32">
        <f t="shared" si="5"/>
        <v>38565.75</v>
      </c>
      <c r="L34" s="32">
        <f t="shared" si="6"/>
        <v>8484.4650000000001</v>
      </c>
      <c r="M34" s="32">
        <f t="shared" si="7"/>
        <v>47050.214999999997</v>
      </c>
      <c r="N34" t="s">
        <v>149</v>
      </c>
    </row>
    <row r="35" spans="1:14" x14ac:dyDescent="0.3">
      <c r="A35">
        <v>9</v>
      </c>
      <c r="B35" t="s">
        <v>147</v>
      </c>
      <c r="C35" t="s">
        <v>148</v>
      </c>
      <c r="E35" s="28">
        <v>1</v>
      </c>
      <c r="F35" s="28">
        <v>0</v>
      </c>
      <c r="G35" s="29">
        <f t="shared" si="3"/>
        <v>1</v>
      </c>
      <c r="H35" s="29">
        <f t="shared" si="4"/>
        <v>1</v>
      </c>
      <c r="I35" s="30">
        <v>158891</v>
      </c>
      <c r="J35" s="31">
        <v>0.22</v>
      </c>
      <c r="K35" s="32">
        <f t="shared" si="5"/>
        <v>39722.75</v>
      </c>
      <c r="L35" s="32">
        <f t="shared" si="6"/>
        <v>8739.0049999999992</v>
      </c>
      <c r="M35" s="32">
        <f t="shared" si="7"/>
        <v>48461.754999999997</v>
      </c>
      <c r="N35" t="s">
        <v>149</v>
      </c>
    </row>
    <row r="36" spans="1:14" x14ac:dyDescent="0.3">
      <c r="A36">
        <v>10</v>
      </c>
      <c r="B36" t="s">
        <v>147</v>
      </c>
      <c r="C36" t="s">
        <v>148</v>
      </c>
      <c r="E36" s="28">
        <v>1</v>
      </c>
      <c r="F36" s="28">
        <v>0</v>
      </c>
      <c r="G36" s="29">
        <f t="shared" si="3"/>
        <v>1</v>
      </c>
      <c r="H36" s="29">
        <f t="shared" si="4"/>
        <v>1</v>
      </c>
      <c r="I36" s="30">
        <v>158891</v>
      </c>
      <c r="J36" s="31">
        <v>0.22</v>
      </c>
      <c r="K36" s="32">
        <f t="shared" si="5"/>
        <v>39722.75</v>
      </c>
      <c r="L36" s="32">
        <f t="shared" si="6"/>
        <v>8739.0049999999992</v>
      </c>
      <c r="M36" s="32">
        <f t="shared" si="7"/>
        <v>48461.754999999997</v>
      </c>
      <c r="N36" t="s">
        <v>149</v>
      </c>
    </row>
    <row r="37" spans="1:14" x14ac:dyDescent="0.3">
      <c r="A37">
        <v>11</v>
      </c>
      <c r="B37" t="s">
        <v>147</v>
      </c>
      <c r="C37" t="s">
        <v>148</v>
      </c>
      <c r="E37" s="28">
        <v>1</v>
      </c>
      <c r="F37" s="28">
        <v>0</v>
      </c>
      <c r="G37" s="29">
        <f t="shared" si="3"/>
        <v>1</v>
      </c>
      <c r="H37" s="29">
        <f t="shared" si="4"/>
        <v>1</v>
      </c>
      <c r="I37" s="30">
        <v>158891</v>
      </c>
      <c r="J37" s="31">
        <v>0.22</v>
      </c>
      <c r="K37" s="32">
        <f t="shared" si="5"/>
        <v>39722.75</v>
      </c>
      <c r="L37" s="32">
        <f t="shared" si="6"/>
        <v>8739.0049999999992</v>
      </c>
      <c r="M37" s="32">
        <f t="shared" si="7"/>
        <v>48461.754999999997</v>
      </c>
      <c r="N37" t="s">
        <v>149</v>
      </c>
    </row>
    <row r="38" spans="1:14" x14ac:dyDescent="0.3">
      <c r="A38">
        <v>12</v>
      </c>
      <c r="B38" t="s">
        <v>147</v>
      </c>
      <c r="C38" t="s">
        <v>148</v>
      </c>
      <c r="E38" s="28">
        <v>1</v>
      </c>
      <c r="F38" s="28">
        <v>0</v>
      </c>
      <c r="G38" s="29">
        <f t="shared" si="3"/>
        <v>1</v>
      </c>
      <c r="H38" s="29">
        <f t="shared" si="4"/>
        <v>1</v>
      </c>
      <c r="I38" s="30">
        <v>158891</v>
      </c>
      <c r="J38" s="31">
        <v>0.22</v>
      </c>
      <c r="K38" s="32">
        <f t="shared" si="5"/>
        <v>39722.75</v>
      </c>
      <c r="L38" s="32">
        <f t="shared" si="6"/>
        <v>8739.0049999999992</v>
      </c>
      <c r="M38" s="32">
        <f t="shared" si="7"/>
        <v>48461.754999999997</v>
      </c>
      <c r="N38" t="s">
        <v>149</v>
      </c>
    </row>
    <row r="39" spans="1:14" x14ac:dyDescent="0.3">
      <c r="A39">
        <v>13</v>
      </c>
      <c r="B39" t="s">
        <v>147</v>
      </c>
      <c r="C39" t="s">
        <v>148</v>
      </c>
      <c r="E39" s="28">
        <v>1</v>
      </c>
      <c r="F39" s="28">
        <v>0</v>
      </c>
      <c r="G39" s="29">
        <f t="shared" si="3"/>
        <v>1</v>
      </c>
      <c r="H39" s="29">
        <f t="shared" si="4"/>
        <v>1</v>
      </c>
      <c r="I39" s="30">
        <v>163658</v>
      </c>
      <c r="J39" s="31">
        <v>0.22</v>
      </c>
      <c r="K39" s="32">
        <f t="shared" si="5"/>
        <v>40914.5</v>
      </c>
      <c r="L39" s="32">
        <f t="shared" si="6"/>
        <v>9001.19</v>
      </c>
      <c r="M39" s="32">
        <f t="shared" si="7"/>
        <v>49915.69</v>
      </c>
      <c r="N39" t="s">
        <v>149</v>
      </c>
    </row>
    <row r="40" spans="1:14" x14ac:dyDescent="0.3">
      <c r="A40">
        <v>14</v>
      </c>
      <c r="B40" t="s">
        <v>147</v>
      </c>
      <c r="C40" t="s">
        <v>148</v>
      </c>
      <c r="E40" s="28">
        <v>1</v>
      </c>
      <c r="F40" s="28">
        <v>0</v>
      </c>
      <c r="G40" s="29">
        <f t="shared" si="3"/>
        <v>1</v>
      </c>
      <c r="H40" s="29">
        <f t="shared" si="4"/>
        <v>1</v>
      </c>
      <c r="I40" s="30">
        <v>163658</v>
      </c>
      <c r="J40" s="31">
        <v>0.22</v>
      </c>
      <c r="K40" s="32">
        <f t="shared" si="5"/>
        <v>40914.5</v>
      </c>
      <c r="L40" s="32">
        <f t="shared" si="6"/>
        <v>9001.19</v>
      </c>
      <c r="M40" s="32">
        <f t="shared" si="7"/>
        <v>49915.69</v>
      </c>
      <c r="N40" t="s">
        <v>149</v>
      </c>
    </row>
    <row r="41" spans="1:14" x14ac:dyDescent="0.3">
      <c r="A41">
        <v>15</v>
      </c>
      <c r="B41" t="s">
        <v>147</v>
      </c>
      <c r="C41" t="s">
        <v>148</v>
      </c>
      <c r="E41" s="28">
        <v>1</v>
      </c>
      <c r="F41" s="28">
        <v>0</v>
      </c>
      <c r="G41" s="29">
        <f t="shared" si="3"/>
        <v>1</v>
      </c>
      <c r="H41" s="29">
        <f t="shared" si="4"/>
        <v>1</v>
      </c>
      <c r="I41" s="30">
        <v>163658</v>
      </c>
      <c r="J41" s="31">
        <v>0.22</v>
      </c>
      <c r="K41" s="32">
        <f t="shared" si="5"/>
        <v>40914.5</v>
      </c>
      <c r="L41" s="32">
        <f t="shared" si="6"/>
        <v>9001.19</v>
      </c>
      <c r="M41" s="32">
        <f t="shared" si="7"/>
        <v>49915.69</v>
      </c>
      <c r="N41" t="s">
        <v>149</v>
      </c>
    </row>
    <row r="42" spans="1:14" x14ac:dyDescent="0.3">
      <c r="A42">
        <v>16</v>
      </c>
      <c r="B42" t="s">
        <v>147</v>
      </c>
      <c r="C42" t="s">
        <v>148</v>
      </c>
      <c r="E42" s="28">
        <v>1</v>
      </c>
      <c r="F42" s="28">
        <v>0</v>
      </c>
      <c r="G42" s="29">
        <f t="shared" si="3"/>
        <v>1</v>
      </c>
      <c r="H42" s="29">
        <f t="shared" si="4"/>
        <v>1</v>
      </c>
      <c r="I42" s="30">
        <v>163658</v>
      </c>
      <c r="J42" s="31">
        <v>0.22</v>
      </c>
      <c r="K42" s="32">
        <f t="shared" si="5"/>
        <v>40914.5</v>
      </c>
      <c r="L42" s="32">
        <f t="shared" si="6"/>
        <v>9001.19</v>
      </c>
      <c r="M42" s="32">
        <f t="shared" si="7"/>
        <v>49915.69</v>
      </c>
      <c r="N42" t="s">
        <v>149</v>
      </c>
    </row>
    <row r="43" spans="1:14" x14ac:dyDescent="0.3">
      <c r="A43">
        <v>17</v>
      </c>
      <c r="B43" t="s">
        <v>147</v>
      </c>
      <c r="C43" t="s">
        <v>148</v>
      </c>
      <c r="E43" s="28">
        <v>1</v>
      </c>
      <c r="F43" s="28">
        <v>0</v>
      </c>
      <c r="G43" s="29">
        <f t="shared" si="3"/>
        <v>1</v>
      </c>
      <c r="H43" s="29">
        <f t="shared" si="4"/>
        <v>1</v>
      </c>
      <c r="I43" s="30">
        <v>168567</v>
      </c>
      <c r="J43" s="31">
        <v>0.22</v>
      </c>
      <c r="K43" s="32">
        <f t="shared" si="5"/>
        <v>42141.75</v>
      </c>
      <c r="L43" s="32">
        <f t="shared" si="6"/>
        <v>9271.1849999999995</v>
      </c>
      <c r="M43" s="32">
        <f t="shared" si="7"/>
        <v>51412.934999999998</v>
      </c>
      <c r="N43" t="s">
        <v>149</v>
      </c>
    </row>
    <row r="44" spans="1:14" x14ac:dyDescent="0.3">
      <c r="A44">
        <v>18</v>
      </c>
      <c r="B44" t="s">
        <v>147</v>
      </c>
      <c r="C44" t="s">
        <v>148</v>
      </c>
      <c r="E44" s="28">
        <v>1</v>
      </c>
      <c r="F44" s="28">
        <v>0</v>
      </c>
      <c r="G44" s="29">
        <f t="shared" si="3"/>
        <v>1</v>
      </c>
      <c r="H44" s="29">
        <f t="shared" si="4"/>
        <v>1</v>
      </c>
      <c r="I44" s="30">
        <v>168567</v>
      </c>
      <c r="J44" s="31">
        <v>0.22</v>
      </c>
      <c r="K44" s="32">
        <f t="shared" si="5"/>
        <v>42141.75</v>
      </c>
      <c r="L44" s="32">
        <f t="shared" si="6"/>
        <v>9271.1849999999995</v>
      </c>
      <c r="M44" s="32">
        <f t="shared" si="7"/>
        <v>51412.934999999998</v>
      </c>
      <c r="N44" t="s">
        <v>149</v>
      </c>
    </row>
    <row r="45" spans="1:14" x14ac:dyDescent="0.3">
      <c r="A45">
        <v>19</v>
      </c>
      <c r="B45" t="s">
        <v>147</v>
      </c>
      <c r="C45" t="s">
        <v>148</v>
      </c>
      <c r="E45" s="28">
        <v>1</v>
      </c>
      <c r="F45" s="28">
        <v>0</v>
      </c>
      <c r="G45" s="29">
        <f t="shared" si="3"/>
        <v>1</v>
      </c>
      <c r="H45" s="29">
        <f t="shared" si="4"/>
        <v>1</v>
      </c>
      <c r="I45" s="30">
        <v>168567</v>
      </c>
      <c r="J45" s="31">
        <v>0.22</v>
      </c>
      <c r="K45" s="32">
        <f t="shared" si="5"/>
        <v>42141.75</v>
      </c>
      <c r="L45" s="32">
        <f t="shared" si="6"/>
        <v>9271.1849999999995</v>
      </c>
      <c r="M45" s="32">
        <f t="shared" si="7"/>
        <v>51412.934999999998</v>
      </c>
      <c r="N45" t="s">
        <v>149</v>
      </c>
    </row>
    <row r="46" spans="1:14" x14ac:dyDescent="0.3">
      <c r="A46">
        <v>20</v>
      </c>
      <c r="B46" t="s">
        <v>147</v>
      </c>
      <c r="C46" t="s">
        <v>148</v>
      </c>
      <c r="E46" s="28">
        <v>1</v>
      </c>
      <c r="F46" s="28">
        <v>0</v>
      </c>
      <c r="G46" s="29">
        <f t="shared" si="3"/>
        <v>1</v>
      </c>
      <c r="H46" s="29">
        <f t="shared" si="4"/>
        <v>1</v>
      </c>
      <c r="I46" s="30">
        <v>168567</v>
      </c>
      <c r="J46" s="31">
        <v>0.22</v>
      </c>
      <c r="K46" s="32">
        <f t="shared" si="5"/>
        <v>42141.75</v>
      </c>
      <c r="L46" s="32">
        <f t="shared" si="6"/>
        <v>9271.1849999999995</v>
      </c>
      <c r="M46" s="32">
        <f t="shared" si="7"/>
        <v>51412.934999999998</v>
      </c>
      <c r="N46" t="s">
        <v>149</v>
      </c>
    </row>
    <row r="47" spans="1:14" x14ac:dyDescent="0.3">
      <c r="A47">
        <v>1</v>
      </c>
      <c r="B47" t="s">
        <v>147</v>
      </c>
      <c r="C47" t="s">
        <v>150</v>
      </c>
      <c r="E47" s="28">
        <v>1</v>
      </c>
      <c r="F47" s="28">
        <v>0</v>
      </c>
      <c r="G47" s="29">
        <f t="shared" si="3"/>
        <v>1</v>
      </c>
      <c r="H47" s="29">
        <f t="shared" si="4"/>
        <v>1</v>
      </c>
      <c r="I47" s="30">
        <v>100220</v>
      </c>
      <c r="J47" s="31">
        <v>0.22</v>
      </c>
      <c r="K47" s="32">
        <f t="shared" si="5"/>
        <v>25055</v>
      </c>
      <c r="L47" s="32">
        <f t="shared" si="6"/>
        <v>5512.1</v>
      </c>
      <c r="M47" s="32">
        <f t="shared" si="7"/>
        <v>30567.1</v>
      </c>
      <c r="N47" t="s">
        <v>149</v>
      </c>
    </row>
    <row r="48" spans="1:14" x14ac:dyDescent="0.3">
      <c r="A48">
        <v>2</v>
      </c>
      <c r="B48" t="s">
        <v>147</v>
      </c>
      <c r="C48" t="s">
        <v>150</v>
      </c>
      <c r="E48" s="28">
        <v>1</v>
      </c>
      <c r="F48" s="28">
        <v>0</v>
      </c>
      <c r="G48" s="29">
        <f t="shared" si="3"/>
        <v>1</v>
      </c>
      <c r="H48" s="29">
        <f t="shared" si="4"/>
        <v>1</v>
      </c>
      <c r="I48" s="30">
        <v>100220</v>
      </c>
      <c r="J48" s="31">
        <v>0.22</v>
      </c>
      <c r="K48" s="32">
        <f t="shared" si="5"/>
        <v>25055</v>
      </c>
      <c r="L48" s="32">
        <f t="shared" si="6"/>
        <v>5512.1</v>
      </c>
      <c r="M48" s="32">
        <f t="shared" si="7"/>
        <v>30567.1</v>
      </c>
      <c r="N48" t="s">
        <v>149</v>
      </c>
    </row>
    <row r="49" spans="1:14" x14ac:dyDescent="0.3">
      <c r="A49">
        <v>3</v>
      </c>
      <c r="B49" t="s">
        <v>147</v>
      </c>
      <c r="C49" t="s">
        <v>150</v>
      </c>
      <c r="E49" s="28">
        <v>1</v>
      </c>
      <c r="F49" s="28">
        <v>0</v>
      </c>
      <c r="G49" s="29">
        <f t="shared" si="3"/>
        <v>1</v>
      </c>
      <c r="H49" s="29">
        <f t="shared" si="4"/>
        <v>1</v>
      </c>
      <c r="I49" s="30">
        <v>100220</v>
      </c>
      <c r="J49" s="31">
        <v>0.22</v>
      </c>
      <c r="K49" s="32">
        <f t="shared" si="5"/>
        <v>25055</v>
      </c>
      <c r="L49" s="32">
        <f t="shared" si="6"/>
        <v>5512.1</v>
      </c>
      <c r="M49" s="32">
        <f t="shared" si="7"/>
        <v>30567.1</v>
      </c>
      <c r="N49" t="s">
        <v>149</v>
      </c>
    </row>
    <row r="50" spans="1:14" x14ac:dyDescent="0.3">
      <c r="A50">
        <v>4</v>
      </c>
      <c r="B50" t="s">
        <v>147</v>
      </c>
      <c r="C50" t="s">
        <v>150</v>
      </c>
      <c r="E50" s="28">
        <v>1</v>
      </c>
      <c r="F50" s="28">
        <v>0</v>
      </c>
      <c r="G50" s="29">
        <f t="shared" si="3"/>
        <v>1</v>
      </c>
      <c r="H50" s="29">
        <f t="shared" si="4"/>
        <v>1</v>
      </c>
      <c r="I50" s="30">
        <v>100220</v>
      </c>
      <c r="J50" s="31">
        <v>0.22</v>
      </c>
      <c r="K50" s="32">
        <f t="shared" si="5"/>
        <v>25055</v>
      </c>
      <c r="L50" s="32">
        <f t="shared" si="6"/>
        <v>5512.1</v>
      </c>
      <c r="M50" s="32">
        <f t="shared" si="7"/>
        <v>30567.1</v>
      </c>
      <c r="N50" t="s">
        <v>149</v>
      </c>
    </row>
    <row r="51" spans="1:14" x14ac:dyDescent="0.3">
      <c r="A51">
        <v>5</v>
      </c>
      <c r="B51" t="s">
        <v>147</v>
      </c>
      <c r="C51" t="s">
        <v>150</v>
      </c>
      <c r="E51" s="28">
        <v>1</v>
      </c>
      <c r="F51" s="28">
        <v>0</v>
      </c>
      <c r="G51" s="29">
        <f t="shared" si="3"/>
        <v>1</v>
      </c>
      <c r="H51" s="29">
        <f t="shared" si="4"/>
        <v>1</v>
      </c>
      <c r="I51" s="30">
        <v>103227</v>
      </c>
      <c r="J51" s="31">
        <v>0.22</v>
      </c>
      <c r="K51" s="32">
        <f t="shared" si="5"/>
        <v>25806.75</v>
      </c>
      <c r="L51" s="32">
        <f t="shared" si="6"/>
        <v>5677.4849999999997</v>
      </c>
      <c r="M51" s="32">
        <f t="shared" si="7"/>
        <v>31484.235000000001</v>
      </c>
      <c r="N51" t="s">
        <v>149</v>
      </c>
    </row>
    <row r="52" spans="1:14" x14ac:dyDescent="0.3">
      <c r="A52">
        <v>6</v>
      </c>
      <c r="B52" t="s">
        <v>147</v>
      </c>
      <c r="C52" t="s">
        <v>150</v>
      </c>
      <c r="E52" s="28">
        <v>1</v>
      </c>
      <c r="F52" s="28">
        <v>0</v>
      </c>
      <c r="G52" s="29">
        <f t="shared" si="3"/>
        <v>1</v>
      </c>
      <c r="H52" s="29">
        <f t="shared" si="4"/>
        <v>1</v>
      </c>
      <c r="I52" s="30">
        <v>103227</v>
      </c>
      <c r="J52" s="31">
        <v>0.22</v>
      </c>
      <c r="K52" s="32">
        <f t="shared" si="5"/>
        <v>25806.75</v>
      </c>
      <c r="L52" s="32">
        <f t="shared" si="6"/>
        <v>5677.4849999999997</v>
      </c>
      <c r="M52" s="32">
        <f t="shared" si="7"/>
        <v>31484.235000000001</v>
      </c>
      <c r="N52" t="s">
        <v>149</v>
      </c>
    </row>
    <row r="53" spans="1:14" x14ac:dyDescent="0.3">
      <c r="A53">
        <v>7</v>
      </c>
      <c r="B53" t="s">
        <v>147</v>
      </c>
      <c r="C53" t="s">
        <v>150</v>
      </c>
      <c r="E53" s="28">
        <v>1</v>
      </c>
      <c r="F53" s="28">
        <v>0</v>
      </c>
      <c r="G53" s="29">
        <f t="shared" si="3"/>
        <v>1</v>
      </c>
      <c r="H53" s="29">
        <f t="shared" si="4"/>
        <v>1</v>
      </c>
      <c r="I53" s="30">
        <v>103227</v>
      </c>
      <c r="J53" s="31">
        <v>0.22</v>
      </c>
      <c r="K53" s="32">
        <f t="shared" si="5"/>
        <v>25806.75</v>
      </c>
      <c r="L53" s="32">
        <f t="shared" si="6"/>
        <v>5677.4849999999997</v>
      </c>
      <c r="M53" s="32">
        <f t="shared" si="7"/>
        <v>31484.235000000001</v>
      </c>
      <c r="N53" t="s">
        <v>149</v>
      </c>
    </row>
    <row r="54" spans="1:14" x14ac:dyDescent="0.3">
      <c r="A54">
        <v>8</v>
      </c>
      <c r="B54" t="s">
        <v>147</v>
      </c>
      <c r="C54" t="s">
        <v>150</v>
      </c>
      <c r="E54" s="28">
        <v>1</v>
      </c>
      <c r="F54" s="28">
        <v>0</v>
      </c>
      <c r="G54" s="29">
        <f t="shared" si="3"/>
        <v>1</v>
      </c>
      <c r="H54" s="29">
        <f t="shared" si="4"/>
        <v>1</v>
      </c>
      <c r="I54" s="30">
        <v>103227</v>
      </c>
      <c r="J54" s="31">
        <v>0.22</v>
      </c>
      <c r="K54" s="32">
        <f t="shared" si="5"/>
        <v>25806.75</v>
      </c>
      <c r="L54" s="32">
        <f t="shared" si="6"/>
        <v>5677.4849999999997</v>
      </c>
      <c r="M54" s="32">
        <f t="shared" si="7"/>
        <v>31484.235000000001</v>
      </c>
      <c r="N54" t="s">
        <v>149</v>
      </c>
    </row>
    <row r="55" spans="1:14" x14ac:dyDescent="0.3">
      <c r="A55">
        <v>9</v>
      </c>
      <c r="B55" t="s">
        <v>147</v>
      </c>
      <c r="C55" t="s">
        <v>150</v>
      </c>
      <c r="E55" s="28">
        <v>1</v>
      </c>
      <c r="F55" s="28">
        <v>0</v>
      </c>
      <c r="G55" s="29">
        <f t="shared" si="3"/>
        <v>1</v>
      </c>
      <c r="H55" s="29">
        <f t="shared" si="4"/>
        <v>1</v>
      </c>
      <c r="I55" s="30">
        <v>106323</v>
      </c>
      <c r="J55" s="31">
        <v>0.22</v>
      </c>
      <c r="K55" s="32">
        <f t="shared" si="5"/>
        <v>26580.75</v>
      </c>
      <c r="L55" s="32">
        <f t="shared" si="6"/>
        <v>5847.7650000000003</v>
      </c>
      <c r="M55" s="32">
        <f t="shared" si="7"/>
        <v>32428.514999999999</v>
      </c>
      <c r="N55" t="s">
        <v>149</v>
      </c>
    </row>
    <row r="56" spans="1:14" x14ac:dyDescent="0.3">
      <c r="A56">
        <v>10</v>
      </c>
      <c r="B56" t="s">
        <v>147</v>
      </c>
      <c r="C56" t="s">
        <v>150</v>
      </c>
      <c r="E56" s="28">
        <v>1</v>
      </c>
      <c r="F56" s="28">
        <v>0</v>
      </c>
      <c r="G56" s="29">
        <f t="shared" si="3"/>
        <v>1</v>
      </c>
      <c r="H56" s="29">
        <f t="shared" si="4"/>
        <v>1</v>
      </c>
      <c r="I56" s="30">
        <v>106323</v>
      </c>
      <c r="J56" s="31">
        <v>0.22</v>
      </c>
      <c r="K56" s="32">
        <f t="shared" si="5"/>
        <v>26580.75</v>
      </c>
      <c r="L56" s="32">
        <f t="shared" si="6"/>
        <v>5847.7650000000003</v>
      </c>
      <c r="M56" s="32">
        <f t="shared" si="7"/>
        <v>32428.514999999999</v>
      </c>
      <c r="N56" t="s">
        <v>149</v>
      </c>
    </row>
    <row r="57" spans="1:14" x14ac:dyDescent="0.3">
      <c r="A57">
        <v>11</v>
      </c>
      <c r="B57" t="s">
        <v>147</v>
      </c>
      <c r="C57" t="s">
        <v>150</v>
      </c>
      <c r="E57" s="28">
        <v>1</v>
      </c>
      <c r="F57" s="28">
        <v>0</v>
      </c>
      <c r="G57" s="29">
        <f t="shared" si="3"/>
        <v>1</v>
      </c>
      <c r="H57" s="29">
        <f t="shared" si="4"/>
        <v>1</v>
      </c>
      <c r="I57" s="30">
        <v>106323</v>
      </c>
      <c r="J57" s="31">
        <v>0.22</v>
      </c>
      <c r="K57" s="32">
        <f t="shared" si="5"/>
        <v>26580.75</v>
      </c>
      <c r="L57" s="32">
        <f t="shared" si="6"/>
        <v>5847.7650000000003</v>
      </c>
      <c r="M57" s="32">
        <f t="shared" si="7"/>
        <v>32428.514999999999</v>
      </c>
      <c r="N57" t="s">
        <v>149</v>
      </c>
    </row>
    <row r="58" spans="1:14" x14ac:dyDescent="0.3">
      <c r="A58">
        <v>12</v>
      </c>
      <c r="B58" t="s">
        <v>147</v>
      </c>
      <c r="C58" t="s">
        <v>150</v>
      </c>
      <c r="E58" s="28">
        <v>1</v>
      </c>
      <c r="F58" s="28">
        <v>0</v>
      </c>
      <c r="G58" s="29">
        <f t="shared" si="3"/>
        <v>1</v>
      </c>
      <c r="H58" s="29">
        <f t="shared" si="4"/>
        <v>1</v>
      </c>
      <c r="I58" s="30">
        <v>106323</v>
      </c>
      <c r="J58" s="31">
        <v>0.22</v>
      </c>
      <c r="K58" s="32">
        <f t="shared" si="5"/>
        <v>26580.75</v>
      </c>
      <c r="L58" s="32">
        <f t="shared" si="6"/>
        <v>5847.7650000000003</v>
      </c>
      <c r="M58" s="32">
        <f t="shared" si="7"/>
        <v>32428.514999999999</v>
      </c>
      <c r="N58" t="s">
        <v>149</v>
      </c>
    </row>
    <row r="59" spans="1:14" x14ac:dyDescent="0.3">
      <c r="A59">
        <v>13</v>
      </c>
      <c r="B59" t="s">
        <v>147</v>
      </c>
      <c r="C59" t="s">
        <v>150</v>
      </c>
      <c r="E59" s="28">
        <v>1</v>
      </c>
      <c r="F59" s="28">
        <v>0</v>
      </c>
      <c r="G59" s="29">
        <f t="shared" ref="G59:G90" si="8">E59+F59</f>
        <v>1</v>
      </c>
      <c r="H59" s="29">
        <f t="shared" ref="H59:H90" si="9">(E59+G59)/2</f>
        <v>1</v>
      </c>
      <c r="I59" s="30">
        <v>109513</v>
      </c>
      <c r="J59" s="31">
        <v>0.22</v>
      </c>
      <c r="K59" s="32">
        <f t="shared" ref="K59:K86" si="10">H59*I59/4</f>
        <v>27378.25</v>
      </c>
      <c r="L59" s="32">
        <f t="shared" ref="L59:L90" si="11">K59*J59</f>
        <v>6023.2150000000001</v>
      </c>
      <c r="M59" s="32">
        <f t="shared" ref="M59:M90" si="12">K59+L59</f>
        <v>33401.464999999997</v>
      </c>
      <c r="N59" t="s">
        <v>149</v>
      </c>
    </row>
    <row r="60" spans="1:14" x14ac:dyDescent="0.3">
      <c r="A60">
        <v>14</v>
      </c>
      <c r="B60" t="s">
        <v>147</v>
      </c>
      <c r="C60" t="s">
        <v>150</v>
      </c>
      <c r="E60" s="28">
        <v>1</v>
      </c>
      <c r="F60" s="28">
        <v>0</v>
      </c>
      <c r="G60" s="29">
        <f t="shared" si="8"/>
        <v>1</v>
      </c>
      <c r="H60" s="29">
        <f t="shared" si="9"/>
        <v>1</v>
      </c>
      <c r="I60" s="30">
        <v>109513</v>
      </c>
      <c r="J60" s="31">
        <v>0.22</v>
      </c>
      <c r="K60" s="32">
        <f t="shared" si="10"/>
        <v>27378.25</v>
      </c>
      <c r="L60" s="32">
        <f t="shared" si="11"/>
        <v>6023.2150000000001</v>
      </c>
      <c r="M60" s="32">
        <f t="shared" si="12"/>
        <v>33401.464999999997</v>
      </c>
      <c r="N60" t="s">
        <v>149</v>
      </c>
    </row>
    <row r="61" spans="1:14" x14ac:dyDescent="0.3">
      <c r="A61">
        <v>15</v>
      </c>
      <c r="B61" t="s">
        <v>147</v>
      </c>
      <c r="C61" t="s">
        <v>150</v>
      </c>
      <c r="E61" s="28">
        <v>1</v>
      </c>
      <c r="F61" s="28">
        <v>0</v>
      </c>
      <c r="G61" s="29">
        <f t="shared" si="8"/>
        <v>1</v>
      </c>
      <c r="H61" s="29">
        <f t="shared" si="9"/>
        <v>1</v>
      </c>
      <c r="I61" s="30">
        <v>109513</v>
      </c>
      <c r="J61" s="31">
        <v>0.22</v>
      </c>
      <c r="K61" s="32">
        <f t="shared" si="10"/>
        <v>27378.25</v>
      </c>
      <c r="L61" s="32">
        <f t="shared" si="11"/>
        <v>6023.2150000000001</v>
      </c>
      <c r="M61" s="32">
        <f t="shared" si="12"/>
        <v>33401.464999999997</v>
      </c>
      <c r="N61" t="s">
        <v>149</v>
      </c>
    </row>
    <row r="62" spans="1:14" x14ac:dyDescent="0.3">
      <c r="A62">
        <v>16</v>
      </c>
      <c r="B62" t="s">
        <v>147</v>
      </c>
      <c r="C62" t="s">
        <v>150</v>
      </c>
      <c r="E62" s="28">
        <v>1</v>
      </c>
      <c r="F62" s="28">
        <v>0</v>
      </c>
      <c r="G62" s="29">
        <f t="shared" si="8"/>
        <v>1</v>
      </c>
      <c r="H62" s="29">
        <f t="shared" si="9"/>
        <v>1</v>
      </c>
      <c r="I62" s="30">
        <v>109513</v>
      </c>
      <c r="J62" s="31">
        <v>0.22</v>
      </c>
      <c r="K62" s="32">
        <f t="shared" si="10"/>
        <v>27378.25</v>
      </c>
      <c r="L62" s="32">
        <f t="shared" si="11"/>
        <v>6023.2150000000001</v>
      </c>
      <c r="M62" s="32">
        <f t="shared" si="12"/>
        <v>33401.464999999997</v>
      </c>
      <c r="N62" t="s">
        <v>149</v>
      </c>
    </row>
    <row r="63" spans="1:14" x14ac:dyDescent="0.3">
      <c r="A63">
        <v>17</v>
      </c>
      <c r="B63" t="s">
        <v>147</v>
      </c>
      <c r="C63" t="s">
        <v>150</v>
      </c>
      <c r="E63" s="28">
        <v>1</v>
      </c>
      <c r="F63" s="28">
        <v>0</v>
      </c>
      <c r="G63" s="29">
        <f t="shared" si="8"/>
        <v>1</v>
      </c>
      <c r="H63" s="29">
        <f t="shared" si="9"/>
        <v>1</v>
      </c>
      <c r="I63" s="30">
        <v>112799</v>
      </c>
      <c r="J63" s="31">
        <v>0.22</v>
      </c>
      <c r="K63" s="32">
        <f t="shared" si="10"/>
        <v>28199.75</v>
      </c>
      <c r="L63" s="32">
        <f t="shared" si="11"/>
        <v>6203.9449999999997</v>
      </c>
      <c r="M63" s="32">
        <f t="shared" si="12"/>
        <v>34403.695</v>
      </c>
      <c r="N63" t="s">
        <v>149</v>
      </c>
    </row>
    <row r="64" spans="1:14" x14ac:dyDescent="0.3">
      <c r="A64">
        <v>18</v>
      </c>
      <c r="B64" t="s">
        <v>147</v>
      </c>
      <c r="C64" t="s">
        <v>150</v>
      </c>
      <c r="E64" s="28">
        <v>1</v>
      </c>
      <c r="F64" s="28">
        <v>0</v>
      </c>
      <c r="G64" s="29">
        <f t="shared" si="8"/>
        <v>1</v>
      </c>
      <c r="H64" s="29">
        <f t="shared" si="9"/>
        <v>1</v>
      </c>
      <c r="I64" s="30">
        <v>112799</v>
      </c>
      <c r="J64" s="31">
        <v>0.22</v>
      </c>
      <c r="K64" s="32">
        <f t="shared" si="10"/>
        <v>28199.75</v>
      </c>
      <c r="L64" s="32">
        <f t="shared" si="11"/>
        <v>6203.9449999999997</v>
      </c>
      <c r="M64" s="32">
        <f t="shared" si="12"/>
        <v>34403.695</v>
      </c>
      <c r="N64" t="s">
        <v>149</v>
      </c>
    </row>
    <row r="65" spans="1:14" x14ac:dyDescent="0.3">
      <c r="A65">
        <v>19</v>
      </c>
      <c r="B65" t="s">
        <v>147</v>
      </c>
      <c r="C65" t="s">
        <v>150</v>
      </c>
      <c r="E65" s="28">
        <v>1</v>
      </c>
      <c r="F65" s="28">
        <v>0</v>
      </c>
      <c r="G65" s="29">
        <f t="shared" si="8"/>
        <v>1</v>
      </c>
      <c r="H65" s="29">
        <f t="shared" si="9"/>
        <v>1</v>
      </c>
      <c r="I65" s="30">
        <v>112799</v>
      </c>
      <c r="J65" s="31">
        <v>0.22</v>
      </c>
      <c r="K65" s="32">
        <f t="shared" si="10"/>
        <v>28199.75</v>
      </c>
      <c r="L65" s="32">
        <f t="shared" si="11"/>
        <v>6203.9449999999997</v>
      </c>
      <c r="M65" s="32">
        <f t="shared" si="12"/>
        <v>34403.695</v>
      </c>
      <c r="N65" t="s">
        <v>149</v>
      </c>
    </row>
    <row r="66" spans="1:14" x14ac:dyDescent="0.3">
      <c r="A66">
        <v>20</v>
      </c>
      <c r="B66" t="s">
        <v>147</v>
      </c>
      <c r="C66" t="s">
        <v>150</v>
      </c>
      <c r="E66" s="28">
        <v>1</v>
      </c>
      <c r="F66" s="28">
        <v>0</v>
      </c>
      <c r="G66" s="29">
        <f t="shared" si="8"/>
        <v>1</v>
      </c>
      <c r="H66" s="29">
        <f t="shared" si="9"/>
        <v>1</v>
      </c>
      <c r="I66" s="30">
        <v>112799</v>
      </c>
      <c r="J66" s="31">
        <v>0.22</v>
      </c>
      <c r="K66" s="32">
        <f t="shared" si="10"/>
        <v>28199.75</v>
      </c>
      <c r="L66" s="32">
        <f t="shared" si="11"/>
        <v>6203.9449999999997</v>
      </c>
      <c r="M66" s="32">
        <f t="shared" si="12"/>
        <v>34403.695</v>
      </c>
      <c r="N66" t="s">
        <v>149</v>
      </c>
    </row>
    <row r="67" spans="1:14" x14ac:dyDescent="0.3">
      <c r="A67">
        <v>1</v>
      </c>
      <c r="B67" t="s">
        <v>151</v>
      </c>
      <c r="C67" t="s">
        <v>152</v>
      </c>
      <c r="D67" t="s">
        <v>152</v>
      </c>
      <c r="E67" s="28">
        <v>1</v>
      </c>
      <c r="F67" s="28">
        <v>0</v>
      </c>
      <c r="G67" s="29">
        <f t="shared" si="8"/>
        <v>1</v>
      </c>
      <c r="H67" s="29">
        <f t="shared" si="9"/>
        <v>1</v>
      </c>
      <c r="I67" s="30">
        <v>98184</v>
      </c>
      <c r="J67" s="31">
        <v>0.25</v>
      </c>
      <c r="K67" s="32">
        <f t="shared" si="10"/>
        <v>24546</v>
      </c>
      <c r="L67" s="32">
        <f t="shared" si="11"/>
        <v>6136.5</v>
      </c>
      <c r="M67" s="32">
        <f t="shared" si="12"/>
        <v>30682.5</v>
      </c>
      <c r="N67" t="s">
        <v>153</v>
      </c>
    </row>
    <row r="68" spans="1:14" x14ac:dyDescent="0.3">
      <c r="A68">
        <v>2</v>
      </c>
      <c r="B68" t="s">
        <v>151</v>
      </c>
      <c r="C68" t="s">
        <v>152</v>
      </c>
      <c r="D68" t="s">
        <v>152</v>
      </c>
      <c r="E68" s="28">
        <v>1</v>
      </c>
      <c r="F68" s="28">
        <v>0</v>
      </c>
      <c r="G68" s="29">
        <f t="shared" si="8"/>
        <v>1</v>
      </c>
      <c r="H68" s="29">
        <f t="shared" si="9"/>
        <v>1</v>
      </c>
      <c r="I68" s="30">
        <v>98184</v>
      </c>
      <c r="J68" s="31">
        <v>0.25</v>
      </c>
      <c r="K68" s="32">
        <f t="shared" si="10"/>
        <v>24546</v>
      </c>
      <c r="L68" s="32">
        <f t="shared" si="11"/>
        <v>6136.5</v>
      </c>
      <c r="M68" s="32">
        <f t="shared" si="12"/>
        <v>30682.5</v>
      </c>
      <c r="N68" t="s">
        <v>153</v>
      </c>
    </row>
    <row r="69" spans="1:14" x14ac:dyDescent="0.3">
      <c r="A69">
        <v>3</v>
      </c>
      <c r="B69" t="s">
        <v>151</v>
      </c>
      <c r="C69" t="s">
        <v>152</v>
      </c>
      <c r="D69" t="s">
        <v>152</v>
      </c>
      <c r="E69" s="28">
        <v>1</v>
      </c>
      <c r="F69" s="28">
        <v>0</v>
      </c>
      <c r="G69" s="29">
        <f t="shared" si="8"/>
        <v>1</v>
      </c>
      <c r="H69" s="29">
        <f t="shared" si="9"/>
        <v>1</v>
      </c>
      <c r="I69" s="30">
        <v>98184</v>
      </c>
      <c r="J69" s="31">
        <v>0.25</v>
      </c>
      <c r="K69" s="32">
        <f t="shared" si="10"/>
        <v>24546</v>
      </c>
      <c r="L69" s="32">
        <f t="shared" si="11"/>
        <v>6136.5</v>
      </c>
      <c r="M69" s="32">
        <f t="shared" si="12"/>
        <v>30682.5</v>
      </c>
      <c r="N69" t="s">
        <v>153</v>
      </c>
    </row>
    <row r="70" spans="1:14" x14ac:dyDescent="0.3">
      <c r="A70">
        <v>4</v>
      </c>
      <c r="B70" t="s">
        <v>151</v>
      </c>
      <c r="C70" t="s">
        <v>152</v>
      </c>
      <c r="D70" t="s">
        <v>152</v>
      </c>
      <c r="E70" s="28">
        <v>1</v>
      </c>
      <c r="F70" s="28">
        <v>0</v>
      </c>
      <c r="G70" s="29">
        <f t="shared" si="8"/>
        <v>1</v>
      </c>
      <c r="H70" s="29">
        <f t="shared" si="9"/>
        <v>1</v>
      </c>
      <c r="I70" s="30">
        <v>98184</v>
      </c>
      <c r="J70" s="31">
        <v>0.25</v>
      </c>
      <c r="K70" s="32">
        <f t="shared" si="10"/>
        <v>24546</v>
      </c>
      <c r="L70" s="32">
        <f t="shared" si="11"/>
        <v>6136.5</v>
      </c>
      <c r="M70" s="32">
        <f t="shared" si="12"/>
        <v>30682.5</v>
      </c>
      <c r="N70" t="s">
        <v>153</v>
      </c>
    </row>
    <row r="71" spans="1:14" x14ac:dyDescent="0.3">
      <c r="A71">
        <v>5</v>
      </c>
      <c r="B71" t="s">
        <v>151</v>
      </c>
      <c r="C71" t="s">
        <v>152</v>
      </c>
      <c r="D71" t="s">
        <v>152</v>
      </c>
      <c r="E71" s="28">
        <v>1</v>
      </c>
      <c r="F71" s="28">
        <v>0</v>
      </c>
      <c r="G71" s="29">
        <f t="shared" si="8"/>
        <v>1</v>
      </c>
      <c r="H71" s="29">
        <f t="shared" si="9"/>
        <v>1</v>
      </c>
      <c r="I71" s="30">
        <v>101130</v>
      </c>
      <c r="J71" s="31">
        <v>0.25</v>
      </c>
      <c r="K71" s="32">
        <f t="shared" si="10"/>
        <v>25282.5</v>
      </c>
      <c r="L71" s="32">
        <f t="shared" si="11"/>
        <v>6320.625</v>
      </c>
      <c r="M71" s="32">
        <f t="shared" si="12"/>
        <v>31603.125</v>
      </c>
      <c r="N71" t="s">
        <v>153</v>
      </c>
    </row>
    <row r="72" spans="1:14" x14ac:dyDescent="0.3">
      <c r="A72">
        <v>6</v>
      </c>
      <c r="B72" t="s">
        <v>151</v>
      </c>
      <c r="C72" t="s">
        <v>152</v>
      </c>
      <c r="D72" t="s">
        <v>152</v>
      </c>
      <c r="E72" s="28">
        <v>1</v>
      </c>
      <c r="F72" s="28">
        <v>0</v>
      </c>
      <c r="G72" s="29">
        <f t="shared" si="8"/>
        <v>1</v>
      </c>
      <c r="H72" s="29">
        <f t="shared" si="9"/>
        <v>1</v>
      </c>
      <c r="I72" s="30">
        <v>101130</v>
      </c>
      <c r="J72" s="31">
        <v>0.25</v>
      </c>
      <c r="K72" s="32">
        <f t="shared" si="10"/>
        <v>25282.5</v>
      </c>
      <c r="L72" s="32">
        <f t="shared" si="11"/>
        <v>6320.625</v>
      </c>
      <c r="M72" s="32">
        <f t="shared" si="12"/>
        <v>31603.125</v>
      </c>
      <c r="N72" t="s">
        <v>153</v>
      </c>
    </row>
    <row r="73" spans="1:14" x14ac:dyDescent="0.3">
      <c r="A73">
        <v>7</v>
      </c>
      <c r="B73" t="s">
        <v>151</v>
      </c>
      <c r="C73" t="s">
        <v>152</v>
      </c>
      <c r="D73" t="s">
        <v>152</v>
      </c>
      <c r="E73" s="28">
        <v>1</v>
      </c>
      <c r="F73" s="28">
        <v>0</v>
      </c>
      <c r="G73" s="29">
        <f t="shared" si="8"/>
        <v>1</v>
      </c>
      <c r="H73" s="29">
        <f t="shared" si="9"/>
        <v>1</v>
      </c>
      <c r="I73" s="30">
        <v>101130</v>
      </c>
      <c r="J73" s="31">
        <v>0.25</v>
      </c>
      <c r="K73" s="32">
        <f t="shared" si="10"/>
        <v>25282.5</v>
      </c>
      <c r="L73" s="32">
        <f t="shared" si="11"/>
        <v>6320.625</v>
      </c>
      <c r="M73" s="32">
        <f t="shared" si="12"/>
        <v>31603.125</v>
      </c>
      <c r="N73" t="s">
        <v>153</v>
      </c>
    </row>
    <row r="74" spans="1:14" x14ac:dyDescent="0.3">
      <c r="A74">
        <v>8</v>
      </c>
      <c r="B74" t="s">
        <v>151</v>
      </c>
      <c r="C74" t="s">
        <v>152</v>
      </c>
      <c r="D74" t="s">
        <v>152</v>
      </c>
      <c r="E74" s="28">
        <v>1</v>
      </c>
      <c r="F74" s="28">
        <v>0</v>
      </c>
      <c r="G74" s="29">
        <f t="shared" si="8"/>
        <v>1</v>
      </c>
      <c r="H74" s="29">
        <f t="shared" si="9"/>
        <v>1</v>
      </c>
      <c r="I74" s="30">
        <v>101130</v>
      </c>
      <c r="J74" s="31">
        <v>0.25</v>
      </c>
      <c r="K74" s="32">
        <f t="shared" si="10"/>
        <v>25282.5</v>
      </c>
      <c r="L74" s="32">
        <f t="shared" si="11"/>
        <v>6320.625</v>
      </c>
      <c r="M74" s="32">
        <f t="shared" si="12"/>
        <v>31603.125</v>
      </c>
      <c r="N74" t="s">
        <v>153</v>
      </c>
    </row>
    <row r="75" spans="1:14" x14ac:dyDescent="0.3">
      <c r="A75">
        <v>9</v>
      </c>
      <c r="B75" t="s">
        <v>151</v>
      </c>
      <c r="C75" t="s">
        <v>152</v>
      </c>
      <c r="D75" t="s">
        <v>152</v>
      </c>
      <c r="E75" s="28">
        <v>1</v>
      </c>
      <c r="F75" s="28">
        <v>0</v>
      </c>
      <c r="G75" s="29">
        <f t="shared" si="8"/>
        <v>1</v>
      </c>
      <c r="H75" s="29">
        <f t="shared" si="9"/>
        <v>1</v>
      </c>
      <c r="I75" s="30">
        <v>104163</v>
      </c>
      <c r="J75" s="31">
        <v>0.25</v>
      </c>
      <c r="K75" s="32">
        <f t="shared" si="10"/>
        <v>26040.75</v>
      </c>
      <c r="L75" s="32">
        <f t="shared" si="11"/>
        <v>6510.1875</v>
      </c>
      <c r="M75" s="32">
        <f t="shared" si="12"/>
        <v>32550.9375</v>
      </c>
      <c r="N75" t="s">
        <v>153</v>
      </c>
    </row>
    <row r="76" spans="1:14" x14ac:dyDescent="0.3">
      <c r="A76">
        <v>10</v>
      </c>
      <c r="B76" t="s">
        <v>151</v>
      </c>
      <c r="C76" t="s">
        <v>152</v>
      </c>
      <c r="D76" t="s">
        <v>152</v>
      </c>
      <c r="E76" s="28">
        <v>1</v>
      </c>
      <c r="F76" s="28">
        <v>0</v>
      </c>
      <c r="G76" s="29">
        <f t="shared" si="8"/>
        <v>1</v>
      </c>
      <c r="H76" s="29">
        <f t="shared" si="9"/>
        <v>1</v>
      </c>
      <c r="I76" s="30">
        <v>104163</v>
      </c>
      <c r="J76" s="31">
        <v>0.25</v>
      </c>
      <c r="K76" s="32">
        <f t="shared" si="10"/>
        <v>26040.75</v>
      </c>
      <c r="L76" s="32">
        <f t="shared" si="11"/>
        <v>6510.1875</v>
      </c>
      <c r="M76" s="32">
        <f t="shared" si="12"/>
        <v>32550.9375</v>
      </c>
      <c r="N76" t="s">
        <v>153</v>
      </c>
    </row>
    <row r="77" spans="1:14" x14ac:dyDescent="0.3">
      <c r="A77">
        <v>11</v>
      </c>
      <c r="B77" t="s">
        <v>151</v>
      </c>
      <c r="C77" t="s">
        <v>152</v>
      </c>
      <c r="D77" t="s">
        <v>152</v>
      </c>
      <c r="E77" s="28">
        <v>1</v>
      </c>
      <c r="F77" s="28">
        <v>0</v>
      </c>
      <c r="G77" s="29">
        <f t="shared" si="8"/>
        <v>1</v>
      </c>
      <c r="H77" s="29">
        <f t="shared" si="9"/>
        <v>1</v>
      </c>
      <c r="I77" s="30">
        <v>104163</v>
      </c>
      <c r="J77" s="31">
        <v>0.25</v>
      </c>
      <c r="K77" s="32">
        <f t="shared" si="10"/>
        <v>26040.75</v>
      </c>
      <c r="L77" s="32">
        <f t="shared" si="11"/>
        <v>6510.1875</v>
      </c>
      <c r="M77" s="32">
        <f t="shared" si="12"/>
        <v>32550.9375</v>
      </c>
      <c r="N77" t="s">
        <v>153</v>
      </c>
    </row>
    <row r="78" spans="1:14" x14ac:dyDescent="0.3">
      <c r="A78">
        <v>12</v>
      </c>
      <c r="B78" t="s">
        <v>151</v>
      </c>
      <c r="C78" t="s">
        <v>152</v>
      </c>
      <c r="D78" t="s">
        <v>152</v>
      </c>
      <c r="E78" s="28">
        <v>1</v>
      </c>
      <c r="F78" s="28">
        <v>0</v>
      </c>
      <c r="G78" s="29">
        <f t="shared" si="8"/>
        <v>1</v>
      </c>
      <c r="H78" s="29">
        <f t="shared" si="9"/>
        <v>1</v>
      </c>
      <c r="I78" s="30">
        <v>104163</v>
      </c>
      <c r="J78" s="31">
        <v>0.25</v>
      </c>
      <c r="K78" s="32">
        <f t="shared" si="10"/>
        <v>26040.75</v>
      </c>
      <c r="L78" s="32">
        <f t="shared" si="11"/>
        <v>6510.1875</v>
      </c>
      <c r="M78" s="32">
        <f t="shared" si="12"/>
        <v>32550.9375</v>
      </c>
      <c r="N78" t="s">
        <v>153</v>
      </c>
    </row>
    <row r="79" spans="1:14" x14ac:dyDescent="0.3">
      <c r="A79">
        <v>13</v>
      </c>
      <c r="B79" t="s">
        <v>151</v>
      </c>
      <c r="C79" t="s">
        <v>152</v>
      </c>
      <c r="D79" t="s">
        <v>152</v>
      </c>
      <c r="E79" s="28">
        <v>1</v>
      </c>
      <c r="F79" s="28">
        <v>0</v>
      </c>
      <c r="G79" s="29">
        <f t="shared" si="8"/>
        <v>1</v>
      </c>
      <c r="H79" s="29">
        <f t="shared" si="9"/>
        <v>1</v>
      </c>
      <c r="I79" s="30">
        <v>107288</v>
      </c>
      <c r="J79" s="31">
        <v>0.25</v>
      </c>
      <c r="K79" s="32">
        <f t="shared" si="10"/>
        <v>26822</v>
      </c>
      <c r="L79" s="32">
        <f t="shared" si="11"/>
        <v>6705.5</v>
      </c>
      <c r="M79" s="32">
        <f t="shared" si="12"/>
        <v>33527.5</v>
      </c>
      <c r="N79" t="s">
        <v>153</v>
      </c>
    </row>
    <row r="80" spans="1:14" x14ac:dyDescent="0.3">
      <c r="A80">
        <v>14</v>
      </c>
      <c r="B80" t="s">
        <v>151</v>
      </c>
      <c r="C80" t="s">
        <v>152</v>
      </c>
      <c r="D80" t="s">
        <v>152</v>
      </c>
      <c r="E80" s="28">
        <v>1</v>
      </c>
      <c r="F80" s="28">
        <v>0</v>
      </c>
      <c r="G80" s="29">
        <f t="shared" si="8"/>
        <v>1</v>
      </c>
      <c r="H80" s="29">
        <f t="shared" si="9"/>
        <v>1</v>
      </c>
      <c r="I80" s="30">
        <v>107288</v>
      </c>
      <c r="J80" s="31">
        <v>0.25</v>
      </c>
      <c r="K80" s="32">
        <f t="shared" si="10"/>
        <v>26822</v>
      </c>
      <c r="L80" s="32">
        <f t="shared" si="11"/>
        <v>6705.5</v>
      </c>
      <c r="M80" s="32">
        <f t="shared" si="12"/>
        <v>33527.5</v>
      </c>
      <c r="N80" t="s">
        <v>153</v>
      </c>
    </row>
    <row r="81" spans="1:14" x14ac:dyDescent="0.3">
      <c r="A81">
        <v>15</v>
      </c>
      <c r="B81" t="s">
        <v>151</v>
      </c>
      <c r="C81" t="s">
        <v>152</v>
      </c>
      <c r="D81" t="s">
        <v>152</v>
      </c>
      <c r="E81" s="28">
        <v>1</v>
      </c>
      <c r="F81" s="28">
        <v>0</v>
      </c>
      <c r="G81" s="29">
        <f t="shared" si="8"/>
        <v>1</v>
      </c>
      <c r="H81" s="29">
        <f t="shared" si="9"/>
        <v>1</v>
      </c>
      <c r="I81" s="30">
        <v>107288</v>
      </c>
      <c r="J81" s="31">
        <v>0.25</v>
      </c>
      <c r="K81" s="32">
        <f t="shared" si="10"/>
        <v>26822</v>
      </c>
      <c r="L81" s="32">
        <f t="shared" si="11"/>
        <v>6705.5</v>
      </c>
      <c r="M81" s="32">
        <f t="shared" si="12"/>
        <v>33527.5</v>
      </c>
      <c r="N81" t="s">
        <v>153</v>
      </c>
    </row>
    <row r="82" spans="1:14" x14ac:dyDescent="0.3">
      <c r="A82">
        <v>16</v>
      </c>
      <c r="B82" t="s">
        <v>151</v>
      </c>
      <c r="C82" t="s">
        <v>152</v>
      </c>
      <c r="D82" t="s">
        <v>152</v>
      </c>
      <c r="E82" s="28">
        <v>1</v>
      </c>
      <c r="F82" s="28">
        <v>0</v>
      </c>
      <c r="G82" s="29">
        <f t="shared" si="8"/>
        <v>1</v>
      </c>
      <c r="H82" s="29">
        <f t="shared" si="9"/>
        <v>1</v>
      </c>
      <c r="I82" s="30">
        <v>107288</v>
      </c>
      <c r="J82" s="31">
        <v>0.25</v>
      </c>
      <c r="K82" s="32">
        <f t="shared" si="10"/>
        <v>26822</v>
      </c>
      <c r="L82" s="32">
        <f t="shared" si="11"/>
        <v>6705.5</v>
      </c>
      <c r="M82" s="32">
        <f t="shared" si="12"/>
        <v>33527.5</v>
      </c>
      <c r="N82" t="s">
        <v>153</v>
      </c>
    </row>
    <row r="83" spans="1:14" x14ac:dyDescent="0.3">
      <c r="A83">
        <v>17</v>
      </c>
      <c r="B83" t="s">
        <v>151</v>
      </c>
      <c r="C83" t="s">
        <v>152</v>
      </c>
      <c r="D83" t="s">
        <v>152</v>
      </c>
      <c r="E83" s="28">
        <v>1</v>
      </c>
      <c r="F83" s="28">
        <v>0</v>
      </c>
      <c r="G83" s="29">
        <f t="shared" si="8"/>
        <v>1</v>
      </c>
      <c r="H83" s="29">
        <f t="shared" si="9"/>
        <v>1</v>
      </c>
      <c r="I83" s="30">
        <v>110507</v>
      </c>
      <c r="J83" s="31">
        <v>0.25</v>
      </c>
      <c r="K83" s="32">
        <f t="shared" si="10"/>
        <v>27626.75</v>
      </c>
      <c r="L83" s="32">
        <f t="shared" si="11"/>
        <v>6906.6875</v>
      </c>
      <c r="M83" s="32">
        <f t="shared" si="12"/>
        <v>34533.4375</v>
      </c>
      <c r="N83" t="s">
        <v>153</v>
      </c>
    </row>
    <row r="84" spans="1:14" x14ac:dyDescent="0.3">
      <c r="A84">
        <v>18</v>
      </c>
      <c r="B84" t="s">
        <v>151</v>
      </c>
      <c r="C84" t="s">
        <v>152</v>
      </c>
      <c r="D84" t="s">
        <v>152</v>
      </c>
      <c r="E84" s="28">
        <v>1</v>
      </c>
      <c r="F84" s="28">
        <v>0</v>
      </c>
      <c r="G84" s="29">
        <f t="shared" si="8"/>
        <v>1</v>
      </c>
      <c r="H84" s="29">
        <f t="shared" si="9"/>
        <v>1</v>
      </c>
      <c r="I84" s="30">
        <v>110507</v>
      </c>
      <c r="J84" s="31">
        <v>0.25</v>
      </c>
      <c r="K84" s="32">
        <f t="shared" si="10"/>
        <v>27626.75</v>
      </c>
      <c r="L84" s="32">
        <f t="shared" si="11"/>
        <v>6906.6875</v>
      </c>
      <c r="M84" s="32">
        <f t="shared" si="12"/>
        <v>34533.4375</v>
      </c>
      <c r="N84" t="s">
        <v>153</v>
      </c>
    </row>
    <row r="85" spans="1:14" x14ac:dyDescent="0.3">
      <c r="A85">
        <v>19</v>
      </c>
      <c r="B85" t="s">
        <v>151</v>
      </c>
      <c r="C85" t="s">
        <v>152</v>
      </c>
      <c r="D85" t="s">
        <v>152</v>
      </c>
      <c r="E85" s="28">
        <v>1</v>
      </c>
      <c r="F85" s="28">
        <v>0</v>
      </c>
      <c r="G85" s="29">
        <f t="shared" si="8"/>
        <v>1</v>
      </c>
      <c r="H85" s="29">
        <f t="shared" si="9"/>
        <v>1</v>
      </c>
      <c r="I85" s="30">
        <v>110507</v>
      </c>
      <c r="J85" s="31">
        <v>0.25</v>
      </c>
      <c r="K85" s="32">
        <f t="shared" si="10"/>
        <v>27626.75</v>
      </c>
      <c r="L85" s="32">
        <f t="shared" si="11"/>
        <v>6906.6875</v>
      </c>
      <c r="M85" s="32">
        <f t="shared" si="12"/>
        <v>34533.4375</v>
      </c>
      <c r="N85" t="s">
        <v>153</v>
      </c>
    </row>
    <row r="86" spans="1:14" x14ac:dyDescent="0.3">
      <c r="A86">
        <v>20</v>
      </c>
      <c r="B86" t="s">
        <v>151</v>
      </c>
      <c r="C86" t="s">
        <v>152</v>
      </c>
      <c r="D86" t="s">
        <v>152</v>
      </c>
      <c r="E86" s="28">
        <v>1</v>
      </c>
      <c r="F86" s="28">
        <v>0</v>
      </c>
      <c r="G86" s="29">
        <f t="shared" si="8"/>
        <v>1</v>
      </c>
      <c r="H86" s="29">
        <f t="shared" si="9"/>
        <v>1</v>
      </c>
      <c r="I86" s="30">
        <v>110507</v>
      </c>
      <c r="J86" s="31">
        <v>0.25</v>
      </c>
      <c r="K86" s="32">
        <f t="shared" si="10"/>
        <v>27626.75</v>
      </c>
      <c r="L86" s="32">
        <f t="shared" si="11"/>
        <v>6906.6875</v>
      </c>
      <c r="M86" s="32">
        <f t="shared" si="12"/>
        <v>34533.4375</v>
      </c>
      <c r="N86" t="s">
        <v>153</v>
      </c>
    </row>
  </sheetData>
  <autoFilter ref="A26:N86" xr:uid="{00000000-0009-0000-0000-000001000000}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154</v>
      </c>
    </row>
    <row r="2" spans="1:28" x14ac:dyDescent="0.3">
      <c r="A2" s="2" t="s">
        <v>155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156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s="7" t="s">
        <v>157</v>
      </c>
      <c r="B7" s="7" t="s">
        <v>158</v>
      </c>
      <c r="C7" s="11">
        <v>30000</v>
      </c>
      <c r="D7" s="11">
        <f t="shared" ref="D7:W7" si="0">C11</f>
        <v>30000</v>
      </c>
      <c r="E7" s="11">
        <f t="shared" si="0"/>
        <v>28500</v>
      </c>
      <c r="F7" s="11">
        <f t="shared" si="0"/>
        <v>27000</v>
      </c>
      <c r="G7" s="11">
        <f t="shared" si="0"/>
        <v>25500</v>
      </c>
      <c r="H7" s="11">
        <f t="shared" si="0"/>
        <v>24000</v>
      </c>
      <c r="I7" s="11">
        <f t="shared" si="0"/>
        <v>22500</v>
      </c>
      <c r="J7" s="11">
        <f t="shared" si="0"/>
        <v>21000</v>
      </c>
      <c r="K7" s="11">
        <f t="shared" si="0"/>
        <v>19500</v>
      </c>
      <c r="L7" s="11">
        <f t="shared" si="0"/>
        <v>18000</v>
      </c>
      <c r="M7" s="11">
        <f t="shared" si="0"/>
        <v>16500</v>
      </c>
      <c r="N7" s="11">
        <f t="shared" si="0"/>
        <v>15000</v>
      </c>
      <c r="O7" s="11">
        <f t="shared" si="0"/>
        <v>13500</v>
      </c>
      <c r="P7" s="11">
        <f t="shared" si="0"/>
        <v>12000</v>
      </c>
      <c r="Q7" s="11">
        <f t="shared" si="0"/>
        <v>10500</v>
      </c>
      <c r="R7" s="11">
        <f t="shared" si="0"/>
        <v>9000</v>
      </c>
      <c r="S7" s="11">
        <f t="shared" si="0"/>
        <v>7500</v>
      </c>
      <c r="T7" s="11">
        <f t="shared" si="0"/>
        <v>6000</v>
      </c>
      <c r="U7" s="11">
        <f t="shared" si="0"/>
        <v>4500</v>
      </c>
      <c r="V7" s="11">
        <f t="shared" si="0"/>
        <v>3000</v>
      </c>
      <c r="W7" s="11">
        <f t="shared" si="0"/>
        <v>1500</v>
      </c>
      <c r="X7" s="11">
        <f>G7</f>
        <v>25500</v>
      </c>
      <c r="Y7" s="11">
        <f>K7</f>
        <v>19500</v>
      </c>
      <c r="Z7" s="11">
        <f>O7</f>
        <v>13500</v>
      </c>
      <c r="AA7" s="11">
        <f>S7</f>
        <v>7500</v>
      </c>
      <c r="AB7" s="11">
        <f>W7</f>
        <v>1500</v>
      </c>
    </row>
    <row r="8" spans="1:28" x14ac:dyDescent="0.3">
      <c r="A8" s="7" t="s">
        <v>159</v>
      </c>
      <c r="B8" s="7" t="s">
        <v>160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f>SUM(D8:G8)</f>
        <v>0</v>
      </c>
      <c r="Y8" s="11">
        <f>SUM(H8:K8)</f>
        <v>0</v>
      </c>
      <c r="Z8" s="11">
        <f>SUM(L8:O8)</f>
        <v>0</v>
      </c>
      <c r="AA8" s="11">
        <f>SUM(P8:S8)</f>
        <v>0</v>
      </c>
      <c r="AB8" s="11">
        <f>SUM(T8:W8)</f>
        <v>0</v>
      </c>
    </row>
    <row r="9" spans="1:28" x14ac:dyDescent="0.3">
      <c r="A9" s="7" t="s">
        <v>161</v>
      </c>
      <c r="B9" s="7" t="s">
        <v>162</v>
      </c>
      <c r="C9" s="10">
        <v>0</v>
      </c>
      <c r="D9" s="10">
        <v>1500</v>
      </c>
      <c r="E9" s="10">
        <v>1500</v>
      </c>
      <c r="F9" s="10">
        <v>1500</v>
      </c>
      <c r="G9" s="10">
        <v>1500</v>
      </c>
      <c r="H9" s="10">
        <v>1500</v>
      </c>
      <c r="I9" s="10">
        <v>1500</v>
      </c>
      <c r="J9" s="10">
        <v>1500</v>
      </c>
      <c r="K9" s="10">
        <v>1500</v>
      </c>
      <c r="L9" s="10">
        <v>1500</v>
      </c>
      <c r="M9" s="10">
        <v>1500</v>
      </c>
      <c r="N9" s="10">
        <v>1500</v>
      </c>
      <c r="O9" s="10">
        <v>1500</v>
      </c>
      <c r="P9" s="10">
        <v>1500</v>
      </c>
      <c r="Q9" s="10">
        <v>1500</v>
      </c>
      <c r="R9" s="10">
        <v>1500</v>
      </c>
      <c r="S9" s="10">
        <v>1500</v>
      </c>
      <c r="T9" s="10">
        <v>1500</v>
      </c>
      <c r="U9" s="10">
        <v>1500</v>
      </c>
      <c r="V9" s="10">
        <v>1500</v>
      </c>
      <c r="W9" s="10">
        <v>1500</v>
      </c>
      <c r="X9" s="11">
        <f>SUM(D9:G9)</f>
        <v>6000</v>
      </c>
      <c r="Y9" s="11">
        <f>SUM(H9:K9)</f>
        <v>6000</v>
      </c>
      <c r="Z9" s="11">
        <f>SUM(L9:O9)</f>
        <v>6000</v>
      </c>
      <c r="AA9" s="11">
        <f>SUM(P9:S9)</f>
        <v>6000</v>
      </c>
      <c r="AB9" s="11">
        <f>SUM(T9:W9)</f>
        <v>6000</v>
      </c>
    </row>
    <row r="10" spans="1:28" x14ac:dyDescent="0.3">
      <c r="A10" s="33" t="s">
        <v>163</v>
      </c>
      <c r="B10" s="33" t="s">
        <v>164</v>
      </c>
      <c r="C10" s="34">
        <f t="shared" ref="C10:W10" si="1">MIN(C9,C7+C8)</f>
        <v>0</v>
      </c>
      <c r="D10" s="34">
        <f t="shared" si="1"/>
        <v>1500</v>
      </c>
      <c r="E10" s="34">
        <f t="shared" si="1"/>
        <v>1500</v>
      </c>
      <c r="F10" s="34">
        <f t="shared" si="1"/>
        <v>1500</v>
      </c>
      <c r="G10" s="34">
        <f t="shared" si="1"/>
        <v>1500</v>
      </c>
      <c r="H10" s="34">
        <f t="shared" si="1"/>
        <v>1500</v>
      </c>
      <c r="I10" s="34">
        <f t="shared" si="1"/>
        <v>1500</v>
      </c>
      <c r="J10" s="34">
        <f t="shared" si="1"/>
        <v>1500</v>
      </c>
      <c r="K10" s="34">
        <f t="shared" si="1"/>
        <v>1500</v>
      </c>
      <c r="L10" s="34">
        <f t="shared" si="1"/>
        <v>1500</v>
      </c>
      <c r="M10" s="34">
        <f t="shared" si="1"/>
        <v>1500</v>
      </c>
      <c r="N10" s="34">
        <f t="shared" si="1"/>
        <v>1500</v>
      </c>
      <c r="O10" s="34">
        <f t="shared" si="1"/>
        <v>1500</v>
      </c>
      <c r="P10" s="34">
        <f t="shared" si="1"/>
        <v>1500</v>
      </c>
      <c r="Q10" s="34">
        <f t="shared" si="1"/>
        <v>1500</v>
      </c>
      <c r="R10" s="34">
        <f t="shared" si="1"/>
        <v>1500</v>
      </c>
      <c r="S10" s="34">
        <f t="shared" si="1"/>
        <v>1500</v>
      </c>
      <c r="T10" s="34">
        <f t="shared" si="1"/>
        <v>1500</v>
      </c>
      <c r="U10" s="34">
        <f t="shared" si="1"/>
        <v>1500</v>
      </c>
      <c r="V10" s="34">
        <f t="shared" si="1"/>
        <v>1500</v>
      </c>
      <c r="W10" s="34">
        <f t="shared" si="1"/>
        <v>1500</v>
      </c>
      <c r="X10" s="34">
        <f>SUM(D10:G10)</f>
        <v>6000</v>
      </c>
      <c r="Y10" s="34">
        <f>SUM(H10:K10)</f>
        <v>6000</v>
      </c>
      <c r="Z10" s="34">
        <f>SUM(L10:O10)</f>
        <v>6000</v>
      </c>
      <c r="AA10" s="34">
        <f>SUM(P10:S10)</f>
        <v>6000</v>
      </c>
      <c r="AB10" s="34">
        <f>SUM(T10:W10)</f>
        <v>6000</v>
      </c>
    </row>
    <row r="11" spans="1:28" x14ac:dyDescent="0.3">
      <c r="A11" s="23" t="s">
        <v>165</v>
      </c>
      <c r="B11" s="23" t="s">
        <v>158</v>
      </c>
      <c r="C11" s="24">
        <f t="shared" ref="C11:W11" si="2">MAX(0,C7+C8-C10)</f>
        <v>30000</v>
      </c>
      <c r="D11" s="24">
        <f t="shared" si="2"/>
        <v>28500</v>
      </c>
      <c r="E11" s="24">
        <f t="shared" si="2"/>
        <v>27000</v>
      </c>
      <c r="F11" s="24">
        <f t="shared" si="2"/>
        <v>25500</v>
      </c>
      <c r="G11" s="24">
        <f t="shared" si="2"/>
        <v>24000</v>
      </c>
      <c r="H11" s="24">
        <f t="shared" si="2"/>
        <v>22500</v>
      </c>
      <c r="I11" s="24">
        <f t="shared" si="2"/>
        <v>21000</v>
      </c>
      <c r="J11" s="24">
        <f t="shared" si="2"/>
        <v>19500</v>
      </c>
      <c r="K11" s="24">
        <f t="shared" si="2"/>
        <v>18000</v>
      </c>
      <c r="L11" s="24">
        <f t="shared" si="2"/>
        <v>16500</v>
      </c>
      <c r="M11" s="24">
        <f t="shared" si="2"/>
        <v>15000</v>
      </c>
      <c r="N11" s="24">
        <f t="shared" si="2"/>
        <v>13500</v>
      </c>
      <c r="O11" s="24">
        <f t="shared" si="2"/>
        <v>12000</v>
      </c>
      <c r="P11" s="24">
        <f t="shared" si="2"/>
        <v>10500</v>
      </c>
      <c r="Q11" s="24">
        <f t="shared" si="2"/>
        <v>9000</v>
      </c>
      <c r="R11" s="24">
        <f t="shared" si="2"/>
        <v>7500</v>
      </c>
      <c r="S11" s="24">
        <f t="shared" si="2"/>
        <v>6000</v>
      </c>
      <c r="T11" s="24">
        <f t="shared" si="2"/>
        <v>4500</v>
      </c>
      <c r="U11" s="24">
        <f t="shared" si="2"/>
        <v>3000</v>
      </c>
      <c r="V11" s="24">
        <f t="shared" si="2"/>
        <v>1500</v>
      </c>
      <c r="W11" s="24">
        <f t="shared" si="2"/>
        <v>0</v>
      </c>
      <c r="X11" s="24">
        <f>G11</f>
        <v>24000</v>
      </c>
      <c r="Y11" s="24">
        <f>K11</f>
        <v>18000</v>
      </c>
      <c r="Z11" s="24">
        <f>O11</f>
        <v>12000</v>
      </c>
      <c r="AA11" s="24">
        <f>S11</f>
        <v>6000</v>
      </c>
      <c r="AB11" s="24">
        <f>W11</f>
        <v>0</v>
      </c>
    </row>
    <row r="12" spans="1:28" x14ac:dyDescent="0.3">
      <c r="A12" s="7" t="s">
        <v>166</v>
      </c>
      <c r="B12" s="7" t="s">
        <v>167</v>
      </c>
      <c r="C12" s="12">
        <v>0.01</v>
      </c>
      <c r="D12" s="12">
        <v>2.5000000000000001E-2</v>
      </c>
      <c r="E12" s="12">
        <v>2.5000000000000001E-2</v>
      </c>
      <c r="F12" s="12">
        <v>2.5000000000000001E-2</v>
      </c>
      <c r="G12" s="12">
        <v>2.5000000000000001E-2</v>
      </c>
      <c r="H12" s="12">
        <v>2.5000000000000001E-2</v>
      </c>
      <c r="I12" s="12">
        <v>2.5000000000000001E-2</v>
      </c>
      <c r="J12" s="12">
        <v>2.5000000000000001E-2</v>
      </c>
      <c r="K12" s="12">
        <v>2.5000000000000001E-2</v>
      </c>
      <c r="L12" s="12">
        <v>2.5000000000000001E-2</v>
      </c>
      <c r="M12" s="12">
        <v>2.5000000000000001E-2</v>
      </c>
      <c r="N12" s="12">
        <v>2.5000000000000001E-2</v>
      </c>
      <c r="O12" s="12">
        <v>2.5000000000000001E-2</v>
      </c>
      <c r="P12" s="12">
        <v>2.5000000000000001E-2</v>
      </c>
      <c r="Q12" s="12">
        <v>2.5000000000000001E-2</v>
      </c>
      <c r="R12" s="12">
        <v>2.5000000000000001E-2</v>
      </c>
      <c r="S12" s="12">
        <v>2.5000000000000001E-2</v>
      </c>
      <c r="T12" s="12">
        <v>2.5000000000000001E-2</v>
      </c>
      <c r="U12" s="12">
        <v>2.5000000000000001E-2</v>
      </c>
      <c r="V12" s="12">
        <v>2.5000000000000001E-2</v>
      </c>
      <c r="W12" s="12">
        <v>2.5000000000000001E-2</v>
      </c>
      <c r="X12" s="13">
        <f>SUM(D12:G12)</f>
        <v>0.1</v>
      </c>
      <c r="Y12" s="13">
        <f>SUM(H12:K12)</f>
        <v>0.1</v>
      </c>
      <c r="Z12" s="13">
        <f>SUM(L12:O12)</f>
        <v>0.1</v>
      </c>
      <c r="AA12" s="13">
        <f>SUM(P12:S12)</f>
        <v>0.1</v>
      </c>
      <c r="AB12" s="13">
        <f>SUM(T12:W12)</f>
        <v>0.1</v>
      </c>
    </row>
    <row r="13" spans="1:28" x14ac:dyDescent="0.3">
      <c r="A13" s="23" t="s">
        <v>168</v>
      </c>
      <c r="B13" s="23" t="s">
        <v>169</v>
      </c>
      <c r="C13" s="24">
        <f t="shared" ref="C13:W13" si="3">((C7+C11)/2)*C12</f>
        <v>300</v>
      </c>
      <c r="D13" s="24">
        <f t="shared" si="3"/>
        <v>731.25</v>
      </c>
      <c r="E13" s="24">
        <f t="shared" si="3"/>
        <v>693.75</v>
      </c>
      <c r="F13" s="24">
        <f t="shared" si="3"/>
        <v>656.25</v>
      </c>
      <c r="G13" s="24">
        <f t="shared" si="3"/>
        <v>618.75</v>
      </c>
      <c r="H13" s="24">
        <f t="shared" si="3"/>
        <v>581.25</v>
      </c>
      <c r="I13" s="24">
        <f t="shared" si="3"/>
        <v>543.75</v>
      </c>
      <c r="J13" s="24">
        <f t="shared" si="3"/>
        <v>506.25</v>
      </c>
      <c r="K13" s="24">
        <f t="shared" si="3"/>
        <v>468.75</v>
      </c>
      <c r="L13" s="24">
        <f t="shared" si="3"/>
        <v>431.25</v>
      </c>
      <c r="M13" s="24">
        <f t="shared" si="3"/>
        <v>393.75</v>
      </c>
      <c r="N13" s="24">
        <f t="shared" si="3"/>
        <v>356.25</v>
      </c>
      <c r="O13" s="24">
        <f t="shared" si="3"/>
        <v>318.75</v>
      </c>
      <c r="P13" s="24">
        <f t="shared" si="3"/>
        <v>281.25</v>
      </c>
      <c r="Q13" s="24">
        <f t="shared" si="3"/>
        <v>243.75</v>
      </c>
      <c r="R13" s="24">
        <f t="shared" si="3"/>
        <v>206.25</v>
      </c>
      <c r="S13" s="24">
        <f t="shared" si="3"/>
        <v>168.75</v>
      </c>
      <c r="T13" s="24">
        <f t="shared" si="3"/>
        <v>131.25</v>
      </c>
      <c r="U13" s="24">
        <f t="shared" si="3"/>
        <v>93.75</v>
      </c>
      <c r="V13" s="24">
        <f t="shared" si="3"/>
        <v>56.25</v>
      </c>
      <c r="W13" s="24">
        <f t="shared" si="3"/>
        <v>18.75</v>
      </c>
      <c r="X13" s="24">
        <f>SUM(D13:G13)</f>
        <v>2700</v>
      </c>
      <c r="Y13" s="24">
        <f>SUM(H13:K13)</f>
        <v>2100</v>
      </c>
      <c r="Z13" s="24">
        <f>SUM(L13:O13)</f>
        <v>1500</v>
      </c>
      <c r="AA13" s="24">
        <f>SUM(P13:S13)</f>
        <v>900</v>
      </c>
      <c r="AB13" s="24">
        <f>SUM(T13:W13)</f>
        <v>300</v>
      </c>
    </row>
    <row r="14" spans="1:28" x14ac:dyDescent="0.3">
      <c r="A14" s="7" t="s">
        <v>170</v>
      </c>
      <c r="B14" s="7" t="s">
        <v>171</v>
      </c>
      <c r="C14" s="11">
        <f t="shared" ref="C14:W14" si="4">C13+C10</f>
        <v>300</v>
      </c>
      <c r="D14" s="11">
        <f t="shared" si="4"/>
        <v>2231.25</v>
      </c>
      <c r="E14" s="11">
        <f t="shared" si="4"/>
        <v>2193.75</v>
      </c>
      <c r="F14" s="11">
        <f t="shared" si="4"/>
        <v>2156.25</v>
      </c>
      <c r="G14" s="11">
        <f t="shared" si="4"/>
        <v>2118.75</v>
      </c>
      <c r="H14" s="11">
        <f t="shared" si="4"/>
        <v>2081.25</v>
      </c>
      <c r="I14" s="11">
        <f t="shared" si="4"/>
        <v>2043.75</v>
      </c>
      <c r="J14" s="11">
        <f t="shared" si="4"/>
        <v>2006.25</v>
      </c>
      <c r="K14" s="11">
        <f t="shared" si="4"/>
        <v>1968.75</v>
      </c>
      <c r="L14" s="11">
        <f t="shared" si="4"/>
        <v>1931.25</v>
      </c>
      <c r="M14" s="11">
        <f t="shared" si="4"/>
        <v>1893.75</v>
      </c>
      <c r="N14" s="11">
        <f t="shared" si="4"/>
        <v>1856.25</v>
      </c>
      <c r="O14" s="11">
        <f t="shared" si="4"/>
        <v>1818.75</v>
      </c>
      <c r="P14" s="11">
        <f t="shared" si="4"/>
        <v>1781.25</v>
      </c>
      <c r="Q14" s="11">
        <f t="shared" si="4"/>
        <v>1743.75</v>
      </c>
      <c r="R14" s="11">
        <f t="shared" si="4"/>
        <v>1706.25</v>
      </c>
      <c r="S14" s="11">
        <f t="shared" si="4"/>
        <v>1668.75</v>
      </c>
      <c r="T14" s="11">
        <f t="shared" si="4"/>
        <v>1631.25</v>
      </c>
      <c r="U14" s="11">
        <f t="shared" si="4"/>
        <v>1593.75</v>
      </c>
      <c r="V14" s="11">
        <f t="shared" si="4"/>
        <v>1556.25</v>
      </c>
      <c r="W14" s="11">
        <f t="shared" si="4"/>
        <v>1518.75</v>
      </c>
      <c r="X14" s="11">
        <f>SUM(D14:G14)</f>
        <v>8700</v>
      </c>
      <c r="Y14" s="11">
        <f>SUM(H14:K14)</f>
        <v>8100</v>
      </c>
      <c r="Z14" s="11">
        <f>SUM(L14:O14)</f>
        <v>7500</v>
      </c>
      <c r="AA14" s="11">
        <f>SUM(P14:S14)</f>
        <v>6900</v>
      </c>
      <c r="AB14" s="11">
        <f>SUM(T14:W14)</f>
        <v>6300</v>
      </c>
    </row>
    <row r="17" spans="1:28" x14ac:dyDescent="0.3">
      <c r="A17" s="53" t="s">
        <v>172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</row>
    <row r="18" spans="1:28" x14ac:dyDescent="0.3">
      <c r="A18" s="20" t="s">
        <v>173</v>
      </c>
      <c r="B18" s="20" t="s">
        <v>174</v>
      </c>
      <c r="C18" s="25">
        <v>0</v>
      </c>
      <c r="D18" s="25">
        <f t="shared" ref="D18:W18" si="5">C23</f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>G18</f>
        <v>0</v>
      </c>
      <c r="Y18" s="25">
        <f>K18</f>
        <v>0</v>
      </c>
      <c r="Z18" s="25">
        <f>O18</f>
        <v>0</v>
      </c>
      <c r="AA18" s="25">
        <f>S18</f>
        <v>0</v>
      </c>
      <c r="AB18" s="25">
        <f>W18</f>
        <v>0</v>
      </c>
    </row>
    <row r="19" spans="1:28" x14ac:dyDescent="0.3">
      <c r="A19" s="20" t="s">
        <v>175</v>
      </c>
      <c r="B19" s="20" t="s">
        <v>174</v>
      </c>
      <c r="C19" s="25">
        <v>0</v>
      </c>
      <c r="D19" s="25">
        <v>2000</v>
      </c>
      <c r="E19" s="25">
        <v>2000</v>
      </c>
      <c r="F19" s="25">
        <v>2000</v>
      </c>
      <c r="G19" s="25">
        <v>2000</v>
      </c>
      <c r="H19" s="25">
        <v>2000</v>
      </c>
      <c r="I19" s="25">
        <v>2000</v>
      </c>
      <c r="J19" s="25">
        <v>2000</v>
      </c>
      <c r="K19" s="25">
        <v>2000</v>
      </c>
      <c r="L19" s="25">
        <v>2000</v>
      </c>
      <c r="M19" s="25">
        <v>2000</v>
      </c>
      <c r="N19" s="25">
        <v>2000</v>
      </c>
      <c r="O19" s="25">
        <v>2000</v>
      </c>
      <c r="P19" s="25">
        <v>2000</v>
      </c>
      <c r="Q19" s="25">
        <v>2000</v>
      </c>
      <c r="R19" s="25">
        <v>2000</v>
      </c>
      <c r="S19" s="25">
        <v>2000</v>
      </c>
      <c r="T19" s="25">
        <v>2000</v>
      </c>
      <c r="U19" s="25">
        <v>2000</v>
      </c>
      <c r="V19" s="25">
        <v>2000</v>
      </c>
      <c r="W19" s="25">
        <v>2000</v>
      </c>
      <c r="X19" s="25">
        <f>SUM(D19:G19)</f>
        <v>8000</v>
      </c>
      <c r="Y19" s="25">
        <f>SUM(H19:K19)</f>
        <v>8000</v>
      </c>
      <c r="Z19" s="25">
        <f>SUM(L19:O19)</f>
        <v>8000</v>
      </c>
      <c r="AA19" s="25">
        <f>SUM(P19:S19)</f>
        <v>8000</v>
      </c>
      <c r="AB19" s="25">
        <f>SUM(T19:W19)</f>
        <v>8000</v>
      </c>
    </row>
    <row r="20" spans="1:28" x14ac:dyDescent="0.3">
      <c r="A20" s="20" t="s">
        <v>176</v>
      </c>
      <c r="B20" s="20" t="s">
        <v>174</v>
      </c>
      <c r="C20" s="25">
        <f t="shared" ref="C20:W20" si="6">MIN(C19,C18+C21)</f>
        <v>0</v>
      </c>
      <c r="D20" s="25">
        <f t="shared" si="6"/>
        <v>0</v>
      </c>
      <c r="E20" s="25">
        <f t="shared" si="6"/>
        <v>0</v>
      </c>
      <c r="F20" s="25">
        <f t="shared" si="6"/>
        <v>0</v>
      </c>
      <c r="G20" s="25">
        <f t="shared" si="6"/>
        <v>0</v>
      </c>
      <c r="H20" s="25">
        <f t="shared" si="6"/>
        <v>0</v>
      </c>
      <c r="I20" s="25">
        <f t="shared" si="6"/>
        <v>0</v>
      </c>
      <c r="J20" s="25">
        <f t="shared" si="6"/>
        <v>0</v>
      </c>
      <c r="K20" s="25">
        <f t="shared" si="6"/>
        <v>0</v>
      </c>
      <c r="L20" s="25">
        <f t="shared" si="6"/>
        <v>0</v>
      </c>
      <c r="M20" s="25">
        <f t="shared" si="6"/>
        <v>0</v>
      </c>
      <c r="N20" s="25">
        <f t="shared" si="6"/>
        <v>0</v>
      </c>
      <c r="O20" s="25">
        <f t="shared" si="6"/>
        <v>0</v>
      </c>
      <c r="P20" s="25">
        <f t="shared" si="6"/>
        <v>0</v>
      </c>
      <c r="Q20" s="25">
        <f t="shared" si="6"/>
        <v>0</v>
      </c>
      <c r="R20" s="25">
        <f t="shared" si="6"/>
        <v>0</v>
      </c>
      <c r="S20" s="25">
        <f t="shared" si="6"/>
        <v>0</v>
      </c>
      <c r="T20" s="25">
        <f t="shared" si="6"/>
        <v>0</v>
      </c>
      <c r="U20" s="25">
        <f t="shared" si="6"/>
        <v>0</v>
      </c>
      <c r="V20" s="25">
        <f t="shared" si="6"/>
        <v>0</v>
      </c>
      <c r="W20" s="25">
        <f t="shared" si="6"/>
        <v>0</v>
      </c>
      <c r="X20" s="25">
        <f>SUM(D20:G20)</f>
        <v>0</v>
      </c>
      <c r="Y20" s="25">
        <f>SUM(H20:K20)</f>
        <v>0</v>
      </c>
      <c r="Z20" s="25">
        <f>SUM(L20:O20)</f>
        <v>0</v>
      </c>
      <c r="AA20" s="25">
        <f>SUM(P20:S20)</f>
        <v>0</v>
      </c>
      <c r="AB20" s="25">
        <f>SUM(T20:W20)</f>
        <v>0</v>
      </c>
    </row>
    <row r="21" spans="1:28" x14ac:dyDescent="0.3">
      <c r="A21" s="20" t="s">
        <v>177</v>
      </c>
      <c r="B21" s="20" t="s">
        <v>174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f>SUM(D21:G21)</f>
        <v>0</v>
      </c>
      <c r="Y21" s="25">
        <f>SUM(H21:K21)</f>
        <v>0</v>
      </c>
      <c r="Z21" s="25">
        <f>SUM(L21:O21)</f>
        <v>0</v>
      </c>
      <c r="AA21" s="25">
        <f>SUM(P21:S21)</f>
        <v>0</v>
      </c>
      <c r="AB21" s="25">
        <f>SUM(T21:W21)</f>
        <v>0</v>
      </c>
    </row>
    <row r="22" spans="1:28" x14ac:dyDescent="0.3">
      <c r="A22" s="20" t="s">
        <v>178</v>
      </c>
      <c r="B22" s="20" t="s">
        <v>174</v>
      </c>
      <c r="C22" s="25">
        <v>0</v>
      </c>
      <c r="D22" s="25">
        <f t="shared" ref="D22:W22" si="7">D18*D12</f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25">
        <f t="shared" si="7"/>
        <v>0</v>
      </c>
      <c r="I22" s="25">
        <f t="shared" si="7"/>
        <v>0</v>
      </c>
      <c r="J22" s="25">
        <f t="shared" si="7"/>
        <v>0</v>
      </c>
      <c r="K22" s="25">
        <f t="shared" si="7"/>
        <v>0</v>
      </c>
      <c r="L22" s="25">
        <f t="shared" si="7"/>
        <v>0</v>
      </c>
      <c r="M22" s="25">
        <f t="shared" si="7"/>
        <v>0</v>
      </c>
      <c r="N22" s="25">
        <f t="shared" si="7"/>
        <v>0</v>
      </c>
      <c r="O22" s="25">
        <f t="shared" si="7"/>
        <v>0</v>
      </c>
      <c r="P22" s="25">
        <f t="shared" si="7"/>
        <v>0</v>
      </c>
      <c r="Q22" s="25">
        <f t="shared" si="7"/>
        <v>0</v>
      </c>
      <c r="R22" s="25">
        <f t="shared" si="7"/>
        <v>0</v>
      </c>
      <c r="S22" s="25">
        <f t="shared" si="7"/>
        <v>0</v>
      </c>
      <c r="T22" s="25">
        <f t="shared" si="7"/>
        <v>0</v>
      </c>
      <c r="U22" s="25">
        <f t="shared" si="7"/>
        <v>0</v>
      </c>
      <c r="V22" s="25">
        <f t="shared" si="7"/>
        <v>0</v>
      </c>
      <c r="W22" s="25">
        <f t="shared" si="7"/>
        <v>0</v>
      </c>
      <c r="X22" s="25">
        <f>SUM(D22:G22)</f>
        <v>0</v>
      </c>
      <c r="Y22" s="25">
        <f>SUM(H22:K22)</f>
        <v>0</v>
      </c>
      <c r="Z22" s="25">
        <f>SUM(L22:O22)</f>
        <v>0</v>
      </c>
      <c r="AA22" s="25">
        <f>SUM(P22:S22)</f>
        <v>0</v>
      </c>
      <c r="AB22" s="25">
        <f>SUM(T22:W22)</f>
        <v>0</v>
      </c>
    </row>
    <row r="23" spans="1:28" x14ac:dyDescent="0.3">
      <c r="A23" s="20" t="s">
        <v>179</v>
      </c>
      <c r="B23" s="20" t="s">
        <v>174</v>
      </c>
      <c r="C23" s="25">
        <f t="shared" ref="C23:W23" si="8">MAX(0,C18+C21-C20)</f>
        <v>0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25">
        <f t="shared" si="8"/>
        <v>0</v>
      </c>
      <c r="I23" s="25">
        <f t="shared" si="8"/>
        <v>0</v>
      </c>
      <c r="J23" s="25">
        <f t="shared" si="8"/>
        <v>0</v>
      </c>
      <c r="K23" s="25">
        <f t="shared" si="8"/>
        <v>0</v>
      </c>
      <c r="L23" s="25">
        <f t="shared" si="8"/>
        <v>0</v>
      </c>
      <c r="M23" s="25">
        <f t="shared" si="8"/>
        <v>0</v>
      </c>
      <c r="N23" s="25">
        <f t="shared" si="8"/>
        <v>0</v>
      </c>
      <c r="O23" s="25">
        <f t="shared" si="8"/>
        <v>0</v>
      </c>
      <c r="P23" s="25">
        <f t="shared" si="8"/>
        <v>0</v>
      </c>
      <c r="Q23" s="25">
        <f t="shared" si="8"/>
        <v>0</v>
      </c>
      <c r="R23" s="25">
        <f t="shared" si="8"/>
        <v>0</v>
      </c>
      <c r="S23" s="25">
        <f t="shared" si="8"/>
        <v>0</v>
      </c>
      <c r="T23" s="25">
        <f t="shared" si="8"/>
        <v>0</v>
      </c>
      <c r="U23" s="25">
        <f t="shared" si="8"/>
        <v>0</v>
      </c>
      <c r="V23" s="25">
        <f t="shared" si="8"/>
        <v>0</v>
      </c>
      <c r="W23" s="25">
        <f t="shared" si="8"/>
        <v>0</v>
      </c>
      <c r="X23" s="25">
        <f>G23</f>
        <v>0</v>
      </c>
      <c r="Y23" s="25">
        <f>K23</f>
        <v>0</v>
      </c>
      <c r="Z23" s="25">
        <f>O23</f>
        <v>0</v>
      </c>
      <c r="AA23" s="25">
        <f>S23</f>
        <v>0</v>
      </c>
      <c r="AB23" s="25">
        <f>W23</f>
        <v>0</v>
      </c>
    </row>
    <row r="24" spans="1:28" x14ac:dyDescent="0.3">
      <c r="A24" s="20" t="s">
        <v>180</v>
      </c>
      <c r="B24" s="20" t="s">
        <v>174</v>
      </c>
      <c r="C24" s="25">
        <v>0</v>
      </c>
      <c r="D24" s="25">
        <f t="shared" ref="D24:W24" si="9">C26</f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25">
        <f t="shared" si="9"/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>G24</f>
        <v>0</v>
      </c>
      <c r="Y24" s="25">
        <f>K24</f>
        <v>0</v>
      </c>
      <c r="Z24" s="25">
        <f>O24</f>
        <v>0</v>
      </c>
      <c r="AA24" s="25">
        <f>S24</f>
        <v>0</v>
      </c>
      <c r="AB24" s="25">
        <f>W24</f>
        <v>0</v>
      </c>
    </row>
    <row r="25" spans="1:28" x14ac:dyDescent="0.3">
      <c r="A25" s="20" t="s">
        <v>181</v>
      </c>
      <c r="B25" s="20" t="s">
        <v>174</v>
      </c>
      <c r="C25" s="25">
        <v>0</v>
      </c>
      <c r="D25" s="25">
        <f>MIN((C18/20),D24)</f>
        <v>0</v>
      </c>
      <c r="E25" s="25">
        <f>MIN((C18/20),E24)</f>
        <v>0</v>
      </c>
      <c r="F25" s="25">
        <f>MIN((C18/20),F24)</f>
        <v>0</v>
      </c>
      <c r="G25" s="25">
        <f>MIN((C18/20),G24)</f>
        <v>0</v>
      </c>
      <c r="H25" s="25">
        <f>MIN((C18/20),H24)</f>
        <v>0</v>
      </c>
      <c r="I25" s="25">
        <f>MIN((C18/20),I24)</f>
        <v>0</v>
      </c>
      <c r="J25" s="25">
        <f>MIN((C18/20),J24)</f>
        <v>0</v>
      </c>
      <c r="K25" s="25">
        <f>MIN((C18/20),K24)</f>
        <v>0</v>
      </c>
      <c r="L25" s="25">
        <f>MIN((C18/20),L24)</f>
        <v>0</v>
      </c>
      <c r="M25" s="25">
        <f>MIN((C18/20),M24)</f>
        <v>0</v>
      </c>
      <c r="N25" s="25">
        <f>MIN((C18/20),N24)</f>
        <v>0</v>
      </c>
      <c r="O25" s="25">
        <f>MIN((C18/20),O24)</f>
        <v>0</v>
      </c>
      <c r="P25" s="25">
        <f>MIN((C18/20),P24)</f>
        <v>0</v>
      </c>
      <c r="Q25" s="25">
        <f>MIN((C18/20),Q24)</f>
        <v>0</v>
      </c>
      <c r="R25" s="25">
        <f>MIN((C18/20),R24)</f>
        <v>0</v>
      </c>
      <c r="S25" s="25">
        <f>MIN((C18/20),S24)</f>
        <v>0</v>
      </c>
      <c r="T25" s="25">
        <f>MIN((C18/20),T24)</f>
        <v>0</v>
      </c>
      <c r="U25" s="25">
        <f>MIN((C18/20),U24)</f>
        <v>0</v>
      </c>
      <c r="V25" s="25">
        <f>MIN((C18/20),V24)</f>
        <v>0</v>
      </c>
      <c r="W25" s="25">
        <f>MIN((C18/20),W24)</f>
        <v>0</v>
      </c>
      <c r="X25" s="25">
        <f>SUM(D25:G25)</f>
        <v>0</v>
      </c>
      <c r="Y25" s="25">
        <f>SUM(H25:K25)</f>
        <v>0</v>
      </c>
      <c r="Z25" s="25">
        <f>SUM(L25:O25)</f>
        <v>0</v>
      </c>
      <c r="AA25" s="25">
        <f>SUM(P25:S25)</f>
        <v>0</v>
      </c>
      <c r="AB25" s="25">
        <f>SUM(T25:W25)</f>
        <v>0</v>
      </c>
    </row>
    <row r="26" spans="1:28" x14ac:dyDescent="0.3">
      <c r="A26" s="20" t="s">
        <v>182</v>
      </c>
      <c r="B26" s="20" t="s">
        <v>174</v>
      </c>
      <c r="C26" s="25">
        <f t="shared" ref="C26:W26" si="10">MAX(0,C24-C25)</f>
        <v>0</v>
      </c>
      <c r="D26" s="25">
        <f t="shared" si="10"/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J26" s="25">
        <f t="shared" si="10"/>
        <v>0</v>
      </c>
      <c r="K26" s="25">
        <f t="shared" si="10"/>
        <v>0</v>
      </c>
      <c r="L26" s="25">
        <f t="shared" si="10"/>
        <v>0</v>
      </c>
      <c r="M26" s="25">
        <f t="shared" si="10"/>
        <v>0</v>
      </c>
      <c r="N26" s="25">
        <f t="shared" si="10"/>
        <v>0</v>
      </c>
      <c r="O26" s="25">
        <f t="shared" si="10"/>
        <v>0</v>
      </c>
      <c r="P26" s="25">
        <f t="shared" si="10"/>
        <v>0</v>
      </c>
      <c r="Q26" s="25">
        <f t="shared" si="10"/>
        <v>0</v>
      </c>
      <c r="R26" s="25">
        <f t="shared" si="10"/>
        <v>0</v>
      </c>
      <c r="S26" s="25">
        <f t="shared" si="10"/>
        <v>0</v>
      </c>
      <c r="T26" s="25">
        <f t="shared" si="10"/>
        <v>0</v>
      </c>
      <c r="U26" s="25">
        <f t="shared" si="10"/>
        <v>0</v>
      </c>
      <c r="V26" s="25">
        <f t="shared" si="10"/>
        <v>0</v>
      </c>
      <c r="W26" s="25">
        <f t="shared" si="10"/>
        <v>0</v>
      </c>
      <c r="X26" s="25">
        <f>G26</f>
        <v>0</v>
      </c>
      <c r="Y26" s="25">
        <f>K26</f>
        <v>0</v>
      </c>
      <c r="Z26" s="25">
        <f>O26</f>
        <v>0</v>
      </c>
      <c r="AA26" s="25">
        <f>S26</f>
        <v>0</v>
      </c>
      <c r="AB26" s="25">
        <f>W26</f>
        <v>0</v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183</v>
      </c>
    </row>
    <row r="2" spans="1:28" x14ac:dyDescent="0.3">
      <c r="A2" s="2" t="s">
        <v>184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185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s="7" t="s">
        <v>186</v>
      </c>
      <c r="B7" s="7" t="s">
        <v>158</v>
      </c>
      <c r="C7" s="11">
        <v>40000</v>
      </c>
      <c r="D7" s="11">
        <f t="shared" ref="D7:W7" si="0">C12</f>
        <v>40000</v>
      </c>
      <c r="E7" s="11">
        <f t="shared" si="0"/>
        <v>40190</v>
      </c>
      <c r="F7" s="11">
        <f t="shared" si="0"/>
        <v>40370.895189999996</v>
      </c>
      <c r="G7" s="11">
        <f t="shared" si="0"/>
        <v>40542.592607293067</v>
      </c>
      <c r="H7" s="11">
        <f t="shared" si="0"/>
        <v>40705.046775834024</v>
      </c>
      <c r="I7" s="11">
        <f t="shared" si="0"/>
        <v>40858.138456878769</v>
      </c>
      <c r="J7" s="11">
        <f t="shared" si="0"/>
        <v>41001.754813270309</v>
      </c>
      <c r="K7" s="11">
        <f t="shared" si="0"/>
        <v>41135.830551443352</v>
      </c>
      <c r="L7" s="11">
        <f t="shared" si="0"/>
        <v>41260.307574934799</v>
      </c>
      <c r="M7" s="11">
        <f t="shared" si="0"/>
        <v>41375.093750733591</v>
      </c>
      <c r="N7" s="11">
        <f t="shared" si="0"/>
        <v>41480.103738919286</v>
      </c>
      <c r="O7" s="11">
        <f t="shared" si="0"/>
        <v>41575.259097201772</v>
      </c>
      <c r="P7" s="11">
        <f t="shared" si="0"/>
        <v>41660.529953124125</v>
      </c>
      <c r="Q7" s="11">
        <f t="shared" si="0"/>
        <v>41735.810530983799</v>
      </c>
      <c r="R7" s="11">
        <f t="shared" si="0"/>
        <v>41801.001867378276</v>
      </c>
      <c r="S7" s="11">
        <f t="shared" si="0"/>
        <v>41856.09558750259</v>
      </c>
      <c r="T7" s="11">
        <f t="shared" si="0"/>
        <v>41901.007178130465</v>
      </c>
      <c r="U7" s="11">
        <f t="shared" si="0"/>
        <v>41935.659311176132</v>
      </c>
      <c r="V7" s="11">
        <f t="shared" si="0"/>
        <v>41959.981994020731</v>
      </c>
      <c r="W7" s="11">
        <f t="shared" si="0"/>
        <v>41973.954668054641</v>
      </c>
      <c r="X7" s="11">
        <f>G7</f>
        <v>40542.592607293067</v>
      </c>
      <c r="Y7" s="11">
        <f>K7</f>
        <v>41135.830551443352</v>
      </c>
      <c r="Z7" s="11">
        <f>O7</f>
        <v>41575.259097201772</v>
      </c>
      <c r="AA7" s="11">
        <f>S7</f>
        <v>41856.09558750259</v>
      </c>
      <c r="AB7" s="11">
        <f>W7</f>
        <v>41973.954668054641</v>
      </c>
    </row>
    <row r="8" spans="1:28" x14ac:dyDescent="0.3">
      <c r="A8" s="33" t="s">
        <v>72</v>
      </c>
      <c r="B8" s="33" t="s">
        <v>187</v>
      </c>
      <c r="C8" s="34">
        <v>0</v>
      </c>
      <c r="D8" s="34">
        <v>200</v>
      </c>
      <c r="E8" s="34">
        <v>200.95</v>
      </c>
      <c r="F8" s="34">
        <v>201.85447600000001</v>
      </c>
      <c r="G8" s="34">
        <v>202.712963</v>
      </c>
      <c r="H8" s="34">
        <v>203.52523400000001</v>
      </c>
      <c r="I8" s="34">
        <v>204.29069200000001</v>
      </c>
      <c r="J8" s="34">
        <v>205.00877399999999</v>
      </c>
      <c r="K8" s="34">
        <v>205.67915300000001</v>
      </c>
      <c r="L8" s="34">
        <v>206.30153799999999</v>
      </c>
      <c r="M8" s="34">
        <v>206.87546900000001</v>
      </c>
      <c r="N8" s="34">
        <v>207.400519</v>
      </c>
      <c r="O8" s="34">
        <v>207.876295</v>
      </c>
      <c r="P8" s="34">
        <v>208.30265</v>
      </c>
      <c r="Q8" s="34">
        <v>208.67905300000001</v>
      </c>
      <c r="R8" s="34">
        <v>209.005009</v>
      </c>
      <c r="S8" s="34">
        <v>209.28047799999999</v>
      </c>
      <c r="T8" s="34">
        <v>209.50503599999999</v>
      </c>
      <c r="U8" s="34">
        <v>209.67829699999999</v>
      </c>
      <c r="V8" s="34">
        <v>209.79991000000001</v>
      </c>
      <c r="W8" s="34">
        <v>209.86977300000001</v>
      </c>
      <c r="X8" s="34">
        <f>SUM(D8:G8)</f>
        <v>805.51743899999997</v>
      </c>
      <c r="Y8" s="34">
        <f>SUM(H8:K8)</f>
        <v>818.50385300000005</v>
      </c>
      <c r="Z8" s="34">
        <f>SUM(L8:O8)</f>
        <v>828.45382100000006</v>
      </c>
      <c r="AA8" s="34">
        <f>SUM(P8:S8)</f>
        <v>835.26719000000003</v>
      </c>
      <c r="AB8" s="34">
        <f>SUM(T8:W8)</f>
        <v>838.85301599999991</v>
      </c>
    </row>
    <row r="9" spans="1:28" x14ac:dyDescent="0.3">
      <c r="A9" s="7" t="s">
        <v>188</v>
      </c>
      <c r="B9" s="7" t="s">
        <v>187</v>
      </c>
      <c r="C9" s="11">
        <v>0</v>
      </c>
      <c r="D9" s="11">
        <f>'Debt Schedule'!D21</f>
        <v>0</v>
      </c>
      <c r="E9" s="11">
        <f>'Debt Schedule'!E21</f>
        <v>0</v>
      </c>
      <c r="F9" s="11">
        <f>'Debt Schedule'!F21</f>
        <v>0</v>
      </c>
      <c r="G9" s="11">
        <f>'Debt Schedule'!G21</f>
        <v>0</v>
      </c>
      <c r="H9" s="11">
        <f>'Debt Schedule'!H21</f>
        <v>0</v>
      </c>
      <c r="I9" s="11">
        <f>'Debt Schedule'!I21</f>
        <v>0</v>
      </c>
      <c r="J9" s="11">
        <f>'Debt Schedule'!J21</f>
        <v>0</v>
      </c>
      <c r="K9" s="11">
        <f>'Debt Schedule'!K21</f>
        <v>0</v>
      </c>
      <c r="L9" s="11">
        <f>'Debt Schedule'!L21</f>
        <v>0</v>
      </c>
      <c r="M9" s="11">
        <f>'Debt Schedule'!M21</f>
        <v>0</v>
      </c>
      <c r="N9" s="11">
        <f>'Debt Schedule'!N21</f>
        <v>0</v>
      </c>
      <c r="O9" s="11">
        <f>'Debt Schedule'!O21</f>
        <v>0</v>
      </c>
      <c r="P9" s="11">
        <f>'Debt Schedule'!P21</f>
        <v>0</v>
      </c>
      <c r="Q9" s="11">
        <f>'Debt Schedule'!Q21</f>
        <v>0</v>
      </c>
      <c r="R9" s="11">
        <f>'Debt Schedule'!R21</f>
        <v>0</v>
      </c>
      <c r="S9" s="11">
        <f>'Debt Schedule'!S21</f>
        <v>0</v>
      </c>
      <c r="T9" s="11">
        <f>'Debt Schedule'!T21</f>
        <v>0</v>
      </c>
      <c r="U9" s="11">
        <f>'Debt Schedule'!U21</f>
        <v>0</v>
      </c>
      <c r="V9" s="11">
        <f>'Debt Schedule'!V21</f>
        <v>0</v>
      </c>
      <c r="W9" s="11">
        <f>'Debt Schedule'!W21</f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7" t="s">
        <v>189</v>
      </c>
      <c r="B10" s="7" t="s">
        <v>187</v>
      </c>
      <c r="C10" s="12">
        <v>0</v>
      </c>
      <c r="D10" s="12">
        <v>2.5000000000000001E-4</v>
      </c>
      <c r="E10" s="12">
        <v>4.9899999999999999E-4</v>
      </c>
      <c r="F10" s="12">
        <v>7.4700000000000005E-4</v>
      </c>
      <c r="G10" s="12">
        <v>9.9299999999999996E-4</v>
      </c>
      <c r="H10" s="12">
        <v>1.2390000000000001E-3</v>
      </c>
      <c r="I10" s="12">
        <v>1.485E-3</v>
      </c>
      <c r="J10" s="12">
        <v>1.73E-3</v>
      </c>
      <c r="K10" s="12">
        <v>1.9740000000000001E-3</v>
      </c>
      <c r="L10" s="12">
        <v>2.2179999999999999E-3</v>
      </c>
      <c r="M10" s="12">
        <v>2.4620000000000002E-3</v>
      </c>
      <c r="N10" s="12">
        <v>2.7060000000000001E-3</v>
      </c>
      <c r="O10" s="12">
        <v>2.9489999999999998E-3</v>
      </c>
      <c r="P10" s="12">
        <v>3.1930000000000001E-3</v>
      </c>
      <c r="Q10" s="12">
        <v>3.4380000000000001E-3</v>
      </c>
      <c r="R10" s="12">
        <v>3.6819999999999999E-3</v>
      </c>
      <c r="S10" s="12">
        <v>3.9269999999999999E-3</v>
      </c>
      <c r="T10" s="12">
        <v>4.1729999999999996E-3</v>
      </c>
      <c r="U10" s="12">
        <v>4.4200000000000003E-3</v>
      </c>
      <c r="V10" s="12">
        <v>4.6670000000000001E-3</v>
      </c>
      <c r="W10" s="12">
        <v>4.9160000000000002E-3</v>
      </c>
      <c r="X10" s="13">
        <f>SUM(D10:G10)</f>
        <v>2.4889999999999999E-3</v>
      </c>
      <c r="Y10" s="13">
        <f>SUM(H10:K10)</f>
        <v>6.4279999999999997E-3</v>
      </c>
      <c r="Z10" s="13">
        <f>SUM(L10:O10)</f>
        <v>1.0335E-2</v>
      </c>
      <c r="AA10" s="13">
        <f>SUM(P10:S10)</f>
        <v>1.4239999999999999E-2</v>
      </c>
      <c r="AB10" s="13">
        <f>SUM(T10:W10)</f>
        <v>1.8176000000000001E-2</v>
      </c>
    </row>
    <row r="11" spans="1:28" x14ac:dyDescent="0.3">
      <c r="A11" s="23" t="s">
        <v>190</v>
      </c>
      <c r="B11" s="23" t="s">
        <v>158</v>
      </c>
      <c r="C11" s="24">
        <f t="shared" ref="C11:W11" si="1">MIN(C7*C10,C7)</f>
        <v>0</v>
      </c>
      <c r="D11" s="24">
        <f t="shared" si="1"/>
        <v>10</v>
      </c>
      <c r="E11" s="24">
        <f t="shared" si="1"/>
        <v>20.05481</v>
      </c>
      <c r="F11" s="24">
        <f t="shared" si="1"/>
        <v>30.157058706929998</v>
      </c>
      <c r="G11" s="24">
        <f t="shared" si="1"/>
        <v>40.258794459042015</v>
      </c>
      <c r="H11" s="24">
        <f t="shared" si="1"/>
        <v>50.433552955258357</v>
      </c>
      <c r="I11" s="24">
        <f t="shared" si="1"/>
        <v>60.674335608464972</v>
      </c>
      <c r="J11" s="24">
        <f t="shared" si="1"/>
        <v>70.933035826957635</v>
      </c>
      <c r="K11" s="24">
        <f t="shared" si="1"/>
        <v>81.202129508549177</v>
      </c>
      <c r="L11" s="24">
        <f t="shared" si="1"/>
        <v>91.515362201205377</v>
      </c>
      <c r="M11" s="24">
        <f t="shared" si="1"/>
        <v>101.86548081430611</v>
      </c>
      <c r="N11" s="24">
        <f t="shared" si="1"/>
        <v>112.24516071751559</v>
      </c>
      <c r="O11" s="24">
        <f t="shared" si="1"/>
        <v>122.60543907764801</v>
      </c>
      <c r="P11" s="24">
        <f t="shared" si="1"/>
        <v>133.02207214032535</v>
      </c>
      <c r="Q11" s="24">
        <f t="shared" si="1"/>
        <v>143.48771660552231</v>
      </c>
      <c r="R11" s="24">
        <f t="shared" si="1"/>
        <v>153.91128887568681</v>
      </c>
      <c r="S11" s="24">
        <f t="shared" si="1"/>
        <v>164.36888737212266</v>
      </c>
      <c r="T11" s="24">
        <f t="shared" si="1"/>
        <v>174.85290295433842</v>
      </c>
      <c r="U11" s="24">
        <f t="shared" si="1"/>
        <v>185.35561415539851</v>
      </c>
      <c r="V11" s="24">
        <f t="shared" si="1"/>
        <v>195.82723596609475</v>
      </c>
      <c r="W11" s="24">
        <f t="shared" si="1"/>
        <v>206.34396114815664</v>
      </c>
      <c r="X11" s="24">
        <f>SUM(D11:G11)</f>
        <v>100.47066316597201</v>
      </c>
      <c r="Y11" s="24">
        <f>SUM(H11:K11)</f>
        <v>263.24305389923018</v>
      </c>
      <c r="Z11" s="24">
        <f>SUM(L11:O11)</f>
        <v>428.23144281067505</v>
      </c>
      <c r="AA11" s="24">
        <f>SUM(P11:S11)</f>
        <v>594.78996499365712</v>
      </c>
      <c r="AB11" s="24">
        <f>SUM(T11:W11)</f>
        <v>762.37971422398834</v>
      </c>
    </row>
    <row r="12" spans="1:28" x14ac:dyDescent="0.3">
      <c r="A12" s="23" t="s">
        <v>191</v>
      </c>
      <c r="B12" s="23" t="s">
        <v>158</v>
      </c>
      <c r="C12" s="24">
        <f t="shared" ref="C12:W12" si="2">MAX(0,C7+C8+C9-C11)</f>
        <v>40000</v>
      </c>
      <c r="D12" s="24">
        <f t="shared" si="2"/>
        <v>40190</v>
      </c>
      <c r="E12" s="24">
        <f t="shared" si="2"/>
        <v>40370.895189999996</v>
      </c>
      <c r="F12" s="24">
        <f t="shared" si="2"/>
        <v>40542.592607293067</v>
      </c>
      <c r="G12" s="24">
        <f t="shared" si="2"/>
        <v>40705.046775834024</v>
      </c>
      <c r="H12" s="24">
        <f t="shared" si="2"/>
        <v>40858.138456878769</v>
      </c>
      <c r="I12" s="24">
        <f t="shared" si="2"/>
        <v>41001.754813270309</v>
      </c>
      <c r="J12" s="24">
        <f t="shared" si="2"/>
        <v>41135.830551443352</v>
      </c>
      <c r="K12" s="24">
        <f t="shared" si="2"/>
        <v>41260.307574934799</v>
      </c>
      <c r="L12" s="24">
        <f t="shared" si="2"/>
        <v>41375.093750733591</v>
      </c>
      <c r="M12" s="24">
        <f t="shared" si="2"/>
        <v>41480.103738919286</v>
      </c>
      <c r="N12" s="24">
        <f t="shared" si="2"/>
        <v>41575.259097201772</v>
      </c>
      <c r="O12" s="24">
        <f t="shared" si="2"/>
        <v>41660.529953124125</v>
      </c>
      <c r="P12" s="24">
        <f t="shared" si="2"/>
        <v>41735.810530983799</v>
      </c>
      <c r="Q12" s="24">
        <f t="shared" si="2"/>
        <v>41801.001867378276</v>
      </c>
      <c r="R12" s="24">
        <f t="shared" si="2"/>
        <v>41856.09558750259</v>
      </c>
      <c r="S12" s="24">
        <f t="shared" si="2"/>
        <v>41901.007178130465</v>
      </c>
      <c r="T12" s="24">
        <f t="shared" si="2"/>
        <v>41935.659311176132</v>
      </c>
      <c r="U12" s="24">
        <f t="shared" si="2"/>
        <v>41959.981994020731</v>
      </c>
      <c r="V12" s="24">
        <f t="shared" si="2"/>
        <v>41973.954668054641</v>
      </c>
      <c r="W12" s="24">
        <f t="shared" si="2"/>
        <v>41977.48047990648</v>
      </c>
      <c r="X12" s="24">
        <f>G12</f>
        <v>40705.046775834024</v>
      </c>
      <c r="Y12" s="24">
        <f>K12</f>
        <v>41260.307574934799</v>
      </c>
      <c r="Z12" s="24">
        <f>O12</f>
        <v>41660.529953124125</v>
      </c>
      <c r="AA12" s="24">
        <f>S12</f>
        <v>41901.007178130465</v>
      </c>
      <c r="AB12" s="24">
        <f>W12</f>
        <v>41977.48047990648</v>
      </c>
    </row>
    <row r="13" spans="1:28" x14ac:dyDescent="0.3">
      <c r="A13" s="7" t="s">
        <v>192</v>
      </c>
      <c r="B13" s="7" t="s">
        <v>158</v>
      </c>
      <c r="C13" s="11">
        <v>0</v>
      </c>
      <c r="D13" s="11">
        <f t="shared" ref="D13:W13" si="3">C14</f>
        <v>0</v>
      </c>
      <c r="E13" s="11">
        <f t="shared" si="3"/>
        <v>-10</v>
      </c>
      <c r="F13" s="11">
        <f t="shared" si="3"/>
        <v>-30.05481</v>
      </c>
      <c r="G13" s="11">
        <f t="shared" si="3"/>
        <v>-60.211868706929998</v>
      </c>
      <c r="H13" s="11">
        <f t="shared" si="3"/>
        <v>-100.47066316597201</v>
      </c>
      <c r="I13" s="11">
        <f t="shared" si="3"/>
        <v>-150.90421612123038</v>
      </c>
      <c r="J13" s="11">
        <f t="shared" si="3"/>
        <v>-211.57855172969533</v>
      </c>
      <c r="K13" s="11">
        <f t="shared" si="3"/>
        <v>-282.51158755665296</v>
      </c>
      <c r="L13" s="11">
        <f t="shared" si="3"/>
        <v>-363.7137170652021</v>
      </c>
      <c r="M13" s="11">
        <f t="shared" si="3"/>
        <v>-455.2290792664075</v>
      </c>
      <c r="N13" s="11">
        <f t="shared" si="3"/>
        <v>-557.09456008071356</v>
      </c>
      <c r="O13" s="11">
        <f t="shared" si="3"/>
        <v>-669.33972079822911</v>
      </c>
      <c r="P13" s="11">
        <f t="shared" si="3"/>
        <v>-791.94515987587715</v>
      </c>
      <c r="Q13" s="11">
        <f t="shared" si="3"/>
        <v>-924.9672320162025</v>
      </c>
      <c r="R13" s="11">
        <f t="shared" si="3"/>
        <v>-1068.4549486217247</v>
      </c>
      <c r="S13" s="11">
        <f t="shared" si="3"/>
        <v>-1222.3662374974115</v>
      </c>
      <c r="T13" s="11">
        <f t="shared" si="3"/>
        <v>-1386.735124869534</v>
      </c>
      <c r="U13" s="11">
        <f t="shared" si="3"/>
        <v>-1561.5880278238724</v>
      </c>
      <c r="V13" s="11">
        <f t="shared" si="3"/>
        <v>-1746.943641979271</v>
      </c>
      <c r="W13" s="11">
        <f t="shared" si="3"/>
        <v>-1942.7708779453658</v>
      </c>
      <c r="X13" s="11">
        <f>G13</f>
        <v>-60.211868706929998</v>
      </c>
      <c r="Y13" s="11">
        <f>K13</f>
        <v>-282.51158755665296</v>
      </c>
      <c r="Z13" s="11">
        <f>O13</f>
        <v>-669.33972079822911</v>
      </c>
      <c r="AA13" s="11">
        <f>S13</f>
        <v>-1222.3662374974115</v>
      </c>
      <c r="AB13" s="11">
        <f>W13</f>
        <v>-1942.7708779453658</v>
      </c>
    </row>
    <row r="14" spans="1:28" x14ac:dyDescent="0.3">
      <c r="A14" s="7" t="s">
        <v>53</v>
      </c>
      <c r="B14" s="7" t="s">
        <v>158</v>
      </c>
      <c r="C14" s="11">
        <f t="shared" ref="C14:W14" si="4">C13-C11</f>
        <v>0</v>
      </c>
      <c r="D14" s="11">
        <f t="shared" si="4"/>
        <v>-10</v>
      </c>
      <c r="E14" s="11">
        <f t="shared" si="4"/>
        <v>-30.05481</v>
      </c>
      <c r="F14" s="11">
        <f t="shared" si="4"/>
        <v>-60.211868706929998</v>
      </c>
      <c r="G14" s="11">
        <f t="shared" si="4"/>
        <v>-100.47066316597201</v>
      </c>
      <c r="H14" s="11">
        <f t="shared" si="4"/>
        <v>-150.90421612123038</v>
      </c>
      <c r="I14" s="11">
        <f t="shared" si="4"/>
        <v>-211.57855172969533</v>
      </c>
      <c r="J14" s="11">
        <f t="shared" si="4"/>
        <v>-282.51158755665296</v>
      </c>
      <c r="K14" s="11">
        <f t="shared" si="4"/>
        <v>-363.7137170652021</v>
      </c>
      <c r="L14" s="11">
        <f t="shared" si="4"/>
        <v>-455.2290792664075</v>
      </c>
      <c r="M14" s="11">
        <f t="shared" si="4"/>
        <v>-557.09456008071356</v>
      </c>
      <c r="N14" s="11">
        <f t="shared" si="4"/>
        <v>-669.33972079822911</v>
      </c>
      <c r="O14" s="11">
        <f t="shared" si="4"/>
        <v>-791.94515987587715</v>
      </c>
      <c r="P14" s="11">
        <f t="shared" si="4"/>
        <v>-924.9672320162025</v>
      </c>
      <c r="Q14" s="11">
        <f t="shared" si="4"/>
        <v>-1068.4549486217247</v>
      </c>
      <c r="R14" s="11">
        <f t="shared" si="4"/>
        <v>-1222.3662374974115</v>
      </c>
      <c r="S14" s="11">
        <f t="shared" si="4"/>
        <v>-1386.735124869534</v>
      </c>
      <c r="T14" s="11">
        <f t="shared" si="4"/>
        <v>-1561.5880278238724</v>
      </c>
      <c r="U14" s="11">
        <f t="shared" si="4"/>
        <v>-1746.943641979271</v>
      </c>
      <c r="V14" s="11">
        <f t="shared" si="4"/>
        <v>-1942.7708779453658</v>
      </c>
      <c r="W14" s="11">
        <f t="shared" si="4"/>
        <v>-2149.1148390935223</v>
      </c>
      <c r="X14" s="11">
        <f>G14</f>
        <v>-100.47066316597201</v>
      </c>
      <c r="Y14" s="11">
        <f>K14</f>
        <v>-363.7137170652021</v>
      </c>
      <c r="Z14" s="11">
        <f>O14</f>
        <v>-791.94515987587715</v>
      </c>
      <c r="AA14" s="11">
        <f>S14</f>
        <v>-1386.735124869534</v>
      </c>
      <c r="AB14" s="11">
        <f>W14</f>
        <v>-2149.1148390935223</v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193</v>
      </c>
    </row>
    <row r="2" spans="1:28" x14ac:dyDescent="0.3">
      <c r="A2" s="2" t="s">
        <v>194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195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s="7" t="s">
        <v>196</v>
      </c>
      <c r="B7" s="7" t="s">
        <v>197</v>
      </c>
      <c r="C7" s="8">
        <v>0</v>
      </c>
      <c r="D7" s="8">
        <v>30</v>
      </c>
      <c r="E7" s="8">
        <v>30</v>
      </c>
      <c r="F7" s="8">
        <v>30</v>
      </c>
      <c r="G7" s="8">
        <v>30</v>
      </c>
      <c r="H7" s="8">
        <v>30</v>
      </c>
      <c r="I7" s="8">
        <v>30</v>
      </c>
      <c r="J7" s="8">
        <v>30</v>
      </c>
      <c r="K7" s="8">
        <v>30</v>
      </c>
      <c r="L7" s="8">
        <v>30</v>
      </c>
      <c r="M7" s="8">
        <v>30</v>
      </c>
      <c r="N7" s="8">
        <v>30</v>
      </c>
      <c r="O7" s="8">
        <v>30</v>
      </c>
      <c r="P7" s="8">
        <v>30</v>
      </c>
      <c r="Q7" s="8">
        <v>30</v>
      </c>
      <c r="R7" s="8">
        <v>30</v>
      </c>
      <c r="S7" s="8">
        <v>30</v>
      </c>
      <c r="T7" s="8">
        <v>30</v>
      </c>
      <c r="U7" s="8">
        <v>30</v>
      </c>
      <c r="V7" s="8">
        <v>30</v>
      </c>
      <c r="W7" s="8">
        <v>30</v>
      </c>
      <c r="X7" s="9"/>
      <c r="Y7" s="9"/>
      <c r="Z7" s="9"/>
      <c r="AA7" s="9"/>
      <c r="AB7" s="9"/>
    </row>
    <row r="8" spans="1:28" x14ac:dyDescent="0.3">
      <c r="A8" s="7" t="s">
        <v>198</v>
      </c>
      <c r="B8" s="7" t="s">
        <v>197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9"/>
      <c r="Y8" s="9"/>
      <c r="Z8" s="9"/>
      <c r="AA8" s="9"/>
      <c r="AB8" s="9"/>
    </row>
    <row r="9" spans="1:28" x14ac:dyDescent="0.3">
      <c r="A9" s="7" t="s">
        <v>199</v>
      </c>
      <c r="B9" s="7" t="s">
        <v>197</v>
      </c>
      <c r="C9" s="8">
        <v>0</v>
      </c>
      <c r="D9" s="8">
        <v>30</v>
      </c>
      <c r="E9" s="8">
        <v>30</v>
      </c>
      <c r="F9" s="8">
        <v>30</v>
      </c>
      <c r="G9" s="8">
        <v>30</v>
      </c>
      <c r="H9" s="8">
        <v>30</v>
      </c>
      <c r="I9" s="8">
        <v>30</v>
      </c>
      <c r="J9" s="8">
        <v>30</v>
      </c>
      <c r="K9" s="8">
        <v>30</v>
      </c>
      <c r="L9" s="8">
        <v>30</v>
      </c>
      <c r="M9" s="8">
        <v>30</v>
      </c>
      <c r="N9" s="8">
        <v>30</v>
      </c>
      <c r="O9" s="8">
        <v>30</v>
      </c>
      <c r="P9" s="8">
        <v>30</v>
      </c>
      <c r="Q9" s="8">
        <v>30</v>
      </c>
      <c r="R9" s="8">
        <v>30</v>
      </c>
      <c r="S9" s="8">
        <v>30</v>
      </c>
      <c r="T9" s="8">
        <v>30</v>
      </c>
      <c r="U9" s="8">
        <v>30</v>
      </c>
      <c r="V9" s="8">
        <v>30</v>
      </c>
      <c r="W9" s="8">
        <v>30</v>
      </c>
      <c r="X9" s="9"/>
      <c r="Y9" s="9"/>
      <c r="Z9" s="9"/>
      <c r="AA9" s="9"/>
      <c r="AB9" s="9"/>
    </row>
    <row r="10" spans="1:28" x14ac:dyDescent="0.3">
      <c r="A10" s="7" t="s">
        <v>200</v>
      </c>
      <c r="B10" s="7" t="s">
        <v>197</v>
      </c>
      <c r="C10" s="12">
        <v>0</v>
      </c>
      <c r="D10" s="12">
        <v>5</v>
      </c>
      <c r="E10" s="12">
        <v>5</v>
      </c>
      <c r="F10" s="12">
        <v>5</v>
      </c>
      <c r="G10" s="12">
        <v>5</v>
      </c>
      <c r="H10" s="12">
        <v>5</v>
      </c>
      <c r="I10" s="12">
        <v>5</v>
      </c>
      <c r="J10" s="12">
        <v>5</v>
      </c>
      <c r="K10" s="12">
        <v>5</v>
      </c>
      <c r="L10" s="12">
        <v>5</v>
      </c>
      <c r="M10" s="12">
        <v>5</v>
      </c>
      <c r="N10" s="12">
        <v>5</v>
      </c>
      <c r="O10" s="12">
        <v>5</v>
      </c>
      <c r="P10" s="12">
        <v>5</v>
      </c>
      <c r="Q10" s="12">
        <v>5</v>
      </c>
      <c r="R10" s="12">
        <v>5</v>
      </c>
      <c r="S10" s="12">
        <v>5</v>
      </c>
      <c r="T10" s="12">
        <v>5</v>
      </c>
      <c r="U10" s="12">
        <v>5</v>
      </c>
      <c r="V10" s="12">
        <v>5</v>
      </c>
      <c r="W10" s="12">
        <v>5</v>
      </c>
      <c r="X10" s="13"/>
      <c r="Y10" s="13"/>
      <c r="Z10" s="13"/>
      <c r="AA10" s="13"/>
      <c r="AB10" s="13"/>
    </row>
    <row r="11" spans="1:28" x14ac:dyDescent="0.3">
      <c r="A11" s="7" t="s">
        <v>201</v>
      </c>
      <c r="B11" s="7" t="s">
        <v>197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3"/>
      <c r="Y11" s="13"/>
      <c r="Z11" s="13"/>
      <c r="AA11" s="13"/>
      <c r="AB11" s="13"/>
    </row>
    <row r="12" spans="1:28" x14ac:dyDescent="0.3">
      <c r="A12" s="7" t="s">
        <v>202</v>
      </c>
      <c r="B12" s="7" t="s">
        <v>197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/>
      <c r="Y12" s="13"/>
      <c r="Z12" s="13"/>
      <c r="AA12" s="13"/>
      <c r="AB12" s="13"/>
    </row>
    <row r="14" spans="1:28" x14ac:dyDescent="0.3">
      <c r="A14" s="53" t="s">
        <v>203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</row>
    <row r="15" spans="1:28" x14ac:dyDescent="0.3">
      <c r="A15" s="20" t="s">
        <v>204</v>
      </c>
      <c r="B15" s="20" t="s">
        <v>205</v>
      </c>
      <c r="C15" s="25">
        <v>12000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</row>
    <row r="16" spans="1:28" x14ac:dyDescent="0.3">
      <c r="A16" s="20" t="s">
        <v>206</v>
      </c>
      <c r="B16" s="20" t="s">
        <v>205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/>
      <c r="Y16" s="25"/>
      <c r="Z16" s="25"/>
      <c r="AA16" s="25"/>
      <c r="AB16" s="25"/>
    </row>
    <row r="17" spans="1:28" x14ac:dyDescent="0.3">
      <c r="A17" s="20" t="s">
        <v>207</v>
      </c>
      <c r="B17" s="20" t="s">
        <v>205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/>
      <c r="Y17" s="25"/>
      <c r="Z17" s="25"/>
      <c r="AA17" s="25"/>
      <c r="AB17" s="25"/>
    </row>
    <row r="18" spans="1:28" x14ac:dyDescent="0.3">
      <c r="A18" s="20" t="s">
        <v>208</v>
      </c>
      <c r="B18" s="20" t="s">
        <v>205</v>
      </c>
      <c r="C18" s="25">
        <v>4000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/>
      <c r="Y18" s="25"/>
      <c r="Z18" s="25"/>
      <c r="AA18" s="25"/>
      <c r="AB18" s="25"/>
    </row>
    <row r="19" spans="1:28" x14ac:dyDescent="0.3">
      <c r="A19" s="20" t="s">
        <v>209</v>
      </c>
      <c r="B19" s="20" t="s">
        <v>205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/>
      <c r="Y19" s="25"/>
      <c r="Z19" s="25"/>
      <c r="AA19" s="25"/>
      <c r="AB19" s="25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210</v>
      </c>
    </row>
    <row r="2" spans="1:28" x14ac:dyDescent="0.3">
      <c r="A2" s="2" t="s">
        <v>211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212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s="7" t="s">
        <v>62</v>
      </c>
      <c r="B7" s="7" t="s">
        <v>213</v>
      </c>
      <c r="C7" s="10">
        <v>45000</v>
      </c>
      <c r="D7" s="10">
        <v>46229083</v>
      </c>
      <c r="E7" s="10">
        <v>78731191</v>
      </c>
      <c r="F7" s="10">
        <v>110631979</v>
      </c>
      <c r="G7" s="10">
        <v>141884050</v>
      </c>
      <c r="H7" s="10">
        <v>172083847</v>
      </c>
      <c r="I7" s="10">
        <v>200913067</v>
      </c>
      <c r="J7" s="10">
        <v>228094164</v>
      </c>
      <c r="K7" s="10">
        <v>253394736</v>
      </c>
      <c r="L7" s="10">
        <v>276500513</v>
      </c>
      <c r="M7" s="10">
        <v>297047509</v>
      </c>
      <c r="N7" s="10">
        <v>314722680</v>
      </c>
      <c r="O7" s="10">
        <v>332761977</v>
      </c>
      <c r="P7" s="10">
        <v>350530836</v>
      </c>
      <c r="Q7" s="10">
        <v>368013828</v>
      </c>
      <c r="R7" s="10">
        <v>385201629</v>
      </c>
      <c r="S7" s="10">
        <v>402128145</v>
      </c>
      <c r="T7" s="10">
        <v>418770617</v>
      </c>
      <c r="U7" s="10">
        <v>435114802</v>
      </c>
      <c r="V7" s="10">
        <v>451152836</v>
      </c>
      <c r="W7" s="10">
        <v>466911700</v>
      </c>
      <c r="X7" s="11"/>
      <c r="Y7" s="11"/>
      <c r="Z7" s="11"/>
      <c r="AA7" s="11"/>
      <c r="AB7" s="11"/>
    </row>
    <row r="8" spans="1:28" x14ac:dyDescent="0.3">
      <c r="A8" s="7" t="s">
        <v>64</v>
      </c>
      <c r="B8" s="7" t="s">
        <v>213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/>
      <c r="Y8" s="11"/>
      <c r="Z8" s="11"/>
      <c r="AA8" s="11"/>
      <c r="AB8" s="11"/>
    </row>
    <row r="9" spans="1:28" x14ac:dyDescent="0.3">
      <c r="A9" s="7" t="s">
        <v>77</v>
      </c>
      <c r="B9" s="7" t="s">
        <v>213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1"/>
      <c r="Y9" s="11"/>
      <c r="Z9" s="11"/>
      <c r="AA9" s="11"/>
      <c r="AB9" s="11"/>
    </row>
    <row r="11" spans="1:28" x14ac:dyDescent="0.3">
      <c r="A11" s="53" t="s">
        <v>214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</row>
    <row r="12" spans="1:28" x14ac:dyDescent="0.3">
      <c r="A12" s="7" t="s">
        <v>215</v>
      </c>
      <c r="B12" s="7" t="s">
        <v>216</v>
      </c>
      <c r="C12" s="10">
        <v>7500</v>
      </c>
      <c r="D12" s="10">
        <v>7500</v>
      </c>
      <c r="E12" s="10">
        <v>7500</v>
      </c>
      <c r="F12" s="10">
        <v>7500</v>
      </c>
      <c r="G12" s="10">
        <v>7500</v>
      </c>
      <c r="H12" s="10">
        <v>7500</v>
      </c>
      <c r="I12" s="10">
        <v>7500</v>
      </c>
      <c r="J12" s="10">
        <v>7500</v>
      </c>
      <c r="K12" s="10">
        <v>7500</v>
      </c>
      <c r="L12" s="10">
        <v>7500</v>
      </c>
      <c r="M12" s="10">
        <v>7500</v>
      </c>
      <c r="N12" s="10">
        <v>7500</v>
      </c>
      <c r="O12" s="10">
        <v>7500</v>
      </c>
      <c r="P12" s="10">
        <v>7500</v>
      </c>
      <c r="Q12" s="10">
        <v>7500</v>
      </c>
      <c r="R12" s="10">
        <v>7500</v>
      </c>
      <c r="S12" s="10">
        <v>7500</v>
      </c>
      <c r="T12" s="10">
        <v>7500</v>
      </c>
      <c r="U12" s="10">
        <v>7500</v>
      </c>
      <c r="V12" s="10">
        <v>7500</v>
      </c>
      <c r="W12" s="10">
        <v>7500</v>
      </c>
      <c r="X12" s="11"/>
      <c r="Y12" s="11"/>
      <c r="Z12" s="11"/>
      <c r="AA12" s="11"/>
      <c r="AB12" s="11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217</v>
      </c>
    </row>
    <row r="2" spans="1:28" x14ac:dyDescent="0.3">
      <c r="A2" s="2" t="s">
        <v>218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219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s="7" t="s">
        <v>86</v>
      </c>
      <c r="B7" s="7" t="s">
        <v>220</v>
      </c>
      <c r="C7" s="9">
        <f>'Revenue Drivers'!C8</f>
        <v>1040</v>
      </c>
      <c r="D7" s="9">
        <f>'Revenue Drivers'!D8</f>
        <v>2364.0300000000002</v>
      </c>
      <c r="E7" s="9">
        <f>'Revenue Drivers'!E8</f>
        <v>2364.0300000000002</v>
      </c>
      <c r="F7" s="9">
        <f>'Revenue Drivers'!F8</f>
        <v>2364.0300000000002</v>
      </c>
      <c r="G7" s="9">
        <f>'Revenue Drivers'!G8</f>
        <v>2364.0300000000002</v>
      </c>
      <c r="H7" s="9">
        <f>'Revenue Drivers'!H8</f>
        <v>2364.0300000000002</v>
      </c>
      <c r="I7" s="9">
        <f>'Revenue Drivers'!I8</f>
        <v>2364.0300000000002</v>
      </c>
      <c r="J7" s="9">
        <f>'Revenue Drivers'!J8</f>
        <v>2364.0300000000002</v>
      </c>
      <c r="K7" s="9">
        <f>'Revenue Drivers'!K8</f>
        <v>2364.0300000000002</v>
      </c>
      <c r="L7" s="9">
        <f>'Revenue Drivers'!L8</f>
        <v>2364.0300000000002</v>
      </c>
      <c r="M7" s="9">
        <f>'Revenue Drivers'!M8</f>
        <v>2364.0300000000002</v>
      </c>
      <c r="N7" s="9">
        <f>'Revenue Drivers'!N8</f>
        <v>2364.0300000000002</v>
      </c>
      <c r="O7" s="9">
        <f>'Revenue Drivers'!O8</f>
        <v>2364.0300000000002</v>
      </c>
      <c r="P7" s="9">
        <f>'Revenue Drivers'!P8</f>
        <v>2364.0300000000002</v>
      </c>
      <c r="Q7" s="9">
        <f>'Revenue Drivers'!Q8</f>
        <v>2364.0300000000002</v>
      </c>
      <c r="R7" s="9">
        <f>'Revenue Drivers'!R8</f>
        <v>2364.0300000000002</v>
      </c>
      <c r="S7" s="9">
        <f>'Revenue Drivers'!S8</f>
        <v>2364.0300000000002</v>
      </c>
      <c r="T7" s="9">
        <f>'Revenue Drivers'!T8</f>
        <v>2364.0300000000002</v>
      </c>
      <c r="U7" s="9">
        <f>'Revenue Drivers'!U8</f>
        <v>2364.0300000000002</v>
      </c>
      <c r="V7" s="9">
        <f>'Revenue Drivers'!V8</f>
        <v>2364.0300000000002</v>
      </c>
      <c r="W7" s="9">
        <f>'Revenue Drivers'!W8</f>
        <v>2364.0300000000002</v>
      </c>
      <c r="X7" s="9">
        <f t="shared" ref="X7:X22" si="0">SUM(D7:G7)</f>
        <v>9456.1200000000008</v>
      </c>
      <c r="Y7" s="9">
        <f t="shared" ref="Y7:Y22" si="1">SUM(H7:K7)</f>
        <v>9456.1200000000008</v>
      </c>
      <c r="Z7" s="9">
        <f t="shared" ref="Z7:Z22" si="2">SUM(L7:O7)</f>
        <v>9456.1200000000008</v>
      </c>
      <c r="AA7" s="9">
        <f t="shared" ref="AA7:AA22" si="3">SUM(P7:S7)</f>
        <v>9456.1200000000008</v>
      </c>
      <c r="AB7" s="9">
        <f t="shared" ref="AB7:AB22" si="4">SUM(T7:W7)</f>
        <v>9456.1200000000008</v>
      </c>
    </row>
    <row r="8" spans="1:28" x14ac:dyDescent="0.3">
      <c r="A8" s="7" t="s">
        <v>88</v>
      </c>
      <c r="B8" s="7" t="s">
        <v>220</v>
      </c>
      <c r="C8" s="11">
        <f>'Revenue Drivers'!C9</f>
        <v>150</v>
      </c>
      <c r="D8" s="11">
        <f>'Revenue Drivers'!D9</f>
        <v>150</v>
      </c>
      <c r="E8" s="11">
        <f>'Revenue Drivers'!E9</f>
        <v>158</v>
      </c>
      <c r="F8" s="11">
        <f>'Revenue Drivers'!F9</f>
        <v>166</v>
      </c>
      <c r="G8" s="11">
        <f>'Revenue Drivers'!G9</f>
        <v>174</v>
      </c>
      <c r="H8" s="11">
        <f>'Revenue Drivers'!H9</f>
        <v>182</v>
      </c>
      <c r="I8" s="11">
        <f>'Revenue Drivers'!I9</f>
        <v>190</v>
      </c>
      <c r="J8" s="11">
        <f>'Revenue Drivers'!J9</f>
        <v>198</v>
      </c>
      <c r="K8" s="11">
        <f>'Revenue Drivers'!K9</f>
        <v>206</v>
      </c>
      <c r="L8" s="11">
        <f>'Revenue Drivers'!L9</f>
        <v>214</v>
      </c>
      <c r="M8" s="11">
        <f>'Revenue Drivers'!M9</f>
        <v>222</v>
      </c>
      <c r="N8" s="11">
        <f>'Revenue Drivers'!N9</f>
        <v>230</v>
      </c>
      <c r="O8" s="11">
        <f>'Revenue Drivers'!O9</f>
        <v>231.11111099999999</v>
      </c>
      <c r="P8" s="11">
        <f>'Revenue Drivers'!P9</f>
        <v>232.22222199999999</v>
      </c>
      <c r="Q8" s="11">
        <f>'Revenue Drivers'!Q9</f>
        <v>233.33333300000001</v>
      </c>
      <c r="R8" s="11">
        <f>'Revenue Drivers'!R9</f>
        <v>234.444444</v>
      </c>
      <c r="S8" s="11">
        <f>'Revenue Drivers'!S9</f>
        <v>235.555556</v>
      </c>
      <c r="T8" s="11">
        <f>'Revenue Drivers'!T9</f>
        <v>236.66666699999999</v>
      </c>
      <c r="U8" s="11">
        <f>'Revenue Drivers'!U9</f>
        <v>237.77777800000001</v>
      </c>
      <c r="V8" s="11">
        <f>'Revenue Drivers'!V9</f>
        <v>238.88888900000001</v>
      </c>
      <c r="W8" s="11">
        <f>'Revenue Drivers'!W9</f>
        <v>240</v>
      </c>
      <c r="X8" s="11">
        <f t="shared" si="0"/>
        <v>648</v>
      </c>
      <c r="Y8" s="11">
        <f t="shared" si="1"/>
        <v>776</v>
      </c>
      <c r="Z8" s="11">
        <f t="shared" si="2"/>
        <v>897.11111099999994</v>
      </c>
      <c r="AA8" s="11">
        <f t="shared" si="3"/>
        <v>935.55555500000003</v>
      </c>
      <c r="AB8" s="11">
        <f t="shared" si="4"/>
        <v>953.33333399999992</v>
      </c>
    </row>
    <row r="9" spans="1:28" x14ac:dyDescent="0.3">
      <c r="A9" s="7" t="s">
        <v>89</v>
      </c>
      <c r="B9" s="7" t="s">
        <v>220</v>
      </c>
      <c r="C9" s="13">
        <f>'Revenue Drivers'!C10</f>
        <v>0.75</v>
      </c>
      <c r="D9" s="13">
        <f>'Revenue Drivers'!D10</f>
        <v>0.75</v>
      </c>
      <c r="E9" s="13">
        <f>'Revenue Drivers'!E10</f>
        <v>0.75900000000000001</v>
      </c>
      <c r="F9" s="13">
        <f>'Revenue Drivers'!F10</f>
        <v>0.76800000000000002</v>
      </c>
      <c r="G9" s="13">
        <f>'Revenue Drivers'!G10</f>
        <v>0.77700000000000002</v>
      </c>
      <c r="H9" s="13">
        <f>'Revenue Drivers'!H10</f>
        <v>0.78600000000000003</v>
      </c>
      <c r="I9" s="13">
        <f>'Revenue Drivers'!I10</f>
        <v>0.79500000000000004</v>
      </c>
      <c r="J9" s="13">
        <f>'Revenue Drivers'!J10</f>
        <v>0.80400000000000005</v>
      </c>
      <c r="K9" s="13">
        <f>'Revenue Drivers'!K10</f>
        <v>0.81299999999999994</v>
      </c>
      <c r="L9" s="13">
        <f>'Revenue Drivers'!L10</f>
        <v>0.82199999999999995</v>
      </c>
      <c r="M9" s="13">
        <f>'Revenue Drivers'!M10</f>
        <v>0.83099999999999996</v>
      </c>
      <c r="N9" s="13">
        <f>'Revenue Drivers'!N10</f>
        <v>0.84</v>
      </c>
      <c r="O9" s="13">
        <f>'Revenue Drivers'!O10</f>
        <v>0.84</v>
      </c>
      <c r="P9" s="13">
        <f>'Revenue Drivers'!P10</f>
        <v>0.84</v>
      </c>
      <c r="Q9" s="13">
        <f>'Revenue Drivers'!Q10</f>
        <v>0.84</v>
      </c>
      <c r="R9" s="13">
        <f>'Revenue Drivers'!R10</f>
        <v>0.84</v>
      </c>
      <c r="S9" s="13">
        <f>'Revenue Drivers'!S10</f>
        <v>0.84</v>
      </c>
      <c r="T9" s="13">
        <f>'Revenue Drivers'!T10</f>
        <v>0.84</v>
      </c>
      <c r="U9" s="13">
        <f>'Revenue Drivers'!U10</f>
        <v>0.84</v>
      </c>
      <c r="V9" s="13">
        <f>'Revenue Drivers'!V10</f>
        <v>0.84</v>
      </c>
      <c r="W9" s="13">
        <f>'Revenue Drivers'!W10</f>
        <v>0.84</v>
      </c>
      <c r="X9" s="13">
        <f t="shared" si="0"/>
        <v>3.0540000000000003</v>
      </c>
      <c r="Y9" s="13">
        <f t="shared" si="1"/>
        <v>3.1979999999999995</v>
      </c>
      <c r="Z9" s="13">
        <f t="shared" si="2"/>
        <v>3.3329999999999997</v>
      </c>
      <c r="AA9" s="13">
        <f t="shared" si="3"/>
        <v>3.36</v>
      </c>
      <c r="AB9" s="13">
        <f t="shared" si="4"/>
        <v>3.36</v>
      </c>
    </row>
    <row r="10" spans="1:28" x14ac:dyDescent="0.3">
      <c r="A10" s="7" t="s">
        <v>90</v>
      </c>
      <c r="B10" s="7" t="s">
        <v>220</v>
      </c>
      <c r="C10" s="11">
        <f>'Revenue Drivers'!C11</f>
        <v>117000</v>
      </c>
      <c r="D10" s="11">
        <f>'Revenue Drivers'!D11</f>
        <v>265953.37500000006</v>
      </c>
      <c r="E10" s="11">
        <f>'Revenue Drivers'!E11</f>
        <v>283499.20566000004</v>
      </c>
      <c r="F10" s="11">
        <f>'Revenue Drivers'!F11</f>
        <v>301385.45664000005</v>
      </c>
      <c r="G10" s="11">
        <f>'Revenue Drivers'!G11</f>
        <v>319612.12794000003</v>
      </c>
      <c r="H10" s="11">
        <f>'Revenue Drivers'!H11</f>
        <v>338179.21956000006</v>
      </c>
      <c r="I10" s="11">
        <f>'Revenue Drivers'!I11</f>
        <v>357086.73150000005</v>
      </c>
      <c r="J10" s="11">
        <f>'Revenue Drivers'!J11</f>
        <v>376334.66376000008</v>
      </c>
      <c r="K10" s="11">
        <f>'Revenue Drivers'!K11</f>
        <v>395923.01634000003</v>
      </c>
      <c r="L10" s="11">
        <f>'Revenue Drivers'!L11</f>
        <v>415851.78924000001</v>
      </c>
      <c r="M10" s="11">
        <f>'Revenue Drivers'!M11</f>
        <v>436120.98246000003</v>
      </c>
      <c r="N10" s="11">
        <f>'Revenue Drivers'!N11</f>
        <v>456730.59600000002</v>
      </c>
      <c r="O10" s="11">
        <f>'Revenue Drivers'!O11</f>
        <v>458937.0237793572</v>
      </c>
      <c r="P10" s="11">
        <f>'Revenue Drivers'!P11</f>
        <v>461143.45155871444</v>
      </c>
      <c r="Q10" s="11">
        <f>'Revenue Drivers'!Q11</f>
        <v>463349.87933807162</v>
      </c>
      <c r="R10" s="11">
        <f>'Revenue Drivers'!R11</f>
        <v>465556.30711742881</v>
      </c>
      <c r="S10" s="11">
        <f>'Revenue Drivers'!S11</f>
        <v>467762.73688257125</v>
      </c>
      <c r="T10" s="11">
        <f>'Revenue Drivers'!T11</f>
        <v>469969.16466192843</v>
      </c>
      <c r="U10" s="11">
        <f>'Revenue Drivers'!U11</f>
        <v>472175.59244128561</v>
      </c>
      <c r="V10" s="11">
        <f>'Revenue Drivers'!V11</f>
        <v>474382.02022064285</v>
      </c>
      <c r="W10" s="11">
        <f>'Revenue Drivers'!W11</f>
        <v>476588.44800000003</v>
      </c>
      <c r="X10" s="11">
        <f t="shared" si="0"/>
        <v>1170450.1652400002</v>
      </c>
      <c r="Y10" s="11">
        <f t="shared" si="1"/>
        <v>1467523.6311600003</v>
      </c>
      <c r="Z10" s="11">
        <f t="shared" si="2"/>
        <v>1767640.3914793571</v>
      </c>
      <c r="AA10" s="11">
        <f t="shared" si="3"/>
        <v>1857812.3748967862</v>
      </c>
      <c r="AB10" s="11">
        <f t="shared" si="4"/>
        <v>1893115.225323857</v>
      </c>
    </row>
    <row r="11" spans="1:28" x14ac:dyDescent="0.3">
      <c r="A11" s="18" t="s">
        <v>31</v>
      </c>
      <c r="B11" s="18" t="s">
        <v>220</v>
      </c>
      <c r="C11" s="19">
        <f>'Revenue Drivers'!C14</f>
        <v>117000</v>
      </c>
      <c r="D11" s="19">
        <f>'Revenue Drivers'!D14</f>
        <v>265953.37500000006</v>
      </c>
      <c r="E11" s="19">
        <f>'Revenue Drivers'!E14</f>
        <v>283499.20566000004</v>
      </c>
      <c r="F11" s="19">
        <f>'Revenue Drivers'!F14</f>
        <v>301385.45664000005</v>
      </c>
      <c r="G11" s="19">
        <f>'Revenue Drivers'!G14</f>
        <v>319612.12794000003</v>
      </c>
      <c r="H11" s="19">
        <f>'Revenue Drivers'!H14</f>
        <v>338179.21956000006</v>
      </c>
      <c r="I11" s="19">
        <f>'Revenue Drivers'!I14</f>
        <v>357086.73150000005</v>
      </c>
      <c r="J11" s="19">
        <f>'Revenue Drivers'!J14</f>
        <v>376334.66376000008</v>
      </c>
      <c r="K11" s="19">
        <f>'Revenue Drivers'!K14</f>
        <v>395923.01634000003</v>
      </c>
      <c r="L11" s="19">
        <f>'Revenue Drivers'!L14</f>
        <v>415851.78924000001</v>
      </c>
      <c r="M11" s="19">
        <f>'Revenue Drivers'!M14</f>
        <v>436120.98246000003</v>
      </c>
      <c r="N11" s="19">
        <f>'Revenue Drivers'!N14</f>
        <v>456730.59600000002</v>
      </c>
      <c r="O11" s="19">
        <f>'Revenue Drivers'!O14</f>
        <v>458937.0237793572</v>
      </c>
      <c r="P11" s="19">
        <f>'Revenue Drivers'!P14</f>
        <v>461143.45155871444</v>
      </c>
      <c r="Q11" s="19">
        <f>'Revenue Drivers'!Q14</f>
        <v>463349.87933807162</v>
      </c>
      <c r="R11" s="19">
        <f>'Revenue Drivers'!R14</f>
        <v>465556.30711742881</v>
      </c>
      <c r="S11" s="19">
        <f>'Revenue Drivers'!S14</f>
        <v>467762.73688257125</v>
      </c>
      <c r="T11" s="19">
        <f>'Revenue Drivers'!T14</f>
        <v>469969.16466192843</v>
      </c>
      <c r="U11" s="19">
        <f>'Revenue Drivers'!U14</f>
        <v>472175.59244128561</v>
      </c>
      <c r="V11" s="19">
        <f>'Revenue Drivers'!V14</f>
        <v>474382.02022064285</v>
      </c>
      <c r="W11" s="19">
        <f>'Revenue Drivers'!W14</f>
        <v>476588.44800000003</v>
      </c>
      <c r="X11" s="19">
        <f t="shared" si="0"/>
        <v>1170450.1652400002</v>
      </c>
      <c r="Y11" s="19">
        <f t="shared" si="1"/>
        <v>1467523.6311600003</v>
      </c>
      <c r="Z11" s="19">
        <f t="shared" si="2"/>
        <v>1767640.3914793571</v>
      </c>
      <c r="AA11" s="19">
        <f t="shared" si="3"/>
        <v>1857812.3748967862</v>
      </c>
      <c r="AB11" s="19">
        <f t="shared" si="4"/>
        <v>1893115.225323857</v>
      </c>
    </row>
    <row r="12" spans="1:28" x14ac:dyDescent="0.3">
      <c r="A12" s="7" t="s">
        <v>33</v>
      </c>
      <c r="B12" s="7" t="s">
        <v>221</v>
      </c>
      <c r="C12" s="13">
        <v>0.67551799999999995</v>
      </c>
      <c r="D12" s="13">
        <v>75</v>
      </c>
      <c r="E12" s="13">
        <v>71</v>
      </c>
      <c r="F12" s="13">
        <v>67</v>
      </c>
      <c r="G12" s="13">
        <v>63</v>
      </c>
      <c r="H12" s="13">
        <v>59</v>
      </c>
      <c r="I12" s="13">
        <v>55</v>
      </c>
      <c r="J12" s="13">
        <v>51</v>
      </c>
      <c r="K12" s="13">
        <v>47</v>
      </c>
      <c r="L12" s="13">
        <v>43</v>
      </c>
      <c r="M12" s="13">
        <v>39</v>
      </c>
      <c r="N12" s="13">
        <v>35</v>
      </c>
      <c r="O12" s="13">
        <v>34.444444444444443</v>
      </c>
      <c r="P12" s="13">
        <v>33.888888888888893</v>
      </c>
      <c r="Q12" s="13">
        <v>33.333333333333343</v>
      </c>
      <c r="R12" s="13">
        <v>32.777777777777779</v>
      </c>
      <c r="S12" s="13">
        <v>32.222222222222221</v>
      </c>
      <c r="T12" s="13">
        <v>31.666666666666671</v>
      </c>
      <c r="U12" s="13">
        <v>31.111111111111111</v>
      </c>
      <c r="V12" s="13">
        <v>30.55555555555555</v>
      </c>
      <c r="W12" s="13">
        <v>30</v>
      </c>
      <c r="X12" s="13">
        <f t="shared" si="0"/>
        <v>276</v>
      </c>
      <c r="Y12" s="13">
        <f t="shared" si="1"/>
        <v>212</v>
      </c>
      <c r="Z12" s="13">
        <f t="shared" si="2"/>
        <v>151.44444444444446</v>
      </c>
      <c r="AA12" s="13">
        <f t="shared" si="3"/>
        <v>132.22222222222223</v>
      </c>
      <c r="AB12" s="13">
        <f t="shared" si="4"/>
        <v>123.33333333333334</v>
      </c>
    </row>
    <row r="13" spans="1:28" x14ac:dyDescent="0.3">
      <c r="A13" s="7" t="s">
        <v>35</v>
      </c>
      <c r="B13" s="7" t="s">
        <v>221</v>
      </c>
      <c r="C13" s="13">
        <v>7.9411999999999996E-2</v>
      </c>
      <c r="D13" s="13">
        <v>24</v>
      </c>
      <c r="E13" s="13">
        <v>21.9</v>
      </c>
      <c r="F13" s="13">
        <v>19.8</v>
      </c>
      <c r="G13" s="13">
        <v>17.7</v>
      </c>
      <c r="H13" s="13">
        <v>15.6</v>
      </c>
      <c r="I13" s="13">
        <v>13.5</v>
      </c>
      <c r="J13" s="13">
        <v>11.4</v>
      </c>
      <c r="K13" s="13">
        <v>9.3000000000000007</v>
      </c>
      <c r="L13" s="13">
        <v>7.1999999999999993</v>
      </c>
      <c r="M13" s="13">
        <v>5.0999999999999996</v>
      </c>
      <c r="N13" s="13">
        <v>3</v>
      </c>
      <c r="O13" s="13">
        <v>2.8888888888888888</v>
      </c>
      <c r="P13" s="13">
        <v>2.7777777777777781</v>
      </c>
      <c r="Q13" s="13">
        <v>2.666666666666667</v>
      </c>
      <c r="R13" s="13">
        <v>2.5555555555555549</v>
      </c>
      <c r="S13" s="13">
        <v>2.4444444444444451</v>
      </c>
      <c r="T13" s="13">
        <v>2.333333333333333</v>
      </c>
      <c r="U13" s="13">
        <v>2.2222222222222219</v>
      </c>
      <c r="V13" s="13">
        <v>2.1111111111111112</v>
      </c>
      <c r="W13" s="13">
        <v>2</v>
      </c>
      <c r="X13" s="13">
        <f t="shared" si="0"/>
        <v>83.4</v>
      </c>
      <c r="Y13" s="13">
        <f t="shared" si="1"/>
        <v>49.8</v>
      </c>
      <c r="Z13" s="13">
        <f t="shared" si="2"/>
        <v>18.188888888888886</v>
      </c>
      <c r="AA13" s="13">
        <f t="shared" si="3"/>
        <v>10.444444444444445</v>
      </c>
      <c r="AB13" s="13">
        <f t="shared" si="4"/>
        <v>8.6666666666666661</v>
      </c>
    </row>
    <row r="14" spans="1:28" x14ac:dyDescent="0.3">
      <c r="A14" s="7" t="s">
        <v>36</v>
      </c>
      <c r="B14" s="7" t="s">
        <v>221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f t="shared" si="0"/>
        <v>0</v>
      </c>
      <c r="Y14" s="13">
        <f t="shared" si="1"/>
        <v>0</v>
      </c>
      <c r="Z14" s="13">
        <f t="shared" si="2"/>
        <v>0</v>
      </c>
      <c r="AA14" s="13">
        <f t="shared" si="3"/>
        <v>0</v>
      </c>
      <c r="AB14" s="13">
        <f t="shared" si="4"/>
        <v>0</v>
      </c>
    </row>
    <row r="15" spans="1:28" x14ac:dyDescent="0.3">
      <c r="A15" s="33" t="s">
        <v>215</v>
      </c>
      <c r="B15" s="33" t="s">
        <v>222</v>
      </c>
      <c r="C15" s="34">
        <f>'Cash Equity Schedule'!C12</f>
        <v>7500</v>
      </c>
      <c r="D15" s="34">
        <f>'Cash Equity Schedule'!D12</f>
        <v>7500</v>
      </c>
      <c r="E15" s="34">
        <f>'Cash Equity Schedule'!E12</f>
        <v>7500</v>
      </c>
      <c r="F15" s="34">
        <f>'Cash Equity Schedule'!F12</f>
        <v>7500</v>
      </c>
      <c r="G15" s="34">
        <f>'Cash Equity Schedule'!G12</f>
        <v>7500</v>
      </c>
      <c r="H15" s="34">
        <f>'Cash Equity Schedule'!H12</f>
        <v>7500</v>
      </c>
      <c r="I15" s="34">
        <f>'Cash Equity Schedule'!I12</f>
        <v>7500</v>
      </c>
      <c r="J15" s="34">
        <f>'Cash Equity Schedule'!J12</f>
        <v>7500</v>
      </c>
      <c r="K15" s="34">
        <f>'Cash Equity Schedule'!K12</f>
        <v>7500</v>
      </c>
      <c r="L15" s="34">
        <f>'Cash Equity Schedule'!L12</f>
        <v>7500</v>
      </c>
      <c r="M15" s="34">
        <f>'Cash Equity Schedule'!M12</f>
        <v>7500</v>
      </c>
      <c r="N15" s="34">
        <f>'Cash Equity Schedule'!N12</f>
        <v>7500</v>
      </c>
      <c r="O15" s="34">
        <f>'Cash Equity Schedule'!O12</f>
        <v>7500</v>
      </c>
      <c r="P15" s="34">
        <f>'Cash Equity Schedule'!P12</f>
        <v>7500</v>
      </c>
      <c r="Q15" s="34">
        <f>'Cash Equity Schedule'!Q12</f>
        <v>7500</v>
      </c>
      <c r="R15" s="34">
        <f>'Cash Equity Schedule'!R12</f>
        <v>7500</v>
      </c>
      <c r="S15" s="34">
        <f>'Cash Equity Schedule'!S12</f>
        <v>7500</v>
      </c>
      <c r="T15" s="34">
        <f>'Cash Equity Schedule'!T12</f>
        <v>7500</v>
      </c>
      <c r="U15" s="34">
        <f>'Cash Equity Schedule'!U12</f>
        <v>7500</v>
      </c>
      <c r="V15" s="34">
        <f>'Cash Equity Schedule'!V12</f>
        <v>7500</v>
      </c>
      <c r="W15" s="34">
        <f>'Cash Equity Schedule'!W12</f>
        <v>7500</v>
      </c>
      <c r="X15" s="34">
        <f t="shared" si="0"/>
        <v>30000</v>
      </c>
      <c r="Y15" s="34">
        <f t="shared" si="1"/>
        <v>30000</v>
      </c>
      <c r="Z15" s="34">
        <f t="shared" si="2"/>
        <v>30000</v>
      </c>
      <c r="AA15" s="34">
        <f t="shared" si="3"/>
        <v>30000</v>
      </c>
      <c r="AB15" s="34">
        <f t="shared" si="4"/>
        <v>30000</v>
      </c>
    </row>
    <row r="16" spans="1:28" x14ac:dyDescent="0.3">
      <c r="A16" s="33" t="s">
        <v>38</v>
      </c>
      <c r="B16" s="33" t="s">
        <v>223</v>
      </c>
      <c r="C16" s="34">
        <v>102356.25</v>
      </c>
      <c r="D16" s="34">
        <f>'Payroll Schedule'!D17</f>
        <v>106929.45</v>
      </c>
      <c r="E16" s="34">
        <f>'Payroll Schedule'!E17</f>
        <v>106929.45</v>
      </c>
      <c r="F16" s="34">
        <f>'Payroll Schedule'!F17</f>
        <v>106929.45</v>
      </c>
      <c r="G16" s="34">
        <f>'Payroll Schedule'!G17</f>
        <v>106929.45</v>
      </c>
      <c r="H16" s="34">
        <f>'Payroll Schedule'!H17</f>
        <v>110137.575</v>
      </c>
      <c r="I16" s="34">
        <f>'Payroll Schedule'!I17</f>
        <v>110137.575</v>
      </c>
      <c r="J16" s="34">
        <f>'Payroll Schedule'!J17</f>
        <v>110137.575</v>
      </c>
      <c r="K16" s="34">
        <f>'Payroll Schedule'!K17</f>
        <v>110137.575</v>
      </c>
      <c r="L16" s="34">
        <f>'Payroll Schedule'!L17</f>
        <v>113441.20749999999</v>
      </c>
      <c r="M16" s="34">
        <f>'Payroll Schedule'!M17</f>
        <v>113441.20749999999</v>
      </c>
      <c r="N16" s="34">
        <f>'Payroll Schedule'!N17</f>
        <v>113441.20749999999</v>
      </c>
      <c r="O16" s="34">
        <f>'Payroll Schedule'!O17</f>
        <v>113441.20749999999</v>
      </c>
      <c r="P16" s="34">
        <f>'Payroll Schedule'!P17</f>
        <v>116844.655</v>
      </c>
      <c r="Q16" s="34">
        <f>'Payroll Schedule'!Q17</f>
        <v>116844.655</v>
      </c>
      <c r="R16" s="34">
        <f>'Payroll Schedule'!R17</f>
        <v>116844.655</v>
      </c>
      <c r="S16" s="34">
        <f>'Payroll Schedule'!S17</f>
        <v>116844.655</v>
      </c>
      <c r="T16" s="34">
        <f>'Payroll Schedule'!T17</f>
        <v>120350.0675</v>
      </c>
      <c r="U16" s="34">
        <f>'Payroll Schedule'!U17</f>
        <v>120350.0675</v>
      </c>
      <c r="V16" s="34">
        <f>'Payroll Schedule'!V17</f>
        <v>120350.0675</v>
      </c>
      <c r="W16" s="34">
        <f>'Payroll Schedule'!W17</f>
        <v>120350.0675</v>
      </c>
      <c r="X16" s="34">
        <f t="shared" si="0"/>
        <v>427717.8</v>
      </c>
      <c r="Y16" s="34">
        <f t="shared" si="1"/>
        <v>440550.3</v>
      </c>
      <c r="Z16" s="34">
        <f t="shared" si="2"/>
        <v>453764.82999999996</v>
      </c>
      <c r="AA16" s="34">
        <f t="shared" si="3"/>
        <v>467378.62</v>
      </c>
      <c r="AB16" s="34">
        <f t="shared" si="4"/>
        <v>481400.27</v>
      </c>
    </row>
    <row r="17" spans="1:28" x14ac:dyDescent="0.3">
      <c r="A17" s="7" t="s">
        <v>39</v>
      </c>
      <c r="B17" s="7" t="s">
        <v>221</v>
      </c>
      <c r="C17" s="13">
        <v>2.0240000000000002E-3</v>
      </c>
      <c r="D17" s="13">
        <v>24</v>
      </c>
      <c r="E17" s="13">
        <v>21.9</v>
      </c>
      <c r="F17" s="13">
        <v>19.8</v>
      </c>
      <c r="G17" s="13">
        <v>17.7</v>
      </c>
      <c r="H17" s="13">
        <v>15.6</v>
      </c>
      <c r="I17" s="13">
        <v>13.5</v>
      </c>
      <c r="J17" s="13">
        <v>11.4</v>
      </c>
      <c r="K17" s="13">
        <v>9.3000000000000007</v>
      </c>
      <c r="L17" s="13">
        <v>7.1999999999999993</v>
      </c>
      <c r="M17" s="13">
        <v>5.0999999999999996</v>
      </c>
      <c r="N17" s="13">
        <v>3</v>
      </c>
      <c r="O17" s="13">
        <v>2.8888888888888888</v>
      </c>
      <c r="P17" s="13">
        <v>2.7777777777777781</v>
      </c>
      <c r="Q17" s="13">
        <v>2.666666666666667</v>
      </c>
      <c r="R17" s="13">
        <v>2.5555555555555549</v>
      </c>
      <c r="S17" s="13">
        <v>2.4444444444444451</v>
      </c>
      <c r="T17" s="13">
        <v>2.333333333333333</v>
      </c>
      <c r="U17" s="13">
        <v>2.2222222222222219</v>
      </c>
      <c r="V17" s="13">
        <v>2.1111111111111112</v>
      </c>
      <c r="W17" s="13">
        <v>2</v>
      </c>
      <c r="X17" s="13">
        <f t="shared" si="0"/>
        <v>83.4</v>
      </c>
      <c r="Y17" s="13">
        <f t="shared" si="1"/>
        <v>49.8</v>
      </c>
      <c r="Z17" s="13">
        <f t="shared" si="2"/>
        <v>18.188888888888886</v>
      </c>
      <c r="AA17" s="13">
        <f t="shared" si="3"/>
        <v>10.444444444444445</v>
      </c>
      <c r="AB17" s="13">
        <f t="shared" si="4"/>
        <v>8.6666666666666661</v>
      </c>
    </row>
    <row r="18" spans="1:28" x14ac:dyDescent="0.3">
      <c r="A18" s="33" t="s">
        <v>166</v>
      </c>
      <c r="B18" s="33" t="s">
        <v>224</v>
      </c>
      <c r="C18" s="35">
        <f>'Debt Schedule'!C12</f>
        <v>0.01</v>
      </c>
      <c r="D18" s="35">
        <f>'Debt Schedule'!D12</f>
        <v>2.5000000000000001E-2</v>
      </c>
      <c r="E18" s="35">
        <f>'Debt Schedule'!E12</f>
        <v>2.5000000000000001E-2</v>
      </c>
      <c r="F18" s="35">
        <f>'Debt Schedule'!F12</f>
        <v>2.5000000000000001E-2</v>
      </c>
      <c r="G18" s="35">
        <f>'Debt Schedule'!G12</f>
        <v>2.5000000000000001E-2</v>
      </c>
      <c r="H18" s="35">
        <f>'Debt Schedule'!H12</f>
        <v>2.5000000000000001E-2</v>
      </c>
      <c r="I18" s="35">
        <f>'Debt Schedule'!I12</f>
        <v>2.5000000000000001E-2</v>
      </c>
      <c r="J18" s="35">
        <f>'Debt Schedule'!J12</f>
        <v>2.5000000000000001E-2</v>
      </c>
      <c r="K18" s="35">
        <f>'Debt Schedule'!K12</f>
        <v>2.5000000000000001E-2</v>
      </c>
      <c r="L18" s="35">
        <f>'Debt Schedule'!L12</f>
        <v>2.5000000000000001E-2</v>
      </c>
      <c r="M18" s="35">
        <f>'Debt Schedule'!M12</f>
        <v>2.5000000000000001E-2</v>
      </c>
      <c r="N18" s="35">
        <f>'Debt Schedule'!N12</f>
        <v>2.5000000000000001E-2</v>
      </c>
      <c r="O18" s="35">
        <f>'Debt Schedule'!O12</f>
        <v>2.5000000000000001E-2</v>
      </c>
      <c r="P18" s="35">
        <f>'Debt Schedule'!P12</f>
        <v>2.5000000000000001E-2</v>
      </c>
      <c r="Q18" s="35">
        <f>'Debt Schedule'!Q12</f>
        <v>2.5000000000000001E-2</v>
      </c>
      <c r="R18" s="35">
        <f>'Debt Schedule'!R12</f>
        <v>2.5000000000000001E-2</v>
      </c>
      <c r="S18" s="35">
        <f>'Debt Schedule'!S12</f>
        <v>2.5000000000000001E-2</v>
      </c>
      <c r="T18" s="35">
        <f>'Debt Schedule'!T12</f>
        <v>2.5000000000000001E-2</v>
      </c>
      <c r="U18" s="35">
        <f>'Debt Schedule'!U12</f>
        <v>2.5000000000000001E-2</v>
      </c>
      <c r="V18" s="35">
        <f>'Debt Schedule'!V12</f>
        <v>2.5000000000000001E-2</v>
      </c>
      <c r="W18" s="35">
        <f>'Debt Schedule'!W12</f>
        <v>2.5000000000000001E-2</v>
      </c>
      <c r="X18" s="35">
        <f t="shared" si="0"/>
        <v>0.1</v>
      </c>
      <c r="Y18" s="35">
        <f t="shared" si="1"/>
        <v>0.1</v>
      </c>
      <c r="Z18" s="35">
        <f t="shared" si="2"/>
        <v>0.1</v>
      </c>
      <c r="AA18" s="35">
        <f t="shared" si="3"/>
        <v>0.1</v>
      </c>
      <c r="AB18" s="35">
        <f t="shared" si="4"/>
        <v>0.1</v>
      </c>
    </row>
    <row r="19" spans="1:28" x14ac:dyDescent="0.3">
      <c r="A19" s="33" t="s">
        <v>168</v>
      </c>
      <c r="B19" s="33" t="s">
        <v>224</v>
      </c>
      <c r="C19" s="34">
        <v>0</v>
      </c>
      <c r="D19" s="34">
        <f>'Debt Schedule'!D13</f>
        <v>731.25</v>
      </c>
      <c r="E19" s="34">
        <f>'Debt Schedule'!E13</f>
        <v>693.75</v>
      </c>
      <c r="F19" s="34">
        <f>'Debt Schedule'!F13</f>
        <v>656.25</v>
      </c>
      <c r="G19" s="34">
        <f>'Debt Schedule'!G13</f>
        <v>618.75</v>
      </c>
      <c r="H19" s="34">
        <f>'Debt Schedule'!H13</f>
        <v>581.25</v>
      </c>
      <c r="I19" s="34">
        <f>'Debt Schedule'!I13</f>
        <v>543.75</v>
      </c>
      <c r="J19" s="34">
        <f>'Debt Schedule'!J13</f>
        <v>506.25</v>
      </c>
      <c r="K19" s="34">
        <f>'Debt Schedule'!K13</f>
        <v>468.75</v>
      </c>
      <c r="L19" s="34">
        <f>'Debt Schedule'!L13</f>
        <v>431.25</v>
      </c>
      <c r="M19" s="34">
        <f>'Debt Schedule'!M13</f>
        <v>393.75</v>
      </c>
      <c r="N19" s="34">
        <f>'Debt Schedule'!N13</f>
        <v>356.25</v>
      </c>
      <c r="O19" s="34">
        <f>'Debt Schedule'!O13</f>
        <v>318.75</v>
      </c>
      <c r="P19" s="34">
        <f>'Debt Schedule'!P13</f>
        <v>281.25</v>
      </c>
      <c r="Q19" s="34">
        <f>'Debt Schedule'!Q13</f>
        <v>243.75</v>
      </c>
      <c r="R19" s="34">
        <f>'Debt Schedule'!R13</f>
        <v>206.25</v>
      </c>
      <c r="S19" s="34">
        <f>'Debt Schedule'!S13</f>
        <v>168.75</v>
      </c>
      <c r="T19" s="34">
        <f>'Debt Schedule'!T13</f>
        <v>131.25</v>
      </c>
      <c r="U19" s="34">
        <f>'Debt Schedule'!U13</f>
        <v>93.75</v>
      </c>
      <c r="V19" s="34">
        <f>'Debt Schedule'!V13</f>
        <v>56.25</v>
      </c>
      <c r="W19" s="34">
        <f>'Debt Schedule'!W13</f>
        <v>18.75</v>
      </c>
      <c r="X19" s="34">
        <f t="shared" si="0"/>
        <v>2700</v>
      </c>
      <c r="Y19" s="34">
        <f t="shared" si="1"/>
        <v>2100</v>
      </c>
      <c r="Z19" s="34">
        <f t="shared" si="2"/>
        <v>1500</v>
      </c>
      <c r="AA19" s="34">
        <f t="shared" si="3"/>
        <v>900</v>
      </c>
      <c r="AB19" s="34">
        <f t="shared" si="4"/>
        <v>300</v>
      </c>
    </row>
    <row r="20" spans="1:28" x14ac:dyDescent="0.3">
      <c r="A20" s="7" t="s">
        <v>42</v>
      </c>
      <c r="B20" s="7" t="s">
        <v>225</v>
      </c>
      <c r="C20" s="13">
        <f>'CapEx Depreciation'!C10</f>
        <v>0</v>
      </c>
      <c r="D20" s="13">
        <f>'CapEx Depreciation'!D10</f>
        <v>2.5000000000000001E-4</v>
      </c>
      <c r="E20" s="13">
        <f>'CapEx Depreciation'!E10</f>
        <v>4.9899999999999999E-4</v>
      </c>
      <c r="F20" s="13">
        <f>'CapEx Depreciation'!F10</f>
        <v>7.4700000000000005E-4</v>
      </c>
      <c r="G20" s="13">
        <f>'CapEx Depreciation'!G10</f>
        <v>9.9299999999999996E-4</v>
      </c>
      <c r="H20" s="13">
        <f>'CapEx Depreciation'!H10</f>
        <v>1.2390000000000001E-3</v>
      </c>
      <c r="I20" s="13">
        <f>'CapEx Depreciation'!I10</f>
        <v>1.485E-3</v>
      </c>
      <c r="J20" s="13">
        <f>'CapEx Depreciation'!J10</f>
        <v>1.73E-3</v>
      </c>
      <c r="K20" s="13">
        <f>'CapEx Depreciation'!K10</f>
        <v>1.9740000000000001E-3</v>
      </c>
      <c r="L20" s="13">
        <f>'CapEx Depreciation'!L10</f>
        <v>2.2179999999999999E-3</v>
      </c>
      <c r="M20" s="13">
        <f>'CapEx Depreciation'!M10</f>
        <v>2.4620000000000002E-3</v>
      </c>
      <c r="N20" s="13">
        <f>'CapEx Depreciation'!N10</f>
        <v>2.7060000000000001E-3</v>
      </c>
      <c r="O20" s="13">
        <f>'CapEx Depreciation'!O10</f>
        <v>2.9489999999999998E-3</v>
      </c>
      <c r="P20" s="13">
        <f>'CapEx Depreciation'!P10</f>
        <v>3.1930000000000001E-3</v>
      </c>
      <c r="Q20" s="13">
        <f>'CapEx Depreciation'!Q10</f>
        <v>3.4380000000000001E-3</v>
      </c>
      <c r="R20" s="13">
        <f>'CapEx Depreciation'!R10</f>
        <v>3.6819999999999999E-3</v>
      </c>
      <c r="S20" s="13">
        <f>'CapEx Depreciation'!S10</f>
        <v>3.9269999999999999E-3</v>
      </c>
      <c r="T20" s="13">
        <f>'CapEx Depreciation'!T10</f>
        <v>4.1729999999999996E-3</v>
      </c>
      <c r="U20" s="13">
        <f>'CapEx Depreciation'!U10</f>
        <v>4.4200000000000003E-3</v>
      </c>
      <c r="V20" s="13">
        <f>'CapEx Depreciation'!V10</f>
        <v>4.6670000000000001E-3</v>
      </c>
      <c r="W20" s="13">
        <f>'CapEx Depreciation'!W10</f>
        <v>4.9160000000000002E-3</v>
      </c>
      <c r="X20" s="13">
        <f t="shared" si="0"/>
        <v>2.4889999999999999E-3</v>
      </c>
      <c r="Y20" s="13">
        <f t="shared" si="1"/>
        <v>6.4279999999999997E-3</v>
      </c>
      <c r="Z20" s="13">
        <f t="shared" si="2"/>
        <v>1.0335E-2</v>
      </c>
      <c r="AA20" s="13">
        <f t="shared" si="3"/>
        <v>1.4239999999999999E-2</v>
      </c>
      <c r="AB20" s="13">
        <f t="shared" si="4"/>
        <v>1.8176000000000001E-2</v>
      </c>
    </row>
    <row r="21" spans="1:28" x14ac:dyDescent="0.3">
      <c r="A21" s="7" t="s">
        <v>190</v>
      </c>
      <c r="B21" s="7" t="s">
        <v>225</v>
      </c>
      <c r="C21" s="11">
        <f>'CapEx Depreciation'!C11</f>
        <v>0</v>
      </c>
      <c r="D21" s="11">
        <f>'CapEx Depreciation'!D11</f>
        <v>10</v>
      </c>
      <c r="E21" s="11">
        <f>'CapEx Depreciation'!E11</f>
        <v>20.05481</v>
      </c>
      <c r="F21" s="11">
        <f>'CapEx Depreciation'!F11</f>
        <v>30.157058706929998</v>
      </c>
      <c r="G21" s="11">
        <f>'CapEx Depreciation'!G11</f>
        <v>40.258794459042015</v>
      </c>
      <c r="H21" s="11">
        <f>'CapEx Depreciation'!H11</f>
        <v>50.433552955258357</v>
      </c>
      <c r="I21" s="11">
        <f>'CapEx Depreciation'!I11</f>
        <v>60.674335608464972</v>
      </c>
      <c r="J21" s="11">
        <f>'CapEx Depreciation'!J11</f>
        <v>70.933035826957635</v>
      </c>
      <c r="K21" s="11">
        <f>'CapEx Depreciation'!K11</f>
        <v>81.202129508549177</v>
      </c>
      <c r="L21" s="11">
        <f>'CapEx Depreciation'!L11</f>
        <v>91.515362201205377</v>
      </c>
      <c r="M21" s="11">
        <f>'CapEx Depreciation'!M11</f>
        <v>101.86548081430611</v>
      </c>
      <c r="N21" s="11">
        <f>'CapEx Depreciation'!N11</f>
        <v>112.24516071751559</v>
      </c>
      <c r="O21" s="11">
        <f>'CapEx Depreciation'!O11</f>
        <v>122.60543907764801</v>
      </c>
      <c r="P21" s="11">
        <f>'CapEx Depreciation'!P11</f>
        <v>133.02207214032535</v>
      </c>
      <c r="Q21" s="11">
        <f>'CapEx Depreciation'!Q11</f>
        <v>143.48771660552231</v>
      </c>
      <c r="R21" s="11">
        <f>'CapEx Depreciation'!R11</f>
        <v>153.91128887568681</v>
      </c>
      <c r="S21" s="11">
        <f>'CapEx Depreciation'!S11</f>
        <v>164.36888737212266</v>
      </c>
      <c r="T21" s="11">
        <f>'CapEx Depreciation'!T11</f>
        <v>174.85290295433842</v>
      </c>
      <c r="U21" s="11">
        <f>'CapEx Depreciation'!U11</f>
        <v>185.35561415539851</v>
      </c>
      <c r="V21" s="11">
        <f>'CapEx Depreciation'!V11</f>
        <v>195.82723596609475</v>
      </c>
      <c r="W21" s="11">
        <f>'CapEx Depreciation'!W11</f>
        <v>206.34396114815664</v>
      </c>
      <c r="X21" s="11">
        <f t="shared" si="0"/>
        <v>100.47066316597201</v>
      </c>
      <c r="Y21" s="11">
        <f t="shared" si="1"/>
        <v>263.24305389923018</v>
      </c>
      <c r="Z21" s="11">
        <f t="shared" si="2"/>
        <v>428.23144281067505</v>
      </c>
      <c r="AA21" s="11">
        <f t="shared" si="3"/>
        <v>594.78996499365712</v>
      </c>
      <c r="AB21" s="11">
        <f t="shared" si="4"/>
        <v>762.37971422398834</v>
      </c>
    </row>
    <row r="22" spans="1:28" x14ac:dyDescent="0.3">
      <c r="A22" s="7" t="s">
        <v>43</v>
      </c>
      <c r="B22" s="7" t="s">
        <v>221</v>
      </c>
      <c r="C22" s="13">
        <v>0.23783399999999999</v>
      </c>
      <c r="D22" s="13">
        <v>0.23783399999999999</v>
      </c>
      <c r="E22" s="13">
        <v>0.23783399999999999</v>
      </c>
      <c r="F22" s="13">
        <v>0.23783399999999999</v>
      </c>
      <c r="G22" s="13">
        <v>0.23783399999999999</v>
      </c>
      <c r="H22" s="13">
        <v>0.23783399999999999</v>
      </c>
      <c r="I22" s="13">
        <v>0.23783399999999999</v>
      </c>
      <c r="J22" s="13">
        <v>0.23783399999999999</v>
      </c>
      <c r="K22" s="13">
        <v>0.23783399999999999</v>
      </c>
      <c r="L22" s="13">
        <v>0.23783399999999999</v>
      </c>
      <c r="M22" s="13">
        <v>0.23783399999999999</v>
      </c>
      <c r="N22" s="13">
        <v>0.23783399999999999</v>
      </c>
      <c r="O22" s="13">
        <v>0.23783399999999999</v>
      </c>
      <c r="P22" s="13">
        <v>0.23783399999999999</v>
      </c>
      <c r="Q22" s="13">
        <v>0.23783399999999999</v>
      </c>
      <c r="R22" s="13">
        <v>0.23783399999999999</v>
      </c>
      <c r="S22" s="13">
        <v>0.23783399999999999</v>
      </c>
      <c r="T22" s="13">
        <v>0.23783399999999999</v>
      </c>
      <c r="U22" s="13">
        <v>0.23783399999999999</v>
      </c>
      <c r="V22" s="13">
        <v>0.23783399999999999</v>
      </c>
      <c r="W22" s="13">
        <v>0.23783399999999999</v>
      </c>
      <c r="X22" s="13">
        <f t="shared" si="0"/>
        <v>0.95133599999999996</v>
      </c>
      <c r="Y22" s="13">
        <f t="shared" si="1"/>
        <v>0.95133599999999996</v>
      </c>
      <c r="Z22" s="13">
        <f t="shared" si="2"/>
        <v>0.95133599999999996</v>
      </c>
      <c r="AA22" s="13">
        <f t="shared" si="3"/>
        <v>0.95133599999999996</v>
      </c>
      <c r="AB22" s="13">
        <f t="shared" si="4"/>
        <v>0.95133599999999996</v>
      </c>
    </row>
    <row r="24" spans="1:28" x14ac:dyDescent="0.3">
      <c r="A24" s="53" t="s">
        <v>226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</row>
    <row r="25" spans="1:28" x14ac:dyDescent="0.3">
      <c r="A25" s="7" t="s">
        <v>196</v>
      </c>
      <c r="B25" s="7" t="s">
        <v>227</v>
      </c>
      <c r="C25" s="9">
        <f>'Working Capital'!C7</f>
        <v>0</v>
      </c>
      <c r="D25" s="9">
        <f>'Working Capital'!D7</f>
        <v>30</v>
      </c>
      <c r="E25" s="9">
        <f>'Working Capital'!E7</f>
        <v>30</v>
      </c>
      <c r="F25" s="9">
        <f>'Working Capital'!F7</f>
        <v>30</v>
      </c>
      <c r="G25" s="9">
        <f>'Working Capital'!G7</f>
        <v>30</v>
      </c>
      <c r="H25" s="9">
        <f>'Working Capital'!H7</f>
        <v>30</v>
      </c>
      <c r="I25" s="9">
        <f>'Working Capital'!I7</f>
        <v>30</v>
      </c>
      <c r="J25" s="9">
        <f>'Working Capital'!J7</f>
        <v>30</v>
      </c>
      <c r="K25" s="9">
        <f>'Working Capital'!K7</f>
        <v>30</v>
      </c>
      <c r="L25" s="9">
        <f>'Working Capital'!L7</f>
        <v>30</v>
      </c>
      <c r="M25" s="9">
        <f>'Working Capital'!M7</f>
        <v>30</v>
      </c>
      <c r="N25" s="9">
        <f>'Working Capital'!N7</f>
        <v>30</v>
      </c>
      <c r="O25" s="9">
        <f>'Working Capital'!O7</f>
        <v>30</v>
      </c>
      <c r="P25" s="9">
        <f>'Working Capital'!P7</f>
        <v>30</v>
      </c>
      <c r="Q25" s="9">
        <f>'Working Capital'!Q7</f>
        <v>30</v>
      </c>
      <c r="R25" s="9">
        <f>'Working Capital'!R7</f>
        <v>30</v>
      </c>
      <c r="S25" s="9">
        <f>'Working Capital'!S7</f>
        <v>30</v>
      </c>
      <c r="T25" s="9">
        <f>'Working Capital'!T7</f>
        <v>30</v>
      </c>
      <c r="U25" s="9">
        <f>'Working Capital'!U7</f>
        <v>30</v>
      </c>
      <c r="V25" s="9">
        <f>'Working Capital'!V7</f>
        <v>30</v>
      </c>
      <c r="W25" s="9">
        <f>'Working Capital'!W7</f>
        <v>30</v>
      </c>
      <c r="X25" s="9">
        <f t="shared" ref="X25:X30" si="5">SUM(D25:G25)</f>
        <v>120</v>
      </c>
      <c r="Y25" s="9">
        <f t="shared" ref="Y25:Y30" si="6">SUM(H25:K25)</f>
        <v>120</v>
      </c>
      <c r="Z25" s="9">
        <f t="shared" ref="Z25:Z30" si="7">SUM(L25:O25)</f>
        <v>120</v>
      </c>
      <c r="AA25" s="9">
        <f t="shared" ref="AA25:AA30" si="8">SUM(P25:S25)</f>
        <v>120</v>
      </c>
      <c r="AB25" s="9">
        <f t="shared" ref="AB25:AB30" si="9">SUM(T25:W25)</f>
        <v>120</v>
      </c>
    </row>
    <row r="26" spans="1:28" x14ac:dyDescent="0.3">
      <c r="A26" s="7" t="s">
        <v>198</v>
      </c>
      <c r="B26" s="7" t="s">
        <v>227</v>
      </c>
      <c r="C26" s="9">
        <f>'Working Capital'!C8</f>
        <v>0</v>
      </c>
      <c r="D26" s="9">
        <f>'Working Capital'!D8</f>
        <v>0</v>
      </c>
      <c r="E26" s="9">
        <f>'Working Capital'!E8</f>
        <v>0</v>
      </c>
      <c r="F26" s="9">
        <f>'Working Capital'!F8</f>
        <v>0</v>
      </c>
      <c r="G26" s="9">
        <f>'Working Capital'!G8</f>
        <v>0</v>
      </c>
      <c r="H26" s="9">
        <f>'Working Capital'!H8</f>
        <v>0</v>
      </c>
      <c r="I26" s="9">
        <f>'Working Capital'!I8</f>
        <v>0</v>
      </c>
      <c r="J26" s="9">
        <f>'Working Capital'!J8</f>
        <v>0</v>
      </c>
      <c r="K26" s="9">
        <f>'Working Capital'!K8</f>
        <v>0</v>
      </c>
      <c r="L26" s="9">
        <f>'Working Capital'!L8</f>
        <v>0</v>
      </c>
      <c r="M26" s="9">
        <f>'Working Capital'!M8</f>
        <v>0</v>
      </c>
      <c r="N26" s="9">
        <f>'Working Capital'!N8</f>
        <v>0</v>
      </c>
      <c r="O26" s="9">
        <f>'Working Capital'!O8</f>
        <v>0</v>
      </c>
      <c r="P26" s="9">
        <f>'Working Capital'!P8</f>
        <v>0</v>
      </c>
      <c r="Q26" s="9">
        <f>'Working Capital'!Q8</f>
        <v>0</v>
      </c>
      <c r="R26" s="9">
        <f>'Working Capital'!R8</f>
        <v>0</v>
      </c>
      <c r="S26" s="9">
        <f>'Working Capital'!S8</f>
        <v>0</v>
      </c>
      <c r="T26" s="9">
        <f>'Working Capital'!T8</f>
        <v>0</v>
      </c>
      <c r="U26" s="9">
        <f>'Working Capital'!U8</f>
        <v>0</v>
      </c>
      <c r="V26" s="9">
        <f>'Working Capital'!V8</f>
        <v>0</v>
      </c>
      <c r="W26" s="9">
        <f>'Working Capital'!W8</f>
        <v>0</v>
      </c>
      <c r="X26" s="9">
        <f t="shared" si="5"/>
        <v>0</v>
      </c>
      <c r="Y26" s="9">
        <f t="shared" si="6"/>
        <v>0</v>
      </c>
      <c r="Z26" s="9">
        <f t="shared" si="7"/>
        <v>0</v>
      </c>
      <c r="AA26" s="9">
        <f t="shared" si="8"/>
        <v>0</v>
      </c>
      <c r="AB26" s="9">
        <f t="shared" si="9"/>
        <v>0</v>
      </c>
    </row>
    <row r="27" spans="1:28" x14ac:dyDescent="0.3">
      <c r="A27" s="7" t="s">
        <v>199</v>
      </c>
      <c r="B27" s="7" t="s">
        <v>227</v>
      </c>
      <c r="C27" s="9">
        <f>'Working Capital'!C9</f>
        <v>0</v>
      </c>
      <c r="D27" s="9">
        <f>'Working Capital'!D9</f>
        <v>30</v>
      </c>
      <c r="E27" s="9">
        <f>'Working Capital'!E9</f>
        <v>30</v>
      </c>
      <c r="F27" s="9">
        <f>'Working Capital'!F9</f>
        <v>30</v>
      </c>
      <c r="G27" s="9">
        <f>'Working Capital'!G9</f>
        <v>30</v>
      </c>
      <c r="H27" s="9">
        <f>'Working Capital'!H9</f>
        <v>30</v>
      </c>
      <c r="I27" s="9">
        <f>'Working Capital'!I9</f>
        <v>30</v>
      </c>
      <c r="J27" s="9">
        <f>'Working Capital'!J9</f>
        <v>30</v>
      </c>
      <c r="K27" s="9">
        <f>'Working Capital'!K9</f>
        <v>30</v>
      </c>
      <c r="L27" s="9">
        <f>'Working Capital'!L9</f>
        <v>30</v>
      </c>
      <c r="M27" s="9">
        <f>'Working Capital'!M9</f>
        <v>30</v>
      </c>
      <c r="N27" s="9">
        <f>'Working Capital'!N9</f>
        <v>30</v>
      </c>
      <c r="O27" s="9">
        <f>'Working Capital'!O9</f>
        <v>30</v>
      </c>
      <c r="P27" s="9">
        <f>'Working Capital'!P9</f>
        <v>30</v>
      </c>
      <c r="Q27" s="9">
        <f>'Working Capital'!Q9</f>
        <v>30</v>
      </c>
      <c r="R27" s="9">
        <f>'Working Capital'!R9</f>
        <v>30</v>
      </c>
      <c r="S27" s="9">
        <f>'Working Capital'!S9</f>
        <v>30</v>
      </c>
      <c r="T27" s="9">
        <f>'Working Capital'!T9</f>
        <v>30</v>
      </c>
      <c r="U27" s="9">
        <f>'Working Capital'!U9</f>
        <v>30</v>
      </c>
      <c r="V27" s="9">
        <f>'Working Capital'!V9</f>
        <v>30</v>
      </c>
      <c r="W27" s="9">
        <f>'Working Capital'!W9</f>
        <v>30</v>
      </c>
      <c r="X27" s="9">
        <f t="shared" si="5"/>
        <v>120</v>
      </c>
      <c r="Y27" s="9">
        <f t="shared" si="6"/>
        <v>120</v>
      </c>
      <c r="Z27" s="9">
        <f t="shared" si="7"/>
        <v>120</v>
      </c>
      <c r="AA27" s="9">
        <f t="shared" si="8"/>
        <v>120</v>
      </c>
      <c r="AB27" s="9">
        <f t="shared" si="9"/>
        <v>120</v>
      </c>
    </row>
    <row r="28" spans="1:28" x14ac:dyDescent="0.3">
      <c r="A28" s="7" t="s">
        <v>200</v>
      </c>
      <c r="B28" s="7" t="s">
        <v>227</v>
      </c>
      <c r="C28" s="13">
        <f>'Working Capital'!C10</f>
        <v>0</v>
      </c>
      <c r="D28" s="13">
        <f>'Working Capital'!D10</f>
        <v>5</v>
      </c>
      <c r="E28" s="13">
        <f>'Working Capital'!E10</f>
        <v>5</v>
      </c>
      <c r="F28" s="13">
        <f>'Working Capital'!F10</f>
        <v>5</v>
      </c>
      <c r="G28" s="13">
        <f>'Working Capital'!G10</f>
        <v>5</v>
      </c>
      <c r="H28" s="13">
        <f>'Working Capital'!H10</f>
        <v>5</v>
      </c>
      <c r="I28" s="13">
        <f>'Working Capital'!I10</f>
        <v>5</v>
      </c>
      <c r="J28" s="13">
        <f>'Working Capital'!J10</f>
        <v>5</v>
      </c>
      <c r="K28" s="13">
        <f>'Working Capital'!K10</f>
        <v>5</v>
      </c>
      <c r="L28" s="13">
        <f>'Working Capital'!L10</f>
        <v>5</v>
      </c>
      <c r="M28" s="13">
        <f>'Working Capital'!M10</f>
        <v>5</v>
      </c>
      <c r="N28" s="13">
        <f>'Working Capital'!N10</f>
        <v>5</v>
      </c>
      <c r="O28" s="13">
        <f>'Working Capital'!O10</f>
        <v>5</v>
      </c>
      <c r="P28" s="13">
        <f>'Working Capital'!P10</f>
        <v>5</v>
      </c>
      <c r="Q28" s="13">
        <f>'Working Capital'!Q10</f>
        <v>5</v>
      </c>
      <c r="R28" s="13">
        <f>'Working Capital'!R10</f>
        <v>5</v>
      </c>
      <c r="S28" s="13">
        <f>'Working Capital'!S10</f>
        <v>5</v>
      </c>
      <c r="T28" s="13">
        <f>'Working Capital'!T10</f>
        <v>5</v>
      </c>
      <c r="U28" s="13">
        <f>'Working Capital'!U10</f>
        <v>5</v>
      </c>
      <c r="V28" s="13">
        <f>'Working Capital'!V10</f>
        <v>5</v>
      </c>
      <c r="W28" s="13">
        <f>'Working Capital'!W10</f>
        <v>5</v>
      </c>
      <c r="X28" s="13">
        <f t="shared" si="5"/>
        <v>20</v>
      </c>
      <c r="Y28" s="13">
        <f t="shared" si="6"/>
        <v>20</v>
      </c>
      <c r="Z28" s="13">
        <f t="shared" si="7"/>
        <v>20</v>
      </c>
      <c r="AA28" s="13">
        <f t="shared" si="8"/>
        <v>20</v>
      </c>
      <c r="AB28" s="13">
        <f t="shared" si="9"/>
        <v>20</v>
      </c>
    </row>
    <row r="29" spans="1:28" x14ac:dyDescent="0.3">
      <c r="A29" s="7" t="s">
        <v>201</v>
      </c>
      <c r="B29" s="7" t="s">
        <v>227</v>
      </c>
      <c r="C29" s="13">
        <f>'Working Capital'!C11</f>
        <v>0</v>
      </c>
      <c r="D29" s="13">
        <f>'Working Capital'!D11</f>
        <v>0</v>
      </c>
      <c r="E29" s="13">
        <f>'Working Capital'!E11</f>
        <v>0</v>
      </c>
      <c r="F29" s="13">
        <f>'Working Capital'!F11</f>
        <v>0</v>
      </c>
      <c r="G29" s="13">
        <f>'Working Capital'!G11</f>
        <v>0</v>
      </c>
      <c r="H29" s="13">
        <f>'Working Capital'!H11</f>
        <v>0</v>
      </c>
      <c r="I29" s="13">
        <f>'Working Capital'!I11</f>
        <v>0</v>
      </c>
      <c r="J29" s="13">
        <f>'Working Capital'!J11</f>
        <v>0</v>
      </c>
      <c r="K29" s="13">
        <f>'Working Capital'!K11</f>
        <v>0</v>
      </c>
      <c r="L29" s="13">
        <f>'Working Capital'!L11</f>
        <v>0</v>
      </c>
      <c r="M29" s="13">
        <f>'Working Capital'!M11</f>
        <v>0</v>
      </c>
      <c r="N29" s="13">
        <f>'Working Capital'!N11</f>
        <v>0</v>
      </c>
      <c r="O29" s="13">
        <f>'Working Capital'!O11</f>
        <v>0</v>
      </c>
      <c r="P29" s="13">
        <f>'Working Capital'!P11</f>
        <v>0</v>
      </c>
      <c r="Q29" s="13">
        <f>'Working Capital'!Q11</f>
        <v>0</v>
      </c>
      <c r="R29" s="13">
        <f>'Working Capital'!R11</f>
        <v>0</v>
      </c>
      <c r="S29" s="13">
        <f>'Working Capital'!S11</f>
        <v>0</v>
      </c>
      <c r="T29" s="13">
        <f>'Working Capital'!T11</f>
        <v>0</v>
      </c>
      <c r="U29" s="13">
        <f>'Working Capital'!U11</f>
        <v>0</v>
      </c>
      <c r="V29" s="13">
        <f>'Working Capital'!V11</f>
        <v>0</v>
      </c>
      <c r="W29" s="13">
        <f>'Working Capital'!W11</f>
        <v>0</v>
      </c>
      <c r="X29" s="13">
        <f t="shared" si="5"/>
        <v>0</v>
      </c>
      <c r="Y29" s="13">
        <f t="shared" si="6"/>
        <v>0</v>
      </c>
      <c r="Z29" s="13">
        <f t="shared" si="7"/>
        <v>0</v>
      </c>
      <c r="AA29" s="13">
        <f t="shared" si="8"/>
        <v>0</v>
      </c>
      <c r="AB29" s="13">
        <f t="shared" si="9"/>
        <v>0</v>
      </c>
    </row>
    <row r="30" spans="1:28" x14ac:dyDescent="0.3">
      <c r="A30" s="7" t="s">
        <v>202</v>
      </c>
      <c r="B30" s="7" t="s">
        <v>227</v>
      </c>
      <c r="C30" s="13">
        <f>'Working Capital'!C12</f>
        <v>0</v>
      </c>
      <c r="D30" s="13">
        <f>'Working Capital'!D12</f>
        <v>0</v>
      </c>
      <c r="E30" s="13">
        <f>'Working Capital'!E12</f>
        <v>0</v>
      </c>
      <c r="F30" s="13">
        <f>'Working Capital'!F12</f>
        <v>0</v>
      </c>
      <c r="G30" s="13">
        <f>'Working Capital'!G12</f>
        <v>0</v>
      </c>
      <c r="H30" s="13">
        <f>'Working Capital'!H12</f>
        <v>0</v>
      </c>
      <c r="I30" s="13">
        <f>'Working Capital'!I12</f>
        <v>0</v>
      </c>
      <c r="J30" s="13">
        <f>'Working Capital'!J12</f>
        <v>0</v>
      </c>
      <c r="K30" s="13">
        <f>'Working Capital'!K12</f>
        <v>0</v>
      </c>
      <c r="L30" s="13">
        <f>'Working Capital'!L12</f>
        <v>0</v>
      </c>
      <c r="M30" s="13">
        <f>'Working Capital'!M12</f>
        <v>0</v>
      </c>
      <c r="N30" s="13">
        <f>'Working Capital'!N12</f>
        <v>0</v>
      </c>
      <c r="O30" s="13">
        <f>'Working Capital'!O12</f>
        <v>0</v>
      </c>
      <c r="P30" s="13">
        <f>'Working Capital'!P12</f>
        <v>0</v>
      </c>
      <c r="Q30" s="13">
        <f>'Working Capital'!Q12</f>
        <v>0</v>
      </c>
      <c r="R30" s="13">
        <f>'Working Capital'!R12</f>
        <v>0</v>
      </c>
      <c r="S30" s="13">
        <f>'Working Capital'!S12</f>
        <v>0</v>
      </c>
      <c r="T30" s="13">
        <f>'Working Capital'!T12</f>
        <v>0</v>
      </c>
      <c r="U30" s="13">
        <f>'Working Capital'!U12</f>
        <v>0</v>
      </c>
      <c r="V30" s="13">
        <f>'Working Capital'!V12</f>
        <v>0</v>
      </c>
      <c r="W30" s="13">
        <f>'Working Capital'!W12</f>
        <v>0</v>
      </c>
      <c r="X30" s="13">
        <f t="shared" si="5"/>
        <v>0</v>
      </c>
      <c r="Y30" s="13">
        <f t="shared" si="6"/>
        <v>0</v>
      </c>
      <c r="Z30" s="13">
        <f t="shared" si="7"/>
        <v>0</v>
      </c>
      <c r="AA30" s="13">
        <f t="shared" si="8"/>
        <v>0</v>
      </c>
      <c r="AB30" s="13">
        <f t="shared" si="9"/>
        <v>0</v>
      </c>
    </row>
    <row r="31" spans="1:28" x14ac:dyDescent="0.3">
      <c r="A31" s="33" t="s">
        <v>62</v>
      </c>
      <c r="B31" s="33" t="s">
        <v>228</v>
      </c>
      <c r="C31" s="34">
        <f>'Cash Equity Schedule'!C7</f>
        <v>45000</v>
      </c>
      <c r="D31" s="34">
        <f>'Cash Equity Schedule'!D7</f>
        <v>46229083</v>
      </c>
      <c r="E31" s="34">
        <f>'Cash Equity Schedule'!E7</f>
        <v>78731191</v>
      </c>
      <c r="F31" s="34">
        <f>'Cash Equity Schedule'!F7</f>
        <v>110631979</v>
      </c>
      <c r="G31" s="34">
        <f>'Cash Equity Schedule'!G7</f>
        <v>141884050</v>
      </c>
      <c r="H31" s="34">
        <f>'Cash Equity Schedule'!H7</f>
        <v>172083847</v>
      </c>
      <c r="I31" s="34">
        <f>'Cash Equity Schedule'!I7</f>
        <v>200913067</v>
      </c>
      <c r="J31" s="34">
        <f>'Cash Equity Schedule'!J7</f>
        <v>228094164</v>
      </c>
      <c r="K31" s="34">
        <f>'Cash Equity Schedule'!K7</f>
        <v>253394736</v>
      </c>
      <c r="L31" s="34">
        <f>'Cash Equity Schedule'!L7</f>
        <v>276500513</v>
      </c>
      <c r="M31" s="34">
        <f>'Cash Equity Schedule'!M7</f>
        <v>297047509</v>
      </c>
      <c r="N31" s="34">
        <f>'Cash Equity Schedule'!N7</f>
        <v>314722680</v>
      </c>
      <c r="O31" s="34">
        <f>'Cash Equity Schedule'!O7</f>
        <v>332761977</v>
      </c>
      <c r="P31" s="34">
        <f>'Cash Equity Schedule'!P7</f>
        <v>350530836</v>
      </c>
      <c r="Q31" s="34">
        <f>'Cash Equity Schedule'!Q7</f>
        <v>368013828</v>
      </c>
      <c r="R31" s="34">
        <f>'Cash Equity Schedule'!R7</f>
        <v>385201629</v>
      </c>
      <c r="S31" s="34">
        <f>'Cash Equity Schedule'!S7</f>
        <v>402128145</v>
      </c>
      <c r="T31" s="34">
        <f>'Cash Equity Schedule'!T7</f>
        <v>418770617</v>
      </c>
      <c r="U31" s="34">
        <f>'Cash Equity Schedule'!U7</f>
        <v>435114802</v>
      </c>
      <c r="V31" s="34">
        <f>'Cash Equity Schedule'!V7</f>
        <v>451152836</v>
      </c>
      <c r="W31" s="34">
        <f>'Cash Equity Schedule'!W7</f>
        <v>466911700</v>
      </c>
      <c r="X31" s="34">
        <f>G31</f>
        <v>141884050</v>
      </c>
      <c r="Y31" s="34">
        <f>K31</f>
        <v>253394736</v>
      </c>
      <c r="Z31" s="34">
        <f>O31</f>
        <v>332761977</v>
      </c>
      <c r="AA31" s="34">
        <f>S31</f>
        <v>402128145</v>
      </c>
      <c r="AB31" s="34">
        <f>W31</f>
        <v>466911700</v>
      </c>
    </row>
    <row r="32" spans="1:28" x14ac:dyDescent="0.3">
      <c r="A32" s="33" t="s">
        <v>64</v>
      </c>
      <c r="B32" s="33" t="s">
        <v>228</v>
      </c>
      <c r="C32" s="34">
        <f>'Cash Equity Schedule'!C8</f>
        <v>0</v>
      </c>
      <c r="D32" s="34">
        <f>'Cash Equity Schedule'!D8</f>
        <v>0</v>
      </c>
      <c r="E32" s="34">
        <f>'Cash Equity Schedule'!E8</f>
        <v>0</v>
      </c>
      <c r="F32" s="34">
        <f>'Cash Equity Schedule'!F8</f>
        <v>0</v>
      </c>
      <c r="G32" s="34">
        <f>'Cash Equity Schedule'!G8</f>
        <v>0</v>
      </c>
      <c r="H32" s="34">
        <f>'Cash Equity Schedule'!H8</f>
        <v>0</v>
      </c>
      <c r="I32" s="34">
        <f>'Cash Equity Schedule'!I8</f>
        <v>0</v>
      </c>
      <c r="J32" s="34">
        <f>'Cash Equity Schedule'!J8</f>
        <v>0</v>
      </c>
      <c r="K32" s="34">
        <f>'Cash Equity Schedule'!K8</f>
        <v>0</v>
      </c>
      <c r="L32" s="34">
        <f>'Cash Equity Schedule'!L8</f>
        <v>0</v>
      </c>
      <c r="M32" s="34">
        <f>'Cash Equity Schedule'!M8</f>
        <v>0</v>
      </c>
      <c r="N32" s="34">
        <f>'Cash Equity Schedule'!N8</f>
        <v>0</v>
      </c>
      <c r="O32" s="34">
        <f>'Cash Equity Schedule'!O8</f>
        <v>0</v>
      </c>
      <c r="P32" s="34">
        <f>'Cash Equity Schedule'!P8</f>
        <v>0</v>
      </c>
      <c r="Q32" s="34">
        <f>'Cash Equity Schedule'!Q8</f>
        <v>0</v>
      </c>
      <c r="R32" s="34">
        <f>'Cash Equity Schedule'!R8</f>
        <v>0</v>
      </c>
      <c r="S32" s="34">
        <f>'Cash Equity Schedule'!S8</f>
        <v>0</v>
      </c>
      <c r="T32" s="34">
        <f>'Cash Equity Schedule'!T8</f>
        <v>0</v>
      </c>
      <c r="U32" s="34">
        <f>'Cash Equity Schedule'!U8</f>
        <v>0</v>
      </c>
      <c r="V32" s="34">
        <f>'Cash Equity Schedule'!V8</f>
        <v>0</v>
      </c>
      <c r="W32" s="34">
        <f>'Cash Equity Schedule'!W8</f>
        <v>0</v>
      </c>
      <c r="X32" s="34">
        <f>G32</f>
        <v>0</v>
      </c>
      <c r="Y32" s="34">
        <f>K32</f>
        <v>0</v>
      </c>
      <c r="Z32" s="34">
        <f>O32</f>
        <v>0</v>
      </c>
      <c r="AA32" s="34">
        <f>S32</f>
        <v>0</v>
      </c>
      <c r="AB32" s="34">
        <f>W32</f>
        <v>0</v>
      </c>
    </row>
    <row r="33" spans="1:28" x14ac:dyDescent="0.3">
      <c r="A33" s="33" t="s">
        <v>77</v>
      </c>
      <c r="B33" s="33" t="s">
        <v>228</v>
      </c>
      <c r="C33" s="34">
        <f>'Cash Equity Schedule'!C9</f>
        <v>0</v>
      </c>
      <c r="D33" s="34">
        <f>'Cash Equity Schedule'!D9</f>
        <v>0</v>
      </c>
      <c r="E33" s="34">
        <f>'Cash Equity Schedule'!E9</f>
        <v>0</v>
      </c>
      <c r="F33" s="34">
        <f>'Cash Equity Schedule'!F9</f>
        <v>0</v>
      </c>
      <c r="G33" s="34">
        <f>'Cash Equity Schedule'!G9</f>
        <v>0</v>
      </c>
      <c r="H33" s="34">
        <f>'Cash Equity Schedule'!H9</f>
        <v>0</v>
      </c>
      <c r="I33" s="34">
        <f>'Cash Equity Schedule'!I9</f>
        <v>0</v>
      </c>
      <c r="J33" s="34">
        <f>'Cash Equity Schedule'!J9</f>
        <v>0</v>
      </c>
      <c r="K33" s="34">
        <f>'Cash Equity Schedule'!K9</f>
        <v>0</v>
      </c>
      <c r="L33" s="34">
        <f>'Cash Equity Schedule'!L9</f>
        <v>0</v>
      </c>
      <c r="M33" s="34">
        <f>'Cash Equity Schedule'!M9</f>
        <v>0</v>
      </c>
      <c r="N33" s="34">
        <f>'Cash Equity Schedule'!N9</f>
        <v>0</v>
      </c>
      <c r="O33" s="34">
        <f>'Cash Equity Schedule'!O9</f>
        <v>0</v>
      </c>
      <c r="P33" s="34">
        <f>'Cash Equity Schedule'!P9</f>
        <v>0</v>
      </c>
      <c r="Q33" s="34">
        <f>'Cash Equity Schedule'!Q9</f>
        <v>0</v>
      </c>
      <c r="R33" s="34">
        <f>'Cash Equity Schedule'!R9</f>
        <v>0</v>
      </c>
      <c r="S33" s="34">
        <f>'Cash Equity Schedule'!S9</f>
        <v>0</v>
      </c>
      <c r="T33" s="34">
        <f>'Cash Equity Schedule'!T9</f>
        <v>0</v>
      </c>
      <c r="U33" s="34">
        <f>'Cash Equity Schedule'!U9</f>
        <v>0</v>
      </c>
      <c r="V33" s="34">
        <f>'Cash Equity Schedule'!V9</f>
        <v>0</v>
      </c>
      <c r="W33" s="34">
        <f>'Cash Equity Schedule'!W9</f>
        <v>0</v>
      </c>
      <c r="X33" s="34">
        <f>G33</f>
        <v>0</v>
      </c>
      <c r="Y33" s="34">
        <f>K33</f>
        <v>0</v>
      </c>
      <c r="Z33" s="34">
        <f>O33</f>
        <v>0</v>
      </c>
      <c r="AA33" s="34">
        <f>S33</f>
        <v>0</v>
      </c>
      <c r="AB33" s="34">
        <f>W33</f>
        <v>0</v>
      </c>
    </row>
    <row r="35" spans="1:28" x14ac:dyDescent="0.3">
      <c r="A35" s="53" t="s">
        <v>229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</row>
    <row r="36" spans="1:28" x14ac:dyDescent="0.3">
      <c r="A36" s="7" t="s">
        <v>204</v>
      </c>
      <c r="B36" s="7" t="s">
        <v>227</v>
      </c>
      <c r="C36" s="11">
        <f>'Working Capital'!C15</f>
        <v>12000</v>
      </c>
      <c r="D36" s="11">
        <f>'Working Capital'!D15</f>
        <v>0</v>
      </c>
      <c r="E36" s="11">
        <f>'Working Capital'!E15</f>
        <v>0</v>
      </c>
      <c r="F36" s="11">
        <f>'Working Capital'!F15</f>
        <v>0</v>
      </c>
      <c r="G36" s="11">
        <f>'Working Capital'!G15</f>
        <v>0</v>
      </c>
      <c r="H36" s="11">
        <f>'Working Capital'!H15</f>
        <v>0</v>
      </c>
      <c r="I36" s="11">
        <f>'Working Capital'!I15</f>
        <v>0</v>
      </c>
      <c r="J36" s="11">
        <f>'Working Capital'!J15</f>
        <v>0</v>
      </c>
      <c r="K36" s="11">
        <f>'Working Capital'!K15</f>
        <v>0</v>
      </c>
      <c r="L36" s="11">
        <f>'Working Capital'!L15</f>
        <v>0</v>
      </c>
      <c r="M36" s="11">
        <f>'Working Capital'!M15</f>
        <v>0</v>
      </c>
      <c r="N36" s="11">
        <f>'Working Capital'!N15</f>
        <v>0</v>
      </c>
      <c r="O36" s="11">
        <f>'Working Capital'!O15</f>
        <v>0</v>
      </c>
      <c r="P36" s="11">
        <f>'Working Capital'!P15</f>
        <v>0</v>
      </c>
      <c r="Q36" s="11">
        <f>'Working Capital'!Q15</f>
        <v>0</v>
      </c>
      <c r="R36" s="11">
        <f>'Working Capital'!R15</f>
        <v>0</v>
      </c>
      <c r="S36" s="11">
        <f>'Working Capital'!S15</f>
        <v>0</v>
      </c>
      <c r="T36" s="11">
        <f>'Working Capital'!T15</f>
        <v>0</v>
      </c>
      <c r="U36" s="11">
        <f>'Working Capital'!U15</f>
        <v>0</v>
      </c>
      <c r="V36" s="11">
        <f>'Working Capital'!V15</f>
        <v>0</v>
      </c>
      <c r="W36" s="11">
        <f>'Working Capital'!W15</f>
        <v>0</v>
      </c>
      <c r="X36" s="11">
        <f t="shared" ref="X36:X41" si="10">G36</f>
        <v>0</v>
      </c>
      <c r="Y36" s="11">
        <f t="shared" ref="Y36:Y41" si="11">K36</f>
        <v>0</v>
      </c>
      <c r="Z36" s="11">
        <f t="shared" ref="Z36:Z41" si="12">O36</f>
        <v>0</v>
      </c>
      <c r="AA36" s="11">
        <f t="shared" ref="AA36:AA41" si="13">S36</f>
        <v>0</v>
      </c>
      <c r="AB36" s="11">
        <f t="shared" ref="AB36:AB41" si="14">W36</f>
        <v>0</v>
      </c>
    </row>
    <row r="37" spans="1:28" x14ac:dyDescent="0.3">
      <c r="A37" s="7" t="s">
        <v>206</v>
      </c>
      <c r="B37" s="7" t="s">
        <v>227</v>
      </c>
      <c r="C37" s="11">
        <f>'Working Capital'!C16</f>
        <v>0</v>
      </c>
      <c r="D37" s="11">
        <f>'Working Capital'!D16</f>
        <v>0</v>
      </c>
      <c r="E37" s="11">
        <f>'Working Capital'!E16</f>
        <v>0</v>
      </c>
      <c r="F37" s="11">
        <f>'Working Capital'!F16</f>
        <v>0</v>
      </c>
      <c r="G37" s="11">
        <f>'Working Capital'!G16</f>
        <v>0</v>
      </c>
      <c r="H37" s="11">
        <f>'Working Capital'!H16</f>
        <v>0</v>
      </c>
      <c r="I37" s="11">
        <f>'Working Capital'!I16</f>
        <v>0</v>
      </c>
      <c r="J37" s="11">
        <f>'Working Capital'!J16</f>
        <v>0</v>
      </c>
      <c r="K37" s="11">
        <f>'Working Capital'!K16</f>
        <v>0</v>
      </c>
      <c r="L37" s="11">
        <f>'Working Capital'!L16</f>
        <v>0</v>
      </c>
      <c r="M37" s="11">
        <f>'Working Capital'!M16</f>
        <v>0</v>
      </c>
      <c r="N37" s="11">
        <f>'Working Capital'!N16</f>
        <v>0</v>
      </c>
      <c r="O37" s="11">
        <f>'Working Capital'!O16</f>
        <v>0</v>
      </c>
      <c r="P37" s="11">
        <f>'Working Capital'!P16</f>
        <v>0</v>
      </c>
      <c r="Q37" s="11">
        <f>'Working Capital'!Q16</f>
        <v>0</v>
      </c>
      <c r="R37" s="11">
        <f>'Working Capital'!R16</f>
        <v>0</v>
      </c>
      <c r="S37" s="11">
        <f>'Working Capital'!S16</f>
        <v>0</v>
      </c>
      <c r="T37" s="11">
        <f>'Working Capital'!T16</f>
        <v>0</v>
      </c>
      <c r="U37" s="11">
        <f>'Working Capital'!U16</f>
        <v>0</v>
      </c>
      <c r="V37" s="11">
        <f>'Working Capital'!V16</f>
        <v>0</v>
      </c>
      <c r="W37" s="11">
        <f>'Working Capital'!W16</f>
        <v>0</v>
      </c>
      <c r="X37" s="11">
        <f t="shared" si="10"/>
        <v>0</v>
      </c>
      <c r="Y37" s="11">
        <f t="shared" si="11"/>
        <v>0</v>
      </c>
      <c r="Z37" s="11">
        <f t="shared" si="12"/>
        <v>0</v>
      </c>
      <c r="AA37" s="11">
        <f t="shared" si="13"/>
        <v>0</v>
      </c>
      <c r="AB37" s="11">
        <f t="shared" si="14"/>
        <v>0</v>
      </c>
    </row>
    <row r="38" spans="1:28" x14ac:dyDescent="0.3">
      <c r="A38" s="7" t="s">
        <v>207</v>
      </c>
      <c r="B38" s="7" t="s">
        <v>227</v>
      </c>
      <c r="C38" s="11">
        <f>'Working Capital'!C17</f>
        <v>0</v>
      </c>
      <c r="D38" s="11">
        <f>'Working Capital'!D17</f>
        <v>0</v>
      </c>
      <c r="E38" s="11">
        <f>'Working Capital'!E17</f>
        <v>0</v>
      </c>
      <c r="F38" s="11">
        <f>'Working Capital'!F17</f>
        <v>0</v>
      </c>
      <c r="G38" s="11">
        <f>'Working Capital'!G17</f>
        <v>0</v>
      </c>
      <c r="H38" s="11">
        <f>'Working Capital'!H17</f>
        <v>0</v>
      </c>
      <c r="I38" s="11">
        <f>'Working Capital'!I17</f>
        <v>0</v>
      </c>
      <c r="J38" s="11">
        <f>'Working Capital'!J17</f>
        <v>0</v>
      </c>
      <c r="K38" s="11">
        <f>'Working Capital'!K17</f>
        <v>0</v>
      </c>
      <c r="L38" s="11">
        <f>'Working Capital'!L17</f>
        <v>0</v>
      </c>
      <c r="M38" s="11">
        <f>'Working Capital'!M17</f>
        <v>0</v>
      </c>
      <c r="N38" s="11">
        <f>'Working Capital'!N17</f>
        <v>0</v>
      </c>
      <c r="O38" s="11">
        <f>'Working Capital'!O17</f>
        <v>0</v>
      </c>
      <c r="P38" s="11">
        <f>'Working Capital'!P17</f>
        <v>0</v>
      </c>
      <c r="Q38" s="11">
        <f>'Working Capital'!Q17</f>
        <v>0</v>
      </c>
      <c r="R38" s="11">
        <f>'Working Capital'!R17</f>
        <v>0</v>
      </c>
      <c r="S38" s="11">
        <f>'Working Capital'!S17</f>
        <v>0</v>
      </c>
      <c r="T38" s="11">
        <f>'Working Capital'!T17</f>
        <v>0</v>
      </c>
      <c r="U38" s="11">
        <f>'Working Capital'!U17</f>
        <v>0</v>
      </c>
      <c r="V38" s="11">
        <f>'Working Capital'!V17</f>
        <v>0</v>
      </c>
      <c r="W38" s="11">
        <f>'Working Capital'!W17</f>
        <v>0</v>
      </c>
      <c r="X38" s="11">
        <f t="shared" si="10"/>
        <v>0</v>
      </c>
      <c r="Y38" s="11">
        <f t="shared" si="11"/>
        <v>0</v>
      </c>
      <c r="Z38" s="11">
        <f t="shared" si="12"/>
        <v>0</v>
      </c>
      <c r="AA38" s="11">
        <f t="shared" si="13"/>
        <v>0</v>
      </c>
      <c r="AB38" s="11">
        <f t="shared" si="14"/>
        <v>0</v>
      </c>
    </row>
    <row r="39" spans="1:28" x14ac:dyDescent="0.3">
      <c r="A39" s="7" t="s">
        <v>208</v>
      </c>
      <c r="B39" s="7" t="s">
        <v>227</v>
      </c>
      <c r="C39" s="11">
        <f>'Working Capital'!C18</f>
        <v>4000</v>
      </c>
      <c r="D39" s="11">
        <f>'Working Capital'!D18</f>
        <v>0</v>
      </c>
      <c r="E39" s="11">
        <f>'Working Capital'!E18</f>
        <v>0</v>
      </c>
      <c r="F39" s="11">
        <f>'Working Capital'!F18</f>
        <v>0</v>
      </c>
      <c r="G39" s="11">
        <f>'Working Capital'!G18</f>
        <v>0</v>
      </c>
      <c r="H39" s="11">
        <f>'Working Capital'!H18</f>
        <v>0</v>
      </c>
      <c r="I39" s="11">
        <f>'Working Capital'!I18</f>
        <v>0</v>
      </c>
      <c r="J39" s="11">
        <f>'Working Capital'!J18</f>
        <v>0</v>
      </c>
      <c r="K39" s="11">
        <f>'Working Capital'!K18</f>
        <v>0</v>
      </c>
      <c r="L39" s="11">
        <f>'Working Capital'!L18</f>
        <v>0</v>
      </c>
      <c r="M39" s="11">
        <f>'Working Capital'!M18</f>
        <v>0</v>
      </c>
      <c r="N39" s="11">
        <f>'Working Capital'!N18</f>
        <v>0</v>
      </c>
      <c r="O39" s="11">
        <f>'Working Capital'!O18</f>
        <v>0</v>
      </c>
      <c r="P39" s="11">
        <f>'Working Capital'!P18</f>
        <v>0</v>
      </c>
      <c r="Q39" s="11">
        <f>'Working Capital'!Q18</f>
        <v>0</v>
      </c>
      <c r="R39" s="11">
        <f>'Working Capital'!R18</f>
        <v>0</v>
      </c>
      <c r="S39" s="11">
        <f>'Working Capital'!S18</f>
        <v>0</v>
      </c>
      <c r="T39" s="11">
        <f>'Working Capital'!T18</f>
        <v>0</v>
      </c>
      <c r="U39" s="11">
        <f>'Working Capital'!U18</f>
        <v>0</v>
      </c>
      <c r="V39" s="11">
        <f>'Working Capital'!V18</f>
        <v>0</v>
      </c>
      <c r="W39" s="11">
        <f>'Working Capital'!W18</f>
        <v>0</v>
      </c>
      <c r="X39" s="11">
        <f t="shared" si="10"/>
        <v>0</v>
      </c>
      <c r="Y39" s="11">
        <f t="shared" si="11"/>
        <v>0</v>
      </c>
      <c r="Z39" s="11">
        <f t="shared" si="12"/>
        <v>0</v>
      </c>
      <c r="AA39" s="11">
        <f t="shared" si="13"/>
        <v>0</v>
      </c>
      <c r="AB39" s="11">
        <f t="shared" si="14"/>
        <v>0</v>
      </c>
    </row>
    <row r="40" spans="1:28" x14ac:dyDescent="0.3">
      <c r="A40" s="7" t="s">
        <v>209</v>
      </c>
      <c r="B40" s="7" t="s">
        <v>227</v>
      </c>
      <c r="C40" s="11">
        <f>'Working Capital'!C19</f>
        <v>0</v>
      </c>
      <c r="D40" s="11">
        <f>'Working Capital'!D19</f>
        <v>0</v>
      </c>
      <c r="E40" s="11">
        <f>'Working Capital'!E19</f>
        <v>0</v>
      </c>
      <c r="F40" s="11">
        <f>'Working Capital'!F19</f>
        <v>0</v>
      </c>
      <c r="G40" s="11">
        <f>'Working Capital'!G19</f>
        <v>0</v>
      </c>
      <c r="H40" s="11">
        <f>'Working Capital'!H19</f>
        <v>0</v>
      </c>
      <c r="I40" s="11">
        <f>'Working Capital'!I19</f>
        <v>0</v>
      </c>
      <c r="J40" s="11">
        <f>'Working Capital'!J19</f>
        <v>0</v>
      </c>
      <c r="K40" s="11">
        <f>'Working Capital'!K19</f>
        <v>0</v>
      </c>
      <c r="L40" s="11">
        <f>'Working Capital'!L19</f>
        <v>0</v>
      </c>
      <c r="M40" s="11">
        <f>'Working Capital'!M19</f>
        <v>0</v>
      </c>
      <c r="N40" s="11">
        <f>'Working Capital'!N19</f>
        <v>0</v>
      </c>
      <c r="O40" s="11">
        <f>'Working Capital'!O19</f>
        <v>0</v>
      </c>
      <c r="P40" s="11">
        <f>'Working Capital'!P19</f>
        <v>0</v>
      </c>
      <c r="Q40" s="11">
        <f>'Working Capital'!Q19</f>
        <v>0</v>
      </c>
      <c r="R40" s="11">
        <f>'Working Capital'!R19</f>
        <v>0</v>
      </c>
      <c r="S40" s="11">
        <f>'Working Capital'!S19</f>
        <v>0</v>
      </c>
      <c r="T40" s="11">
        <f>'Working Capital'!T19</f>
        <v>0</v>
      </c>
      <c r="U40" s="11">
        <f>'Working Capital'!U19</f>
        <v>0</v>
      </c>
      <c r="V40" s="11">
        <f>'Working Capital'!V19</f>
        <v>0</v>
      </c>
      <c r="W40" s="11">
        <f>'Working Capital'!W19</f>
        <v>0</v>
      </c>
      <c r="X40" s="11">
        <f t="shared" si="10"/>
        <v>0</v>
      </c>
      <c r="Y40" s="11">
        <f t="shared" si="11"/>
        <v>0</v>
      </c>
      <c r="Z40" s="11">
        <f t="shared" si="12"/>
        <v>0</v>
      </c>
      <c r="AA40" s="11">
        <f t="shared" si="13"/>
        <v>0</v>
      </c>
      <c r="AB40" s="11">
        <f t="shared" si="14"/>
        <v>0</v>
      </c>
    </row>
    <row r="41" spans="1:28" x14ac:dyDescent="0.3">
      <c r="A41" s="33" t="s">
        <v>230</v>
      </c>
      <c r="B41" s="33" t="s">
        <v>231</v>
      </c>
      <c r="C41" s="34">
        <f>'Debt Schedule'!C7</f>
        <v>30000</v>
      </c>
      <c r="D41" s="34">
        <f>'Debt Schedule'!D7</f>
        <v>30000</v>
      </c>
      <c r="E41" s="34">
        <f>'Debt Schedule'!E7</f>
        <v>28500</v>
      </c>
      <c r="F41" s="34">
        <f>'Debt Schedule'!F7</f>
        <v>27000</v>
      </c>
      <c r="G41" s="34">
        <f>'Debt Schedule'!G7</f>
        <v>25500</v>
      </c>
      <c r="H41" s="34">
        <f>'Debt Schedule'!H7</f>
        <v>24000</v>
      </c>
      <c r="I41" s="34">
        <f>'Debt Schedule'!I7</f>
        <v>22500</v>
      </c>
      <c r="J41" s="34">
        <f>'Debt Schedule'!J7</f>
        <v>21000</v>
      </c>
      <c r="K41" s="34">
        <f>'Debt Schedule'!K7</f>
        <v>19500</v>
      </c>
      <c r="L41" s="34">
        <f>'Debt Schedule'!L7</f>
        <v>18000</v>
      </c>
      <c r="M41" s="34">
        <f>'Debt Schedule'!M7</f>
        <v>16500</v>
      </c>
      <c r="N41" s="34">
        <f>'Debt Schedule'!N7</f>
        <v>15000</v>
      </c>
      <c r="O41" s="34">
        <f>'Debt Schedule'!O7</f>
        <v>13500</v>
      </c>
      <c r="P41" s="34">
        <f>'Debt Schedule'!P7</f>
        <v>12000</v>
      </c>
      <c r="Q41" s="34">
        <f>'Debt Schedule'!Q7</f>
        <v>10500</v>
      </c>
      <c r="R41" s="34">
        <f>'Debt Schedule'!R7</f>
        <v>9000</v>
      </c>
      <c r="S41" s="34">
        <f>'Debt Schedule'!S7</f>
        <v>7500</v>
      </c>
      <c r="T41" s="34">
        <f>'Debt Schedule'!T7</f>
        <v>6000</v>
      </c>
      <c r="U41" s="34">
        <f>'Debt Schedule'!U7</f>
        <v>4500</v>
      </c>
      <c r="V41" s="34">
        <f>'Debt Schedule'!V7</f>
        <v>3000</v>
      </c>
      <c r="W41" s="34">
        <f>'Debt Schedule'!W7</f>
        <v>1500</v>
      </c>
      <c r="X41" s="34">
        <f t="shared" si="10"/>
        <v>25500</v>
      </c>
      <c r="Y41" s="34">
        <f t="shared" si="11"/>
        <v>19500</v>
      </c>
      <c r="Z41" s="34">
        <f t="shared" si="12"/>
        <v>13500</v>
      </c>
      <c r="AA41" s="34">
        <f t="shared" si="13"/>
        <v>7500</v>
      </c>
      <c r="AB41" s="34">
        <f t="shared" si="14"/>
        <v>1500</v>
      </c>
    </row>
    <row r="42" spans="1:28" x14ac:dyDescent="0.3">
      <c r="A42" s="33" t="s">
        <v>159</v>
      </c>
      <c r="B42" s="33" t="s">
        <v>231</v>
      </c>
      <c r="C42" s="34">
        <f>'Debt Schedule'!C8</f>
        <v>0</v>
      </c>
      <c r="D42" s="34">
        <f>'Debt Schedule'!D8</f>
        <v>0</v>
      </c>
      <c r="E42" s="34">
        <f>'Debt Schedule'!E8</f>
        <v>0</v>
      </c>
      <c r="F42" s="34">
        <f>'Debt Schedule'!F8</f>
        <v>0</v>
      </c>
      <c r="G42" s="34">
        <f>'Debt Schedule'!G8</f>
        <v>0</v>
      </c>
      <c r="H42" s="34">
        <f>'Debt Schedule'!H8</f>
        <v>0</v>
      </c>
      <c r="I42" s="34">
        <f>'Debt Schedule'!I8</f>
        <v>0</v>
      </c>
      <c r="J42" s="34">
        <f>'Debt Schedule'!J8</f>
        <v>0</v>
      </c>
      <c r="K42" s="34">
        <f>'Debt Schedule'!K8</f>
        <v>0</v>
      </c>
      <c r="L42" s="34">
        <f>'Debt Schedule'!L8</f>
        <v>0</v>
      </c>
      <c r="M42" s="34">
        <f>'Debt Schedule'!M8</f>
        <v>0</v>
      </c>
      <c r="N42" s="34">
        <f>'Debt Schedule'!N8</f>
        <v>0</v>
      </c>
      <c r="O42" s="34">
        <f>'Debt Schedule'!O8</f>
        <v>0</v>
      </c>
      <c r="P42" s="34">
        <f>'Debt Schedule'!P8</f>
        <v>0</v>
      </c>
      <c r="Q42" s="34">
        <f>'Debt Schedule'!Q8</f>
        <v>0</v>
      </c>
      <c r="R42" s="34">
        <f>'Debt Schedule'!R8</f>
        <v>0</v>
      </c>
      <c r="S42" s="34">
        <f>'Debt Schedule'!S8</f>
        <v>0</v>
      </c>
      <c r="T42" s="34">
        <f>'Debt Schedule'!T8</f>
        <v>0</v>
      </c>
      <c r="U42" s="34">
        <f>'Debt Schedule'!U8</f>
        <v>0</v>
      </c>
      <c r="V42" s="34">
        <f>'Debt Schedule'!V8</f>
        <v>0</v>
      </c>
      <c r="W42" s="34">
        <f>'Debt Schedule'!W8</f>
        <v>0</v>
      </c>
      <c r="X42" s="34">
        <f>SUM(D42:G42)</f>
        <v>0</v>
      </c>
      <c r="Y42" s="34">
        <f>SUM(H42:K42)</f>
        <v>0</v>
      </c>
      <c r="Z42" s="34">
        <f>SUM(L42:O42)</f>
        <v>0</v>
      </c>
      <c r="AA42" s="34">
        <f>SUM(P42:S42)</f>
        <v>0</v>
      </c>
      <c r="AB42" s="34">
        <f>SUM(T42:W42)</f>
        <v>0</v>
      </c>
    </row>
    <row r="43" spans="1:28" x14ac:dyDescent="0.3">
      <c r="A43" s="33" t="s">
        <v>75</v>
      </c>
      <c r="B43" s="33" t="s">
        <v>231</v>
      </c>
      <c r="C43" s="34">
        <f>'Debt Schedule'!C10</f>
        <v>0</v>
      </c>
      <c r="D43" s="34">
        <f>'Debt Schedule'!D10</f>
        <v>1500</v>
      </c>
      <c r="E43" s="34">
        <f>'Debt Schedule'!E10</f>
        <v>1500</v>
      </c>
      <c r="F43" s="34">
        <f>'Debt Schedule'!F10</f>
        <v>1500</v>
      </c>
      <c r="G43" s="34">
        <f>'Debt Schedule'!G10</f>
        <v>1500</v>
      </c>
      <c r="H43" s="34">
        <f>'Debt Schedule'!H10</f>
        <v>1500</v>
      </c>
      <c r="I43" s="34">
        <f>'Debt Schedule'!I10</f>
        <v>1500</v>
      </c>
      <c r="J43" s="34">
        <f>'Debt Schedule'!J10</f>
        <v>1500</v>
      </c>
      <c r="K43" s="34">
        <f>'Debt Schedule'!K10</f>
        <v>1500</v>
      </c>
      <c r="L43" s="34">
        <f>'Debt Schedule'!L10</f>
        <v>1500</v>
      </c>
      <c r="M43" s="34">
        <f>'Debt Schedule'!M10</f>
        <v>1500</v>
      </c>
      <c r="N43" s="34">
        <f>'Debt Schedule'!N10</f>
        <v>1500</v>
      </c>
      <c r="O43" s="34">
        <f>'Debt Schedule'!O10</f>
        <v>1500</v>
      </c>
      <c r="P43" s="34">
        <f>'Debt Schedule'!P10</f>
        <v>1500</v>
      </c>
      <c r="Q43" s="34">
        <f>'Debt Schedule'!Q10</f>
        <v>1500</v>
      </c>
      <c r="R43" s="34">
        <f>'Debt Schedule'!R10</f>
        <v>1500</v>
      </c>
      <c r="S43" s="34">
        <f>'Debt Schedule'!S10</f>
        <v>1500</v>
      </c>
      <c r="T43" s="34">
        <f>'Debt Schedule'!T10</f>
        <v>1500</v>
      </c>
      <c r="U43" s="34">
        <f>'Debt Schedule'!U10</f>
        <v>1500</v>
      </c>
      <c r="V43" s="34">
        <f>'Debt Schedule'!V10</f>
        <v>1500</v>
      </c>
      <c r="W43" s="34">
        <f>'Debt Schedule'!W10</f>
        <v>1500</v>
      </c>
      <c r="X43" s="34">
        <f>SUM(D43:G43)</f>
        <v>6000</v>
      </c>
      <c r="Y43" s="34">
        <f>SUM(H43:K43)</f>
        <v>6000</v>
      </c>
      <c r="Z43" s="34">
        <f>SUM(L43:O43)</f>
        <v>6000</v>
      </c>
      <c r="AA43" s="34">
        <f>SUM(P43:S43)</f>
        <v>6000</v>
      </c>
      <c r="AB43" s="34">
        <f>SUM(T43:W43)</f>
        <v>6000</v>
      </c>
    </row>
    <row r="44" spans="1:28" x14ac:dyDescent="0.3">
      <c r="A44" s="33" t="s">
        <v>232</v>
      </c>
      <c r="B44" s="33" t="s">
        <v>231</v>
      </c>
      <c r="C44" s="34">
        <f>'Debt Schedule'!C11</f>
        <v>30000</v>
      </c>
      <c r="D44" s="34">
        <f>'Debt Schedule'!D11</f>
        <v>28500</v>
      </c>
      <c r="E44" s="34">
        <f>'Debt Schedule'!E11</f>
        <v>27000</v>
      </c>
      <c r="F44" s="34">
        <f>'Debt Schedule'!F11</f>
        <v>25500</v>
      </c>
      <c r="G44" s="34">
        <f>'Debt Schedule'!G11</f>
        <v>24000</v>
      </c>
      <c r="H44" s="34">
        <f>'Debt Schedule'!H11</f>
        <v>22500</v>
      </c>
      <c r="I44" s="34">
        <f>'Debt Schedule'!I11</f>
        <v>21000</v>
      </c>
      <c r="J44" s="34">
        <f>'Debt Schedule'!J11</f>
        <v>19500</v>
      </c>
      <c r="K44" s="34">
        <f>'Debt Schedule'!K11</f>
        <v>18000</v>
      </c>
      <c r="L44" s="34">
        <f>'Debt Schedule'!L11</f>
        <v>16500</v>
      </c>
      <c r="M44" s="34">
        <f>'Debt Schedule'!M11</f>
        <v>15000</v>
      </c>
      <c r="N44" s="34">
        <f>'Debt Schedule'!N11</f>
        <v>13500</v>
      </c>
      <c r="O44" s="34">
        <f>'Debt Schedule'!O11</f>
        <v>12000</v>
      </c>
      <c r="P44" s="34">
        <f>'Debt Schedule'!P11</f>
        <v>10500</v>
      </c>
      <c r="Q44" s="34">
        <f>'Debt Schedule'!Q11</f>
        <v>9000</v>
      </c>
      <c r="R44" s="34">
        <f>'Debt Schedule'!R11</f>
        <v>7500</v>
      </c>
      <c r="S44" s="34">
        <f>'Debt Schedule'!S11</f>
        <v>6000</v>
      </c>
      <c r="T44" s="34">
        <f>'Debt Schedule'!T11</f>
        <v>4500</v>
      </c>
      <c r="U44" s="34">
        <f>'Debt Schedule'!U11</f>
        <v>3000</v>
      </c>
      <c r="V44" s="34">
        <f>'Debt Schedule'!V11</f>
        <v>1500</v>
      </c>
      <c r="W44" s="34">
        <f>'Debt Schedule'!W11</f>
        <v>0</v>
      </c>
      <c r="X44" s="34">
        <f>G44</f>
        <v>24000</v>
      </c>
      <c r="Y44" s="34">
        <f>K44</f>
        <v>18000</v>
      </c>
      <c r="Z44" s="34">
        <f>O44</f>
        <v>12000</v>
      </c>
      <c r="AA44" s="34">
        <f>S44</f>
        <v>6000</v>
      </c>
      <c r="AB44" s="34">
        <f>W44</f>
        <v>0</v>
      </c>
    </row>
    <row r="45" spans="1:28" x14ac:dyDescent="0.3">
      <c r="A45" s="33" t="s">
        <v>173</v>
      </c>
      <c r="B45" s="33" t="s">
        <v>231</v>
      </c>
      <c r="C45" s="34">
        <f>'Debt Schedule'!C18</f>
        <v>0</v>
      </c>
      <c r="D45" s="34">
        <f>'Debt Schedule'!D18</f>
        <v>0</v>
      </c>
      <c r="E45" s="34">
        <f>'Debt Schedule'!E18</f>
        <v>0</v>
      </c>
      <c r="F45" s="34">
        <f>'Debt Schedule'!F18</f>
        <v>0</v>
      </c>
      <c r="G45" s="34">
        <f>'Debt Schedule'!G18</f>
        <v>0</v>
      </c>
      <c r="H45" s="34">
        <f>'Debt Schedule'!H18</f>
        <v>0</v>
      </c>
      <c r="I45" s="34">
        <f>'Debt Schedule'!I18</f>
        <v>0</v>
      </c>
      <c r="J45" s="34">
        <f>'Debt Schedule'!J18</f>
        <v>0</v>
      </c>
      <c r="K45" s="34">
        <f>'Debt Schedule'!K18</f>
        <v>0</v>
      </c>
      <c r="L45" s="34">
        <f>'Debt Schedule'!L18</f>
        <v>0</v>
      </c>
      <c r="M45" s="34">
        <f>'Debt Schedule'!M18</f>
        <v>0</v>
      </c>
      <c r="N45" s="34">
        <f>'Debt Schedule'!N18</f>
        <v>0</v>
      </c>
      <c r="O45" s="34">
        <f>'Debt Schedule'!O18</f>
        <v>0</v>
      </c>
      <c r="P45" s="34">
        <f>'Debt Schedule'!P18</f>
        <v>0</v>
      </c>
      <c r="Q45" s="34">
        <f>'Debt Schedule'!Q18</f>
        <v>0</v>
      </c>
      <c r="R45" s="34">
        <f>'Debt Schedule'!R18</f>
        <v>0</v>
      </c>
      <c r="S45" s="34">
        <f>'Debt Schedule'!S18</f>
        <v>0</v>
      </c>
      <c r="T45" s="34">
        <f>'Debt Schedule'!T18</f>
        <v>0</v>
      </c>
      <c r="U45" s="34">
        <f>'Debt Schedule'!U18</f>
        <v>0</v>
      </c>
      <c r="V45" s="34">
        <f>'Debt Schedule'!V18</f>
        <v>0</v>
      </c>
      <c r="W45" s="34">
        <f>'Debt Schedule'!W18</f>
        <v>0</v>
      </c>
      <c r="X45" s="34">
        <f>G45</f>
        <v>0</v>
      </c>
      <c r="Y45" s="34">
        <f>K45</f>
        <v>0</v>
      </c>
      <c r="Z45" s="34">
        <f>O45</f>
        <v>0</v>
      </c>
      <c r="AA45" s="34">
        <f>S45</f>
        <v>0</v>
      </c>
      <c r="AB45" s="34">
        <f>W45</f>
        <v>0</v>
      </c>
    </row>
    <row r="46" spans="1:28" x14ac:dyDescent="0.3">
      <c r="A46" s="33" t="s">
        <v>176</v>
      </c>
      <c r="B46" s="33" t="s">
        <v>231</v>
      </c>
      <c r="C46" s="34">
        <f>'Debt Schedule'!C20</f>
        <v>0</v>
      </c>
      <c r="D46" s="34">
        <f>'Debt Schedule'!D20</f>
        <v>0</v>
      </c>
      <c r="E46" s="34">
        <f>'Debt Schedule'!E20</f>
        <v>0</v>
      </c>
      <c r="F46" s="34">
        <f>'Debt Schedule'!F20</f>
        <v>0</v>
      </c>
      <c r="G46" s="34">
        <f>'Debt Schedule'!G20</f>
        <v>0</v>
      </c>
      <c r="H46" s="34">
        <f>'Debt Schedule'!H20</f>
        <v>0</v>
      </c>
      <c r="I46" s="34">
        <f>'Debt Schedule'!I20</f>
        <v>0</v>
      </c>
      <c r="J46" s="34">
        <f>'Debt Schedule'!J20</f>
        <v>0</v>
      </c>
      <c r="K46" s="34">
        <f>'Debt Schedule'!K20</f>
        <v>0</v>
      </c>
      <c r="L46" s="34">
        <f>'Debt Schedule'!L20</f>
        <v>0</v>
      </c>
      <c r="M46" s="34">
        <f>'Debt Schedule'!M20</f>
        <v>0</v>
      </c>
      <c r="N46" s="34">
        <f>'Debt Schedule'!N20</f>
        <v>0</v>
      </c>
      <c r="O46" s="34">
        <f>'Debt Schedule'!O20</f>
        <v>0</v>
      </c>
      <c r="P46" s="34">
        <f>'Debt Schedule'!P20</f>
        <v>0</v>
      </c>
      <c r="Q46" s="34">
        <f>'Debt Schedule'!Q20</f>
        <v>0</v>
      </c>
      <c r="R46" s="34">
        <f>'Debt Schedule'!R20</f>
        <v>0</v>
      </c>
      <c r="S46" s="34">
        <f>'Debt Schedule'!S20</f>
        <v>0</v>
      </c>
      <c r="T46" s="34">
        <f>'Debt Schedule'!T20</f>
        <v>0</v>
      </c>
      <c r="U46" s="34">
        <f>'Debt Schedule'!U20</f>
        <v>0</v>
      </c>
      <c r="V46" s="34">
        <f>'Debt Schedule'!V20</f>
        <v>0</v>
      </c>
      <c r="W46" s="34">
        <f>'Debt Schedule'!W20</f>
        <v>0</v>
      </c>
      <c r="X46" s="34">
        <f>SUM(D46:G46)</f>
        <v>0</v>
      </c>
      <c r="Y46" s="34">
        <f>SUM(H46:K46)</f>
        <v>0</v>
      </c>
      <c r="Z46" s="34">
        <f>SUM(L46:O46)</f>
        <v>0</v>
      </c>
      <c r="AA46" s="34">
        <f>SUM(P46:S46)</f>
        <v>0</v>
      </c>
      <c r="AB46" s="34">
        <f>SUM(T46:W46)</f>
        <v>0</v>
      </c>
    </row>
    <row r="47" spans="1:28" x14ac:dyDescent="0.3">
      <c r="A47" s="33" t="s">
        <v>177</v>
      </c>
      <c r="B47" s="33" t="s">
        <v>231</v>
      </c>
      <c r="C47" s="34">
        <f>'Debt Schedule'!C21</f>
        <v>0</v>
      </c>
      <c r="D47" s="34">
        <f>'Debt Schedule'!D21</f>
        <v>0</v>
      </c>
      <c r="E47" s="34">
        <f>'Debt Schedule'!E21</f>
        <v>0</v>
      </c>
      <c r="F47" s="34">
        <f>'Debt Schedule'!F21</f>
        <v>0</v>
      </c>
      <c r="G47" s="34">
        <f>'Debt Schedule'!G21</f>
        <v>0</v>
      </c>
      <c r="H47" s="34">
        <f>'Debt Schedule'!H21</f>
        <v>0</v>
      </c>
      <c r="I47" s="34">
        <f>'Debt Schedule'!I21</f>
        <v>0</v>
      </c>
      <c r="J47" s="34">
        <f>'Debt Schedule'!J21</f>
        <v>0</v>
      </c>
      <c r="K47" s="34">
        <f>'Debt Schedule'!K21</f>
        <v>0</v>
      </c>
      <c r="L47" s="34">
        <f>'Debt Schedule'!L21</f>
        <v>0</v>
      </c>
      <c r="M47" s="34">
        <f>'Debt Schedule'!M21</f>
        <v>0</v>
      </c>
      <c r="N47" s="34">
        <f>'Debt Schedule'!N21</f>
        <v>0</v>
      </c>
      <c r="O47" s="34">
        <f>'Debt Schedule'!O21</f>
        <v>0</v>
      </c>
      <c r="P47" s="34">
        <f>'Debt Schedule'!P21</f>
        <v>0</v>
      </c>
      <c r="Q47" s="34">
        <f>'Debt Schedule'!Q21</f>
        <v>0</v>
      </c>
      <c r="R47" s="34">
        <f>'Debt Schedule'!R21</f>
        <v>0</v>
      </c>
      <c r="S47" s="34">
        <f>'Debt Schedule'!S21</f>
        <v>0</v>
      </c>
      <c r="T47" s="34">
        <f>'Debt Schedule'!T21</f>
        <v>0</v>
      </c>
      <c r="U47" s="34">
        <f>'Debt Schedule'!U21</f>
        <v>0</v>
      </c>
      <c r="V47" s="34">
        <f>'Debt Schedule'!V21</f>
        <v>0</v>
      </c>
      <c r="W47" s="34">
        <f>'Debt Schedule'!W21</f>
        <v>0</v>
      </c>
      <c r="X47" s="34">
        <f>SUM(D47:G47)</f>
        <v>0</v>
      </c>
      <c r="Y47" s="34">
        <f>SUM(H47:K47)</f>
        <v>0</v>
      </c>
      <c r="Z47" s="34">
        <f>SUM(L47:O47)</f>
        <v>0</v>
      </c>
      <c r="AA47" s="34">
        <f>SUM(P47:S47)</f>
        <v>0</v>
      </c>
      <c r="AB47" s="34">
        <f>SUM(T47:W47)</f>
        <v>0</v>
      </c>
    </row>
    <row r="48" spans="1:28" x14ac:dyDescent="0.3">
      <c r="A48" s="33" t="s">
        <v>178</v>
      </c>
      <c r="B48" s="33" t="s">
        <v>231</v>
      </c>
      <c r="C48" s="34">
        <f>'Debt Schedule'!C22</f>
        <v>0</v>
      </c>
      <c r="D48" s="34">
        <f>'Debt Schedule'!D22</f>
        <v>0</v>
      </c>
      <c r="E48" s="34">
        <f>'Debt Schedule'!E22</f>
        <v>0</v>
      </c>
      <c r="F48" s="34">
        <f>'Debt Schedule'!F22</f>
        <v>0</v>
      </c>
      <c r="G48" s="34">
        <f>'Debt Schedule'!G22</f>
        <v>0</v>
      </c>
      <c r="H48" s="34">
        <f>'Debt Schedule'!H22</f>
        <v>0</v>
      </c>
      <c r="I48" s="34">
        <f>'Debt Schedule'!I22</f>
        <v>0</v>
      </c>
      <c r="J48" s="34">
        <f>'Debt Schedule'!J22</f>
        <v>0</v>
      </c>
      <c r="K48" s="34">
        <f>'Debt Schedule'!K22</f>
        <v>0</v>
      </c>
      <c r="L48" s="34">
        <f>'Debt Schedule'!L22</f>
        <v>0</v>
      </c>
      <c r="M48" s="34">
        <f>'Debt Schedule'!M22</f>
        <v>0</v>
      </c>
      <c r="N48" s="34">
        <f>'Debt Schedule'!N22</f>
        <v>0</v>
      </c>
      <c r="O48" s="34">
        <f>'Debt Schedule'!O22</f>
        <v>0</v>
      </c>
      <c r="P48" s="34">
        <f>'Debt Schedule'!P22</f>
        <v>0</v>
      </c>
      <c r="Q48" s="34">
        <f>'Debt Schedule'!Q22</f>
        <v>0</v>
      </c>
      <c r="R48" s="34">
        <f>'Debt Schedule'!R22</f>
        <v>0</v>
      </c>
      <c r="S48" s="34">
        <f>'Debt Schedule'!S22</f>
        <v>0</v>
      </c>
      <c r="T48" s="34">
        <f>'Debt Schedule'!T22</f>
        <v>0</v>
      </c>
      <c r="U48" s="34">
        <f>'Debt Schedule'!U22</f>
        <v>0</v>
      </c>
      <c r="V48" s="34">
        <f>'Debt Schedule'!V22</f>
        <v>0</v>
      </c>
      <c r="W48" s="34">
        <f>'Debt Schedule'!W22</f>
        <v>0</v>
      </c>
      <c r="X48" s="34">
        <f>SUM(D48:G48)</f>
        <v>0</v>
      </c>
      <c r="Y48" s="34">
        <f>SUM(H48:K48)</f>
        <v>0</v>
      </c>
      <c r="Z48" s="34">
        <f>SUM(L48:O48)</f>
        <v>0</v>
      </c>
      <c r="AA48" s="34">
        <f>SUM(P48:S48)</f>
        <v>0</v>
      </c>
      <c r="AB48" s="34">
        <f>SUM(T48:W48)</f>
        <v>0</v>
      </c>
    </row>
    <row r="49" spans="1:28" x14ac:dyDescent="0.3">
      <c r="A49" s="33" t="s">
        <v>179</v>
      </c>
      <c r="B49" s="33" t="s">
        <v>231</v>
      </c>
      <c r="C49" s="34">
        <f>'Debt Schedule'!C23</f>
        <v>0</v>
      </c>
      <c r="D49" s="34">
        <f>'Debt Schedule'!D23</f>
        <v>0</v>
      </c>
      <c r="E49" s="34">
        <f>'Debt Schedule'!E23</f>
        <v>0</v>
      </c>
      <c r="F49" s="34">
        <f>'Debt Schedule'!F23</f>
        <v>0</v>
      </c>
      <c r="G49" s="34">
        <f>'Debt Schedule'!G23</f>
        <v>0</v>
      </c>
      <c r="H49" s="34">
        <f>'Debt Schedule'!H23</f>
        <v>0</v>
      </c>
      <c r="I49" s="34">
        <f>'Debt Schedule'!I23</f>
        <v>0</v>
      </c>
      <c r="J49" s="34">
        <f>'Debt Schedule'!J23</f>
        <v>0</v>
      </c>
      <c r="K49" s="34">
        <f>'Debt Schedule'!K23</f>
        <v>0</v>
      </c>
      <c r="L49" s="34">
        <f>'Debt Schedule'!L23</f>
        <v>0</v>
      </c>
      <c r="M49" s="34">
        <f>'Debt Schedule'!M23</f>
        <v>0</v>
      </c>
      <c r="N49" s="34">
        <f>'Debt Schedule'!N23</f>
        <v>0</v>
      </c>
      <c r="O49" s="34">
        <f>'Debt Schedule'!O23</f>
        <v>0</v>
      </c>
      <c r="P49" s="34">
        <f>'Debt Schedule'!P23</f>
        <v>0</v>
      </c>
      <c r="Q49" s="34">
        <f>'Debt Schedule'!Q23</f>
        <v>0</v>
      </c>
      <c r="R49" s="34">
        <f>'Debt Schedule'!R23</f>
        <v>0</v>
      </c>
      <c r="S49" s="34">
        <f>'Debt Schedule'!S23</f>
        <v>0</v>
      </c>
      <c r="T49" s="34">
        <f>'Debt Schedule'!T23</f>
        <v>0</v>
      </c>
      <c r="U49" s="34">
        <f>'Debt Schedule'!U23</f>
        <v>0</v>
      </c>
      <c r="V49" s="34">
        <f>'Debt Schedule'!V23</f>
        <v>0</v>
      </c>
      <c r="W49" s="34">
        <f>'Debt Schedule'!W23</f>
        <v>0</v>
      </c>
      <c r="X49" s="34">
        <f>G49</f>
        <v>0</v>
      </c>
      <c r="Y49" s="34">
        <f>K49</f>
        <v>0</v>
      </c>
      <c r="Z49" s="34">
        <f>O49</f>
        <v>0</v>
      </c>
      <c r="AA49" s="34">
        <f>S49</f>
        <v>0</v>
      </c>
      <c r="AB49" s="34">
        <f>W49</f>
        <v>0</v>
      </c>
    </row>
    <row r="50" spans="1:28" x14ac:dyDescent="0.3">
      <c r="A50" s="33" t="s">
        <v>233</v>
      </c>
      <c r="B50" s="33" t="s">
        <v>231</v>
      </c>
      <c r="C50" s="34">
        <f>'Debt Schedule'!C26</f>
        <v>0</v>
      </c>
      <c r="D50" s="34">
        <f>'Debt Schedule'!D26</f>
        <v>0</v>
      </c>
      <c r="E50" s="34">
        <f>'Debt Schedule'!E26</f>
        <v>0</v>
      </c>
      <c r="F50" s="34">
        <f>'Debt Schedule'!F26</f>
        <v>0</v>
      </c>
      <c r="G50" s="34">
        <f>'Debt Schedule'!G26</f>
        <v>0</v>
      </c>
      <c r="H50" s="34">
        <f>'Debt Schedule'!H26</f>
        <v>0</v>
      </c>
      <c r="I50" s="34">
        <f>'Debt Schedule'!I26</f>
        <v>0</v>
      </c>
      <c r="J50" s="34">
        <f>'Debt Schedule'!J26</f>
        <v>0</v>
      </c>
      <c r="K50" s="34">
        <f>'Debt Schedule'!K26</f>
        <v>0</v>
      </c>
      <c r="L50" s="34">
        <f>'Debt Schedule'!L26</f>
        <v>0</v>
      </c>
      <c r="M50" s="34">
        <f>'Debt Schedule'!M26</f>
        <v>0</v>
      </c>
      <c r="N50" s="34">
        <f>'Debt Schedule'!N26</f>
        <v>0</v>
      </c>
      <c r="O50" s="34">
        <f>'Debt Schedule'!O26</f>
        <v>0</v>
      </c>
      <c r="P50" s="34">
        <f>'Debt Schedule'!P26</f>
        <v>0</v>
      </c>
      <c r="Q50" s="34">
        <f>'Debt Schedule'!Q26</f>
        <v>0</v>
      </c>
      <c r="R50" s="34">
        <f>'Debt Schedule'!R26</f>
        <v>0</v>
      </c>
      <c r="S50" s="34">
        <f>'Debt Schedule'!S26</f>
        <v>0</v>
      </c>
      <c r="T50" s="34">
        <f>'Debt Schedule'!T26</f>
        <v>0</v>
      </c>
      <c r="U50" s="34">
        <f>'Debt Schedule'!U26</f>
        <v>0</v>
      </c>
      <c r="V50" s="34">
        <f>'Debt Schedule'!V26</f>
        <v>0</v>
      </c>
      <c r="W50" s="34">
        <f>'Debt Schedule'!W26</f>
        <v>0</v>
      </c>
      <c r="X50" s="34">
        <f>G50</f>
        <v>0</v>
      </c>
      <c r="Y50" s="34">
        <f>K50</f>
        <v>0</v>
      </c>
      <c r="Z50" s="34">
        <f>O50</f>
        <v>0</v>
      </c>
      <c r="AA50" s="34">
        <f>S50</f>
        <v>0</v>
      </c>
      <c r="AB50" s="34">
        <f>W50</f>
        <v>0</v>
      </c>
    </row>
    <row r="51" spans="1:28" x14ac:dyDescent="0.3">
      <c r="A51" s="33" t="s">
        <v>181</v>
      </c>
      <c r="B51" s="33" t="s">
        <v>231</v>
      </c>
      <c r="C51" s="34">
        <f>'Debt Schedule'!C25</f>
        <v>0</v>
      </c>
      <c r="D51" s="34">
        <f>'Debt Schedule'!D25</f>
        <v>0</v>
      </c>
      <c r="E51" s="34">
        <f>'Debt Schedule'!E25</f>
        <v>0</v>
      </c>
      <c r="F51" s="34">
        <f>'Debt Schedule'!F25</f>
        <v>0</v>
      </c>
      <c r="G51" s="34">
        <f>'Debt Schedule'!G25</f>
        <v>0</v>
      </c>
      <c r="H51" s="34">
        <f>'Debt Schedule'!H25</f>
        <v>0</v>
      </c>
      <c r="I51" s="34">
        <f>'Debt Schedule'!I25</f>
        <v>0</v>
      </c>
      <c r="J51" s="34">
        <f>'Debt Schedule'!J25</f>
        <v>0</v>
      </c>
      <c r="K51" s="34">
        <f>'Debt Schedule'!K25</f>
        <v>0</v>
      </c>
      <c r="L51" s="34">
        <f>'Debt Schedule'!L25</f>
        <v>0</v>
      </c>
      <c r="M51" s="34">
        <f>'Debt Schedule'!M25</f>
        <v>0</v>
      </c>
      <c r="N51" s="34">
        <f>'Debt Schedule'!N25</f>
        <v>0</v>
      </c>
      <c r="O51" s="34">
        <f>'Debt Schedule'!O25</f>
        <v>0</v>
      </c>
      <c r="P51" s="34">
        <f>'Debt Schedule'!P25</f>
        <v>0</v>
      </c>
      <c r="Q51" s="34">
        <f>'Debt Schedule'!Q25</f>
        <v>0</v>
      </c>
      <c r="R51" s="34">
        <f>'Debt Schedule'!R25</f>
        <v>0</v>
      </c>
      <c r="S51" s="34">
        <f>'Debt Schedule'!S25</f>
        <v>0</v>
      </c>
      <c r="T51" s="34">
        <f>'Debt Schedule'!T25</f>
        <v>0</v>
      </c>
      <c r="U51" s="34">
        <f>'Debt Schedule'!U25</f>
        <v>0</v>
      </c>
      <c r="V51" s="34">
        <f>'Debt Schedule'!V25</f>
        <v>0</v>
      </c>
      <c r="W51" s="34">
        <f>'Debt Schedule'!W25</f>
        <v>0</v>
      </c>
      <c r="X51" s="34">
        <f>SUM(D51:G51)</f>
        <v>0</v>
      </c>
      <c r="Y51" s="34">
        <f>SUM(H51:K51)</f>
        <v>0</v>
      </c>
      <c r="Z51" s="34">
        <f>SUM(L51:O51)</f>
        <v>0</v>
      </c>
      <c r="AA51" s="34">
        <f>SUM(P51:S51)</f>
        <v>0</v>
      </c>
      <c r="AB51" s="34">
        <f>SUM(T51:W51)</f>
        <v>0</v>
      </c>
    </row>
    <row r="52" spans="1:28" x14ac:dyDescent="0.3">
      <c r="A52" s="7" t="s">
        <v>72</v>
      </c>
      <c r="B52" s="7" t="s">
        <v>234</v>
      </c>
      <c r="C52" s="11">
        <f>'CapEx Depreciation'!C8</f>
        <v>0</v>
      </c>
      <c r="D52" s="11">
        <f>'CapEx Depreciation'!D8</f>
        <v>200</v>
      </c>
      <c r="E52" s="11">
        <f>'CapEx Depreciation'!E8</f>
        <v>200.95</v>
      </c>
      <c r="F52" s="11">
        <f>'CapEx Depreciation'!F8</f>
        <v>201.85447600000001</v>
      </c>
      <c r="G52" s="11">
        <f>'CapEx Depreciation'!G8</f>
        <v>202.712963</v>
      </c>
      <c r="H52" s="11">
        <f>'CapEx Depreciation'!H8</f>
        <v>203.52523400000001</v>
      </c>
      <c r="I52" s="11">
        <f>'CapEx Depreciation'!I8</f>
        <v>204.29069200000001</v>
      </c>
      <c r="J52" s="11">
        <f>'CapEx Depreciation'!J8</f>
        <v>205.00877399999999</v>
      </c>
      <c r="K52" s="11">
        <f>'CapEx Depreciation'!K8</f>
        <v>205.67915300000001</v>
      </c>
      <c r="L52" s="11">
        <f>'CapEx Depreciation'!L8</f>
        <v>206.30153799999999</v>
      </c>
      <c r="M52" s="11">
        <f>'CapEx Depreciation'!M8</f>
        <v>206.87546900000001</v>
      </c>
      <c r="N52" s="11">
        <f>'CapEx Depreciation'!N8</f>
        <v>207.400519</v>
      </c>
      <c r="O52" s="11">
        <f>'CapEx Depreciation'!O8</f>
        <v>207.876295</v>
      </c>
      <c r="P52" s="11">
        <f>'CapEx Depreciation'!P8</f>
        <v>208.30265</v>
      </c>
      <c r="Q52" s="11">
        <f>'CapEx Depreciation'!Q8</f>
        <v>208.67905300000001</v>
      </c>
      <c r="R52" s="11">
        <f>'CapEx Depreciation'!R8</f>
        <v>209.005009</v>
      </c>
      <c r="S52" s="11">
        <f>'CapEx Depreciation'!S8</f>
        <v>209.28047799999999</v>
      </c>
      <c r="T52" s="11">
        <f>'CapEx Depreciation'!T8</f>
        <v>209.50503599999999</v>
      </c>
      <c r="U52" s="11">
        <f>'CapEx Depreciation'!U8</f>
        <v>209.67829699999999</v>
      </c>
      <c r="V52" s="11">
        <f>'CapEx Depreciation'!V8</f>
        <v>209.79991000000001</v>
      </c>
      <c r="W52" s="11">
        <f>'CapEx Depreciation'!W8</f>
        <v>209.86977300000001</v>
      </c>
      <c r="X52" s="11">
        <f>SUM(D52:G52)</f>
        <v>805.51743899999997</v>
      </c>
      <c r="Y52" s="11">
        <f>SUM(H52:K52)</f>
        <v>818.50385300000005</v>
      </c>
      <c r="Z52" s="11">
        <f>SUM(L52:O52)</f>
        <v>828.45382100000006</v>
      </c>
      <c r="AA52" s="11">
        <f>SUM(P52:S52)</f>
        <v>835.26719000000003</v>
      </c>
      <c r="AB52" s="11">
        <f>SUM(T52:W52)</f>
        <v>838.85301599999991</v>
      </c>
    </row>
    <row r="53" spans="1:28" x14ac:dyDescent="0.3">
      <c r="A53" s="7" t="s">
        <v>235</v>
      </c>
      <c r="B53" s="7" t="s">
        <v>234</v>
      </c>
      <c r="C53" s="11">
        <f>'CapEx Depreciation'!C12</f>
        <v>40000</v>
      </c>
      <c r="D53" s="11">
        <f>'CapEx Depreciation'!D12</f>
        <v>40190</v>
      </c>
      <c r="E53" s="11">
        <f>'CapEx Depreciation'!E12</f>
        <v>40370.895189999996</v>
      </c>
      <c r="F53" s="11">
        <f>'CapEx Depreciation'!F12</f>
        <v>40542.592607293067</v>
      </c>
      <c r="G53" s="11">
        <f>'CapEx Depreciation'!G12</f>
        <v>40705.046775834024</v>
      </c>
      <c r="H53" s="11">
        <f>'CapEx Depreciation'!H12</f>
        <v>40858.138456878769</v>
      </c>
      <c r="I53" s="11">
        <f>'CapEx Depreciation'!I12</f>
        <v>41001.754813270309</v>
      </c>
      <c r="J53" s="11">
        <f>'CapEx Depreciation'!J12</f>
        <v>41135.830551443352</v>
      </c>
      <c r="K53" s="11">
        <f>'CapEx Depreciation'!K12</f>
        <v>41260.307574934799</v>
      </c>
      <c r="L53" s="11">
        <f>'CapEx Depreciation'!L12</f>
        <v>41375.093750733591</v>
      </c>
      <c r="M53" s="11">
        <f>'CapEx Depreciation'!M12</f>
        <v>41480.103738919286</v>
      </c>
      <c r="N53" s="11">
        <f>'CapEx Depreciation'!N12</f>
        <v>41575.259097201772</v>
      </c>
      <c r="O53" s="11">
        <f>'CapEx Depreciation'!O12</f>
        <v>41660.529953124125</v>
      </c>
      <c r="P53" s="11">
        <f>'CapEx Depreciation'!P12</f>
        <v>41735.810530983799</v>
      </c>
      <c r="Q53" s="11">
        <f>'CapEx Depreciation'!Q12</f>
        <v>41801.001867378276</v>
      </c>
      <c r="R53" s="11">
        <f>'CapEx Depreciation'!R12</f>
        <v>41856.09558750259</v>
      </c>
      <c r="S53" s="11">
        <f>'CapEx Depreciation'!S12</f>
        <v>41901.007178130465</v>
      </c>
      <c r="T53" s="11">
        <f>'CapEx Depreciation'!T12</f>
        <v>41935.659311176132</v>
      </c>
      <c r="U53" s="11">
        <f>'CapEx Depreciation'!U12</f>
        <v>41959.981994020731</v>
      </c>
      <c r="V53" s="11">
        <f>'CapEx Depreciation'!V12</f>
        <v>41973.954668054641</v>
      </c>
      <c r="W53" s="11">
        <f>'CapEx Depreciation'!W12</f>
        <v>41977.48047990648</v>
      </c>
      <c r="X53" s="11">
        <f>G53</f>
        <v>40705.046775834024</v>
      </c>
      <c r="Y53" s="11">
        <f>K53</f>
        <v>41260.307574934799</v>
      </c>
      <c r="Z53" s="11">
        <f>O53</f>
        <v>41660.529953124125</v>
      </c>
      <c r="AA53" s="11">
        <f>S53</f>
        <v>41901.007178130465</v>
      </c>
      <c r="AB53" s="11">
        <f>W53</f>
        <v>41977.48047990648</v>
      </c>
    </row>
    <row r="54" spans="1:28" x14ac:dyDescent="0.3">
      <c r="A54" s="7" t="s">
        <v>53</v>
      </c>
      <c r="B54" s="7" t="s">
        <v>234</v>
      </c>
      <c r="C54" s="11">
        <f>'CapEx Depreciation'!C14</f>
        <v>0</v>
      </c>
      <c r="D54" s="11">
        <f>'CapEx Depreciation'!D14</f>
        <v>-10</v>
      </c>
      <c r="E54" s="11">
        <f>'CapEx Depreciation'!E14</f>
        <v>-30.05481</v>
      </c>
      <c r="F54" s="11">
        <f>'CapEx Depreciation'!F14</f>
        <v>-60.211868706929998</v>
      </c>
      <c r="G54" s="11">
        <f>'CapEx Depreciation'!G14</f>
        <v>-100.47066316597201</v>
      </c>
      <c r="H54" s="11">
        <f>'CapEx Depreciation'!H14</f>
        <v>-150.90421612123038</v>
      </c>
      <c r="I54" s="11">
        <f>'CapEx Depreciation'!I14</f>
        <v>-211.57855172969533</v>
      </c>
      <c r="J54" s="11">
        <f>'CapEx Depreciation'!J14</f>
        <v>-282.51158755665296</v>
      </c>
      <c r="K54" s="11">
        <f>'CapEx Depreciation'!K14</f>
        <v>-363.7137170652021</v>
      </c>
      <c r="L54" s="11">
        <f>'CapEx Depreciation'!L14</f>
        <v>-455.2290792664075</v>
      </c>
      <c r="M54" s="11">
        <f>'CapEx Depreciation'!M14</f>
        <v>-557.09456008071356</v>
      </c>
      <c r="N54" s="11">
        <f>'CapEx Depreciation'!N14</f>
        <v>-669.33972079822911</v>
      </c>
      <c r="O54" s="11">
        <f>'CapEx Depreciation'!O14</f>
        <v>-791.94515987587715</v>
      </c>
      <c r="P54" s="11">
        <f>'CapEx Depreciation'!P14</f>
        <v>-924.9672320162025</v>
      </c>
      <c r="Q54" s="11">
        <f>'CapEx Depreciation'!Q14</f>
        <v>-1068.4549486217247</v>
      </c>
      <c r="R54" s="11">
        <f>'CapEx Depreciation'!R14</f>
        <v>-1222.3662374974115</v>
      </c>
      <c r="S54" s="11">
        <f>'CapEx Depreciation'!S14</f>
        <v>-1386.735124869534</v>
      </c>
      <c r="T54" s="11">
        <f>'CapEx Depreciation'!T14</f>
        <v>-1561.5880278238724</v>
      </c>
      <c r="U54" s="11">
        <f>'CapEx Depreciation'!U14</f>
        <v>-1746.943641979271</v>
      </c>
      <c r="V54" s="11">
        <f>'CapEx Depreciation'!V14</f>
        <v>-1942.7708779453658</v>
      </c>
      <c r="W54" s="11">
        <f>'CapEx Depreciation'!W14</f>
        <v>-2149.1148390935223</v>
      </c>
      <c r="X54" s="11">
        <f>G54</f>
        <v>-100.47066316597201</v>
      </c>
      <c r="Y54" s="11">
        <f>K54</f>
        <v>-363.7137170652021</v>
      </c>
      <c r="Z54" s="11">
        <f>O54</f>
        <v>-791.94515987587715</v>
      </c>
      <c r="AA54" s="11">
        <f>S54</f>
        <v>-1386.735124869534</v>
      </c>
      <c r="AB54" s="11">
        <f>W54</f>
        <v>-2149.1148390935223</v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B6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t="s">
        <v>29</v>
      </c>
      <c r="C6">
        <v>0</v>
      </c>
      <c r="D6">
        <v>92</v>
      </c>
      <c r="E6">
        <v>92</v>
      </c>
      <c r="F6">
        <v>90</v>
      </c>
      <c r="G6">
        <v>91</v>
      </c>
      <c r="H6">
        <v>92</v>
      </c>
      <c r="I6">
        <v>92</v>
      </c>
      <c r="J6">
        <v>91</v>
      </c>
      <c r="K6">
        <v>91</v>
      </c>
      <c r="L6">
        <v>92</v>
      </c>
      <c r="M6">
        <v>92</v>
      </c>
      <c r="N6">
        <v>90</v>
      </c>
      <c r="O6">
        <v>91</v>
      </c>
      <c r="P6">
        <v>92</v>
      </c>
      <c r="Q6">
        <v>92</v>
      </c>
      <c r="R6">
        <v>90</v>
      </c>
      <c r="S6">
        <v>91</v>
      </c>
      <c r="T6">
        <v>92</v>
      </c>
      <c r="U6">
        <v>92</v>
      </c>
      <c r="V6">
        <v>90</v>
      </c>
      <c r="W6">
        <v>91</v>
      </c>
    </row>
    <row r="7" spans="1:28" x14ac:dyDescent="0.3">
      <c r="A7" s="53" t="s">
        <v>30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spans="1:28" x14ac:dyDescent="0.3">
      <c r="A8" s="18" t="s">
        <v>31</v>
      </c>
      <c r="B8" s="18" t="s">
        <v>32</v>
      </c>
      <c r="C8" s="19">
        <f>'Model Inputs'!C11</f>
        <v>117000</v>
      </c>
      <c r="D8" s="19">
        <f>'Model Inputs'!D11</f>
        <v>265953.37500000006</v>
      </c>
      <c r="E8" s="19">
        <f>'Model Inputs'!E11</f>
        <v>283499.20566000004</v>
      </c>
      <c r="F8" s="19">
        <f>'Model Inputs'!F11</f>
        <v>301385.45664000005</v>
      </c>
      <c r="G8" s="19">
        <f>'Model Inputs'!G11</f>
        <v>319612.12794000003</v>
      </c>
      <c r="H8" s="19">
        <f>'Model Inputs'!H11</f>
        <v>338179.21956000006</v>
      </c>
      <c r="I8" s="19">
        <f>'Model Inputs'!I11</f>
        <v>357086.73150000005</v>
      </c>
      <c r="J8" s="19">
        <f>'Model Inputs'!J11</f>
        <v>376334.66376000008</v>
      </c>
      <c r="K8" s="19">
        <f>'Model Inputs'!K11</f>
        <v>395923.01634000003</v>
      </c>
      <c r="L8" s="19">
        <f>'Model Inputs'!L11</f>
        <v>415851.78924000001</v>
      </c>
      <c r="M8" s="19">
        <f>'Model Inputs'!M11</f>
        <v>436120.98246000003</v>
      </c>
      <c r="N8" s="19">
        <f>'Model Inputs'!N11</f>
        <v>456730.59600000002</v>
      </c>
      <c r="O8" s="19">
        <f>'Model Inputs'!O11</f>
        <v>458937.0237793572</v>
      </c>
      <c r="P8" s="19">
        <f>'Model Inputs'!P11</f>
        <v>461143.45155871444</v>
      </c>
      <c r="Q8" s="19">
        <f>'Model Inputs'!Q11</f>
        <v>463349.87933807162</v>
      </c>
      <c r="R8" s="19">
        <f>'Model Inputs'!R11</f>
        <v>465556.30711742881</v>
      </c>
      <c r="S8" s="19">
        <f>'Model Inputs'!S11</f>
        <v>467762.73688257125</v>
      </c>
      <c r="T8" s="19">
        <f>'Model Inputs'!T11</f>
        <v>469969.16466192843</v>
      </c>
      <c r="U8" s="19">
        <f>'Model Inputs'!U11</f>
        <v>472175.59244128561</v>
      </c>
      <c r="V8" s="19">
        <f>'Model Inputs'!V11</f>
        <v>474382.02022064285</v>
      </c>
      <c r="W8" s="19">
        <f>'Model Inputs'!W11</f>
        <v>476588.44800000003</v>
      </c>
      <c r="X8" s="19">
        <f t="shared" ref="X8:X20" si="0">SUM(D8:G8)</f>
        <v>1170450.1652400002</v>
      </c>
      <c r="Y8" s="19">
        <f t="shared" ref="Y8:Y20" si="1">SUM(H8:K8)</f>
        <v>1467523.6311600003</v>
      </c>
      <c r="Z8" s="19">
        <f t="shared" ref="Z8:Z20" si="2">SUM(L8:O8)</f>
        <v>1767640.3914793571</v>
      </c>
      <c r="AA8" s="19">
        <f t="shared" ref="AA8:AA20" si="3">SUM(P8:S8)</f>
        <v>1857812.3748967862</v>
      </c>
      <c r="AB8" s="19">
        <f t="shared" ref="AB8:AB20" si="4">SUM(T8:W8)</f>
        <v>1893115.225323857</v>
      </c>
    </row>
    <row r="9" spans="1:28" x14ac:dyDescent="0.3">
      <c r="A9" s="7" t="s">
        <v>33</v>
      </c>
      <c r="B9" s="7" t="s">
        <v>32</v>
      </c>
      <c r="C9" s="11">
        <f>C8*'Model Inputs'!C12</f>
        <v>79035.606</v>
      </c>
      <c r="D9" s="11">
        <f>D8*'Model Inputs'!D12</f>
        <v>19946503.125000004</v>
      </c>
      <c r="E9" s="11">
        <f>E8*'Model Inputs'!E12</f>
        <v>20128443.601860002</v>
      </c>
      <c r="F9" s="11">
        <f>F8*'Model Inputs'!F12</f>
        <v>20192825.594880003</v>
      </c>
      <c r="G9" s="11">
        <f>G8*'Model Inputs'!G12</f>
        <v>20135564.060220003</v>
      </c>
      <c r="H9" s="11">
        <f>H8*'Model Inputs'!H12</f>
        <v>19952573.954040002</v>
      </c>
      <c r="I9" s="11">
        <f>I8*'Model Inputs'!I12</f>
        <v>19639770.232500002</v>
      </c>
      <c r="J9" s="11">
        <f>J8*'Model Inputs'!J12</f>
        <v>19193067.851760004</v>
      </c>
      <c r="K9" s="11">
        <f>K8*'Model Inputs'!K12</f>
        <v>18608381.767980002</v>
      </c>
      <c r="L9" s="11">
        <f>L8*'Model Inputs'!L12</f>
        <v>17881626.937320001</v>
      </c>
      <c r="M9" s="11">
        <f>M8*'Model Inputs'!M12</f>
        <v>17008718.31594</v>
      </c>
      <c r="N9" s="11">
        <f>N8*'Model Inputs'!N12</f>
        <v>15985570.860000001</v>
      </c>
      <c r="O9" s="11">
        <f>O8*'Model Inputs'!O12</f>
        <v>15807830.819066748</v>
      </c>
      <c r="P9" s="11">
        <f>P8*'Model Inputs'!P12</f>
        <v>15627639.191711992</v>
      </c>
      <c r="Q9" s="11">
        <f>Q8*'Model Inputs'!Q12</f>
        <v>15444995.977935726</v>
      </c>
      <c r="R9" s="11">
        <f>R8*'Model Inputs'!R12</f>
        <v>15259901.177737944</v>
      </c>
      <c r="S9" s="11">
        <f>S8*'Model Inputs'!S12</f>
        <v>15072354.855105072</v>
      </c>
      <c r="T9" s="11">
        <f>T8*'Model Inputs'!T12</f>
        <v>14882356.88096107</v>
      </c>
      <c r="U9" s="11">
        <f>U8*'Model Inputs'!U12</f>
        <v>14689907.320395552</v>
      </c>
      <c r="V9" s="11">
        <f>V8*'Model Inputs'!V12</f>
        <v>14495006.173408529</v>
      </c>
      <c r="W9" s="11">
        <f>W8*'Model Inputs'!W12</f>
        <v>14297653.440000001</v>
      </c>
      <c r="X9" s="11">
        <f t="shared" si="0"/>
        <v>80403336.381960005</v>
      </c>
      <c r="Y9" s="11">
        <f t="shared" si="1"/>
        <v>77393793.806280017</v>
      </c>
      <c r="Z9" s="11">
        <f t="shared" si="2"/>
        <v>66683746.932326749</v>
      </c>
      <c r="AA9" s="11">
        <f t="shared" si="3"/>
        <v>61404891.202490732</v>
      </c>
      <c r="AB9" s="11">
        <f t="shared" si="4"/>
        <v>58364923.814765155</v>
      </c>
    </row>
    <row r="10" spans="1:28" x14ac:dyDescent="0.3">
      <c r="A10" s="18" t="s">
        <v>34</v>
      </c>
      <c r="B10" s="18" t="s">
        <v>32</v>
      </c>
      <c r="C10" s="19">
        <f t="shared" ref="C10:W10" si="5">C8-C9</f>
        <v>37964.394</v>
      </c>
      <c r="D10" s="19">
        <f t="shared" si="5"/>
        <v>-19680549.750000004</v>
      </c>
      <c r="E10" s="19">
        <f t="shared" si="5"/>
        <v>-19844944.396200001</v>
      </c>
      <c r="F10" s="19">
        <f t="shared" si="5"/>
        <v>-19891440.138240002</v>
      </c>
      <c r="G10" s="19">
        <f t="shared" si="5"/>
        <v>-19815951.932280004</v>
      </c>
      <c r="H10" s="19">
        <f t="shared" si="5"/>
        <v>-19614394.734480001</v>
      </c>
      <c r="I10" s="19">
        <f t="shared" si="5"/>
        <v>-19282683.501000002</v>
      </c>
      <c r="J10" s="19">
        <f t="shared" si="5"/>
        <v>-18816733.188000005</v>
      </c>
      <c r="K10" s="19">
        <f t="shared" si="5"/>
        <v>-18212458.751640003</v>
      </c>
      <c r="L10" s="19">
        <f t="shared" si="5"/>
        <v>-17465775.148080003</v>
      </c>
      <c r="M10" s="19">
        <f t="shared" si="5"/>
        <v>-16572597.33348</v>
      </c>
      <c r="N10" s="19">
        <f t="shared" si="5"/>
        <v>-15528840.264</v>
      </c>
      <c r="O10" s="19">
        <f t="shared" si="5"/>
        <v>-15348893.795287391</v>
      </c>
      <c r="P10" s="19">
        <f t="shared" si="5"/>
        <v>-15166495.740153277</v>
      </c>
      <c r="Q10" s="19">
        <f t="shared" si="5"/>
        <v>-14981646.098597655</v>
      </c>
      <c r="R10" s="19">
        <f t="shared" si="5"/>
        <v>-14794344.870620515</v>
      </c>
      <c r="S10" s="19">
        <f t="shared" si="5"/>
        <v>-14604592.118222501</v>
      </c>
      <c r="T10" s="19">
        <f t="shared" si="5"/>
        <v>-14412387.716299141</v>
      </c>
      <c r="U10" s="19">
        <f t="shared" si="5"/>
        <v>-14217731.727954267</v>
      </c>
      <c r="V10" s="19">
        <f t="shared" si="5"/>
        <v>-14020624.153187886</v>
      </c>
      <c r="W10" s="19">
        <f t="shared" si="5"/>
        <v>-13821064.992000001</v>
      </c>
      <c r="X10" s="19">
        <f t="shared" si="0"/>
        <v>-79232886.216720015</v>
      </c>
      <c r="Y10" s="19">
        <f t="shared" si="1"/>
        <v>-75926270.175120011</v>
      </c>
      <c r="Z10" s="19">
        <f t="shared" si="2"/>
        <v>-64916106.540847398</v>
      </c>
      <c r="AA10" s="19">
        <f t="shared" si="3"/>
        <v>-59547078.827593952</v>
      </c>
      <c r="AB10" s="19">
        <f t="shared" si="4"/>
        <v>-56471808.589441292</v>
      </c>
    </row>
    <row r="11" spans="1:28" x14ac:dyDescent="0.3">
      <c r="A11" s="7" t="s">
        <v>35</v>
      </c>
      <c r="B11" s="7" t="s">
        <v>32</v>
      </c>
      <c r="C11" s="11">
        <f>C8*'Model Inputs'!C13</f>
        <v>9291.2039999999997</v>
      </c>
      <c r="D11" s="11">
        <f>D8*'Model Inputs'!D13</f>
        <v>6382881.0000000019</v>
      </c>
      <c r="E11" s="11">
        <f>E8*'Model Inputs'!E13</f>
        <v>6208632.6039540004</v>
      </c>
      <c r="F11" s="11">
        <f>F8*'Model Inputs'!F13</f>
        <v>5967432.041472001</v>
      </c>
      <c r="G11" s="11">
        <f>G8*'Model Inputs'!G13</f>
        <v>5657134.6645380007</v>
      </c>
      <c r="H11" s="11">
        <f>H8*'Model Inputs'!H13</f>
        <v>5275595.8251360003</v>
      </c>
      <c r="I11" s="11">
        <f>I8*'Model Inputs'!I13</f>
        <v>4820670.8752500005</v>
      </c>
      <c r="J11" s="11">
        <f>J8*'Model Inputs'!J13</f>
        <v>4290215.1668640012</v>
      </c>
      <c r="K11" s="11">
        <f>K8*'Model Inputs'!K13</f>
        <v>3682084.0519620008</v>
      </c>
      <c r="L11" s="11">
        <f>L8*'Model Inputs'!L13</f>
        <v>2994132.8825279996</v>
      </c>
      <c r="M11" s="11">
        <f>M8*'Model Inputs'!M13</f>
        <v>2224217.0105460002</v>
      </c>
      <c r="N11" s="11">
        <f>N8*'Model Inputs'!N13</f>
        <v>1370191.7880000002</v>
      </c>
      <c r="O11" s="11">
        <f>O8*'Model Inputs'!O13</f>
        <v>1325818.0686959208</v>
      </c>
      <c r="P11" s="11">
        <f>P8*'Model Inputs'!P13</f>
        <v>1280954.0321075402</v>
      </c>
      <c r="Q11" s="11">
        <f>Q8*'Model Inputs'!Q13</f>
        <v>1235599.6782348577</v>
      </c>
      <c r="R11" s="11">
        <f>R8*'Model Inputs'!R13</f>
        <v>1189755.0070778732</v>
      </c>
      <c r="S11" s="11">
        <f>S8*'Model Inputs'!S13</f>
        <v>1143420.02349073</v>
      </c>
      <c r="T11" s="11">
        <f>T8*'Model Inputs'!T13</f>
        <v>1096594.7175444996</v>
      </c>
      <c r="U11" s="11">
        <f>U8*'Model Inputs'!U13</f>
        <v>1049279.094313968</v>
      </c>
      <c r="V11" s="11">
        <f>V8*'Model Inputs'!V13</f>
        <v>1001473.1537991349</v>
      </c>
      <c r="W11" s="11">
        <f>W8*'Model Inputs'!W13</f>
        <v>953176.89600000007</v>
      </c>
      <c r="X11" s="11">
        <f t="shared" si="0"/>
        <v>24216080.309964005</v>
      </c>
      <c r="Y11" s="11">
        <f t="shared" si="1"/>
        <v>18068565.919212002</v>
      </c>
      <c r="Z11" s="11">
        <f t="shared" si="2"/>
        <v>7914359.7497699214</v>
      </c>
      <c r="AA11" s="11">
        <f t="shared" si="3"/>
        <v>4849728.7409110013</v>
      </c>
      <c r="AB11" s="11">
        <f t="shared" si="4"/>
        <v>4100523.8616576027</v>
      </c>
    </row>
    <row r="12" spans="1:28" x14ac:dyDescent="0.3">
      <c r="A12" s="7" t="s">
        <v>36</v>
      </c>
      <c r="B12" s="7" t="s">
        <v>32</v>
      </c>
      <c r="C12" s="11">
        <f>C8*'Model Inputs'!C14</f>
        <v>0</v>
      </c>
      <c r="D12" s="11">
        <f>D8*'Model Inputs'!D14</f>
        <v>0</v>
      </c>
      <c r="E12" s="11">
        <f>E8*'Model Inputs'!E14</f>
        <v>0</v>
      </c>
      <c r="F12" s="11">
        <f>F8*'Model Inputs'!F14</f>
        <v>0</v>
      </c>
      <c r="G12" s="11">
        <f>G8*'Model Inputs'!G14</f>
        <v>0</v>
      </c>
      <c r="H12" s="11">
        <f>H8*'Model Inputs'!H14</f>
        <v>0</v>
      </c>
      <c r="I12" s="11">
        <f>I8*'Model Inputs'!I14</f>
        <v>0</v>
      </c>
      <c r="J12" s="11">
        <f>J8*'Model Inputs'!J14</f>
        <v>0</v>
      </c>
      <c r="K12" s="11">
        <f>K8*'Model Inputs'!K14</f>
        <v>0</v>
      </c>
      <c r="L12" s="11">
        <f>L8*'Model Inputs'!L14</f>
        <v>0</v>
      </c>
      <c r="M12" s="11">
        <f>M8*'Model Inputs'!M14</f>
        <v>0</v>
      </c>
      <c r="N12" s="11">
        <f>N8*'Model Inputs'!N14</f>
        <v>0</v>
      </c>
      <c r="O12" s="11">
        <f>O8*'Model Inputs'!O14</f>
        <v>0</v>
      </c>
      <c r="P12" s="11">
        <f>P8*'Model Inputs'!P14</f>
        <v>0</v>
      </c>
      <c r="Q12" s="11">
        <f>Q8*'Model Inputs'!Q14</f>
        <v>0</v>
      </c>
      <c r="R12" s="11">
        <f>R8*'Model Inputs'!R14</f>
        <v>0</v>
      </c>
      <c r="S12" s="11">
        <f>S8*'Model Inputs'!S14</f>
        <v>0</v>
      </c>
      <c r="T12" s="11">
        <f>T8*'Model Inputs'!T14</f>
        <v>0</v>
      </c>
      <c r="U12" s="11">
        <f>U8*'Model Inputs'!U14</f>
        <v>0</v>
      </c>
      <c r="V12" s="11">
        <f>V8*'Model Inputs'!V14</f>
        <v>0</v>
      </c>
      <c r="W12" s="11">
        <f>W8*'Model Inputs'!W14</f>
        <v>0</v>
      </c>
      <c r="X12" s="11">
        <f t="shared" si="0"/>
        <v>0</v>
      </c>
      <c r="Y12" s="11">
        <f t="shared" si="1"/>
        <v>0</v>
      </c>
      <c r="Z12" s="11">
        <f t="shared" si="2"/>
        <v>0</v>
      </c>
      <c r="AA12" s="11">
        <f t="shared" si="3"/>
        <v>0</v>
      </c>
      <c r="AB12" s="11">
        <f t="shared" si="4"/>
        <v>0</v>
      </c>
    </row>
    <row r="13" spans="1:28" x14ac:dyDescent="0.3">
      <c r="A13" s="7" t="s">
        <v>37</v>
      </c>
      <c r="B13" s="7" t="s">
        <v>32</v>
      </c>
      <c r="C13" s="11">
        <f>'Model Inputs'!C15</f>
        <v>7500</v>
      </c>
      <c r="D13" s="11">
        <f>'Model Inputs'!D15</f>
        <v>7500</v>
      </c>
      <c r="E13" s="11">
        <f>'Model Inputs'!E15</f>
        <v>7500</v>
      </c>
      <c r="F13" s="11">
        <f>'Model Inputs'!F15</f>
        <v>7500</v>
      </c>
      <c r="G13" s="11">
        <f>'Model Inputs'!G15</f>
        <v>7500</v>
      </c>
      <c r="H13" s="11">
        <f>'Model Inputs'!H15</f>
        <v>7500</v>
      </c>
      <c r="I13" s="11">
        <f>'Model Inputs'!I15</f>
        <v>7500</v>
      </c>
      <c r="J13" s="11">
        <f>'Model Inputs'!J15</f>
        <v>7500</v>
      </c>
      <c r="K13" s="11">
        <f>'Model Inputs'!K15</f>
        <v>7500</v>
      </c>
      <c r="L13" s="11">
        <f>'Model Inputs'!L15</f>
        <v>7500</v>
      </c>
      <c r="M13" s="11">
        <f>'Model Inputs'!M15</f>
        <v>7500</v>
      </c>
      <c r="N13" s="11">
        <f>'Model Inputs'!N15</f>
        <v>7500</v>
      </c>
      <c r="O13" s="11">
        <f>'Model Inputs'!O15</f>
        <v>7500</v>
      </c>
      <c r="P13" s="11">
        <f>'Model Inputs'!P15</f>
        <v>7500</v>
      </c>
      <c r="Q13" s="11">
        <f>'Model Inputs'!Q15</f>
        <v>7500</v>
      </c>
      <c r="R13" s="11">
        <f>'Model Inputs'!R15</f>
        <v>7500</v>
      </c>
      <c r="S13" s="11">
        <f>'Model Inputs'!S15</f>
        <v>7500</v>
      </c>
      <c r="T13" s="11">
        <f>'Model Inputs'!T15</f>
        <v>7500</v>
      </c>
      <c r="U13" s="11">
        <f>'Model Inputs'!U15</f>
        <v>7500</v>
      </c>
      <c r="V13" s="11">
        <f>'Model Inputs'!V15</f>
        <v>7500</v>
      </c>
      <c r="W13" s="11">
        <f>'Model Inputs'!W15</f>
        <v>7500</v>
      </c>
      <c r="X13" s="11">
        <f t="shared" si="0"/>
        <v>30000</v>
      </c>
      <c r="Y13" s="11">
        <f t="shared" si="1"/>
        <v>30000</v>
      </c>
      <c r="Z13" s="11">
        <f t="shared" si="2"/>
        <v>30000</v>
      </c>
      <c r="AA13" s="11">
        <f t="shared" si="3"/>
        <v>30000</v>
      </c>
      <c r="AB13" s="11">
        <f t="shared" si="4"/>
        <v>30000</v>
      </c>
    </row>
    <row r="14" spans="1:28" x14ac:dyDescent="0.3">
      <c r="A14" s="7" t="s">
        <v>38</v>
      </c>
      <c r="B14" s="7" t="s">
        <v>32</v>
      </c>
      <c r="C14" s="11">
        <f>'Model Inputs'!C16</f>
        <v>102356.25</v>
      </c>
      <c r="D14" s="11">
        <f>'Model Inputs'!D16</f>
        <v>106929.45</v>
      </c>
      <c r="E14" s="11">
        <f>'Model Inputs'!E16</f>
        <v>106929.45</v>
      </c>
      <c r="F14" s="11">
        <f>'Model Inputs'!F16</f>
        <v>106929.45</v>
      </c>
      <c r="G14" s="11">
        <f>'Model Inputs'!G16</f>
        <v>106929.45</v>
      </c>
      <c r="H14" s="11">
        <f>'Model Inputs'!H16</f>
        <v>110137.575</v>
      </c>
      <c r="I14" s="11">
        <f>'Model Inputs'!I16</f>
        <v>110137.575</v>
      </c>
      <c r="J14" s="11">
        <f>'Model Inputs'!J16</f>
        <v>110137.575</v>
      </c>
      <c r="K14" s="11">
        <f>'Model Inputs'!K16</f>
        <v>110137.575</v>
      </c>
      <c r="L14" s="11">
        <f>'Model Inputs'!L16</f>
        <v>113441.20749999999</v>
      </c>
      <c r="M14" s="11">
        <f>'Model Inputs'!M16</f>
        <v>113441.20749999999</v>
      </c>
      <c r="N14" s="11">
        <f>'Model Inputs'!N16</f>
        <v>113441.20749999999</v>
      </c>
      <c r="O14" s="11">
        <f>'Model Inputs'!O16</f>
        <v>113441.20749999999</v>
      </c>
      <c r="P14" s="11">
        <f>'Model Inputs'!P16</f>
        <v>116844.655</v>
      </c>
      <c r="Q14" s="11">
        <f>'Model Inputs'!Q16</f>
        <v>116844.655</v>
      </c>
      <c r="R14" s="11">
        <f>'Model Inputs'!R16</f>
        <v>116844.655</v>
      </c>
      <c r="S14" s="11">
        <f>'Model Inputs'!S16</f>
        <v>116844.655</v>
      </c>
      <c r="T14" s="11">
        <f>'Model Inputs'!T16</f>
        <v>120350.0675</v>
      </c>
      <c r="U14" s="11">
        <f>'Model Inputs'!U16</f>
        <v>120350.0675</v>
      </c>
      <c r="V14" s="11">
        <f>'Model Inputs'!V16</f>
        <v>120350.0675</v>
      </c>
      <c r="W14" s="11">
        <f>'Model Inputs'!W16</f>
        <v>120350.0675</v>
      </c>
      <c r="X14" s="11">
        <f t="shared" si="0"/>
        <v>427717.8</v>
      </c>
      <c r="Y14" s="11">
        <f t="shared" si="1"/>
        <v>440550.3</v>
      </c>
      <c r="Z14" s="11">
        <f t="shared" si="2"/>
        <v>453764.82999999996</v>
      </c>
      <c r="AA14" s="11">
        <f t="shared" si="3"/>
        <v>467378.62</v>
      </c>
      <c r="AB14" s="11">
        <f t="shared" si="4"/>
        <v>481400.27</v>
      </c>
    </row>
    <row r="15" spans="1:28" x14ac:dyDescent="0.3">
      <c r="A15" s="7" t="s">
        <v>39</v>
      </c>
      <c r="B15" s="7" t="s">
        <v>32</v>
      </c>
      <c r="C15" s="11">
        <f>C8*'Model Inputs'!C17</f>
        <v>236.80800000000002</v>
      </c>
      <c r="D15" s="11">
        <f>D8*'Model Inputs'!D17</f>
        <v>6382881.0000000019</v>
      </c>
      <c r="E15" s="11">
        <f>E8*'Model Inputs'!E17</f>
        <v>6208632.6039540004</v>
      </c>
      <c r="F15" s="11">
        <f>F8*'Model Inputs'!F17</f>
        <v>5967432.041472001</v>
      </c>
      <c r="G15" s="11">
        <f>G8*'Model Inputs'!G17</f>
        <v>5657134.6645380007</v>
      </c>
      <c r="H15" s="11">
        <f>H8*'Model Inputs'!H17</f>
        <v>5275595.8251360003</v>
      </c>
      <c r="I15" s="11">
        <f>I8*'Model Inputs'!I17</f>
        <v>4820670.8752500005</v>
      </c>
      <c r="J15" s="11">
        <f>J8*'Model Inputs'!J17</f>
        <v>4290215.1668640012</v>
      </c>
      <c r="K15" s="11">
        <f>K8*'Model Inputs'!K17</f>
        <v>3682084.0519620008</v>
      </c>
      <c r="L15" s="11">
        <f>L8*'Model Inputs'!L17</f>
        <v>2994132.8825279996</v>
      </c>
      <c r="M15" s="11">
        <f>M8*'Model Inputs'!M17</f>
        <v>2224217.0105460002</v>
      </c>
      <c r="N15" s="11">
        <f>N8*'Model Inputs'!N17</f>
        <v>1370191.7880000002</v>
      </c>
      <c r="O15" s="11">
        <f>O8*'Model Inputs'!O17</f>
        <v>1325818.0686959208</v>
      </c>
      <c r="P15" s="11">
        <f>P8*'Model Inputs'!P17</f>
        <v>1280954.0321075402</v>
      </c>
      <c r="Q15" s="11">
        <f>Q8*'Model Inputs'!Q17</f>
        <v>1235599.6782348577</v>
      </c>
      <c r="R15" s="11">
        <f>R8*'Model Inputs'!R17</f>
        <v>1189755.0070778732</v>
      </c>
      <c r="S15" s="11">
        <f>S8*'Model Inputs'!S17</f>
        <v>1143420.02349073</v>
      </c>
      <c r="T15" s="11">
        <f>T8*'Model Inputs'!T17</f>
        <v>1096594.7175444996</v>
      </c>
      <c r="U15" s="11">
        <f>U8*'Model Inputs'!U17</f>
        <v>1049279.094313968</v>
      </c>
      <c r="V15" s="11">
        <f>V8*'Model Inputs'!V17</f>
        <v>1001473.1537991349</v>
      </c>
      <c r="W15" s="11">
        <f>W8*'Model Inputs'!W17</f>
        <v>953176.89600000007</v>
      </c>
      <c r="X15" s="11">
        <f t="shared" si="0"/>
        <v>24216080.309964005</v>
      </c>
      <c r="Y15" s="11">
        <f t="shared" si="1"/>
        <v>18068565.919212002</v>
      </c>
      <c r="Z15" s="11">
        <f t="shared" si="2"/>
        <v>7914359.7497699214</v>
      </c>
      <c r="AA15" s="11">
        <f t="shared" si="3"/>
        <v>4849728.7409110013</v>
      </c>
      <c r="AB15" s="11">
        <f t="shared" si="4"/>
        <v>4100523.8616576027</v>
      </c>
    </row>
    <row r="16" spans="1:28" x14ac:dyDescent="0.3">
      <c r="A16" s="18" t="s">
        <v>40</v>
      </c>
      <c r="B16" s="18" t="s">
        <v>32</v>
      </c>
      <c r="C16" s="19">
        <f t="shared" ref="C16:W16" si="6">C10-SUM(C11:C15)</f>
        <v>-81419.868000000002</v>
      </c>
      <c r="D16" s="19">
        <f t="shared" si="6"/>
        <v>-32560741.200000007</v>
      </c>
      <c r="E16" s="19">
        <f t="shared" si="6"/>
        <v>-32376639.054108001</v>
      </c>
      <c r="F16" s="19">
        <f t="shared" si="6"/>
        <v>-31940733.671184003</v>
      </c>
      <c r="G16" s="19">
        <f t="shared" si="6"/>
        <v>-31244650.711356007</v>
      </c>
      <c r="H16" s="19">
        <f t="shared" si="6"/>
        <v>-30283223.959752001</v>
      </c>
      <c r="I16" s="19">
        <f t="shared" si="6"/>
        <v>-29041662.826500002</v>
      </c>
      <c r="J16" s="19">
        <f t="shared" si="6"/>
        <v>-27514801.096728008</v>
      </c>
      <c r="K16" s="19">
        <f t="shared" si="6"/>
        <v>-25694264.430564005</v>
      </c>
      <c r="L16" s="19">
        <f t="shared" si="6"/>
        <v>-23574982.120636001</v>
      </c>
      <c r="M16" s="19">
        <f t="shared" si="6"/>
        <v>-21141972.562072001</v>
      </c>
      <c r="N16" s="19">
        <f t="shared" si="6"/>
        <v>-18390165.047499999</v>
      </c>
      <c r="O16" s="19">
        <f t="shared" si="6"/>
        <v>-18121471.140179232</v>
      </c>
      <c r="P16" s="19">
        <f t="shared" si="6"/>
        <v>-17852748.459368356</v>
      </c>
      <c r="Q16" s="19">
        <f t="shared" si="6"/>
        <v>-17577190.110067371</v>
      </c>
      <c r="R16" s="19">
        <f t="shared" si="6"/>
        <v>-17298199.539776262</v>
      </c>
      <c r="S16" s="19">
        <f t="shared" si="6"/>
        <v>-17015776.82020396</v>
      </c>
      <c r="T16" s="19">
        <f t="shared" si="6"/>
        <v>-16733427.218888141</v>
      </c>
      <c r="U16" s="19">
        <f t="shared" si="6"/>
        <v>-16444139.984082203</v>
      </c>
      <c r="V16" s="19">
        <f t="shared" si="6"/>
        <v>-16151420.528286155</v>
      </c>
      <c r="W16" s="19">
        <f t="shared" si="6"/>
        <v>-15855268.851500001</v>
      </c>
      <c r="X16" s="19">
        <f t="shared" si="0"/>
        <v>-128122764.63664803</v>
      </c>
      <c r="Y16" s="19">
        <f t="shared" si="1"/>
        <v>-112533952.31354402</v>
      </c>
      <c r="Z16" s="19">
        <f t="shared" si="2"/>
        <v>-81228590.870387226</v>
      </c>
      <c r="AA16" s="19">
        <f t="shared" si="3"/>
        <v>-69743914.929415956</v>
      </c>
      <c r="AB16" s="19">
        <f t="shared" si="4"/>
        <v>-65184256.582756504</v>
      </c>
    </row>
    <row r="17" spans="1:28" x14ac:dyDescent="0.3">
      <c r="A17" s="7" t="s">
        <v>41</v>
      </c>
      <c r="B17" s="7" t="s">
        <v>32</v>
      </c>
      <c r="C17" s="11">
        <f>'Model Inputs'!C19+'Model Inputs'!C48</f>
        <v>0</v>
      </c>
      <c r="D17" s="11">
        <f>'Model Inputs'!D19+'Model Inputs'!D48</f>
        <v>731.25</v>
      </c>
      <c r="E17" s="11">
        <f>'Model Inputs'!E19+'Model Inputs'!E48</f>
        <v>693.75</v>
      </c>
      <c r="F17" s="11">
        <f>'Model Inputs'!F19+'Model Inputs'!F48</f>
        <v>656.25</v>
      </c>
      <c r="G17" s="11">
        <f>'Model Inputs'!G19+'Model Inputs'!G48</f>
        <v>618.75</v>
      </c>
      <c r="H17" s="11">
        <f>'Model Inputs'!H19+'Model Inputs'!H48</f>
        <v>581.25</v>
      </c>
      <c r="I17" s="11">
        <f>'Model Inputs'!I19+'Model Inputs'!I48</f>
        <v>543.75</v>
      </c>
      <c r="J17" s="11">
        <f>'Model Inputs'!J19+'Model Inputs'!J48</f>
        <v>506.25</v>
      </c>
      <c r="K17" s="11">
        <f>'Model Inputs'!K19+'Model Inputs'!K48</f>
        <v>468.75</v>
      </c>
      <c r="L17" s="11">
        <f>'Model Inputs'!L19+'Model Inputs'!L48</f>
        <v>431.25</v>
      </c>
      <c r="M17" s="11">
        <f>'Model Inputs'!M19+'Model Inputs'!M48</f>
        <v>393.75</v>
      </c>
      <c r="N17" s="11">
        <f>'Model Inputs'!N19+'Model Inputs'!N48</f>
        <v>356.25</v>
      </c>
      <c r="O17" s="11">
        <f>'Model Inputs'!O19+'Model Inputs'!O48</f>
        <v>318.75</v>
      </c>
      <c r="P17" s="11">
        <f>'Model Inputs'!P19+'Model Inputs'!P48</f>
        <v>281.25</v>
      </c>
      <c r="Q17" s="11">
        <f>'Model Inputs'!Q19+'Model Inputs'!Q48</f>
        <v>243.75</v>
      </c>
      <c r="R17" s="11">
        <f>'Model Inputs'!R19+'Model Inputs'!R48</f>
        <v>206.25</v>
      </c>
      <c r="S17" s="11">
        <f>'Model Inputs'!S19+'Model Inputs'!S48</f>
        <v>168.75</v>
      </c>
      <c r="T17" s="11">
        <f>'Model Inputs'!T19+'Model Inputs'!T48</f>
        <v>131.25</v>
      </c>
      <c r="U17" s="11">
        <f>'Model Inputs'!U19+'Model Inputs'!U48</f>
        <v>93.75</v>
      </c>
      <c r="V17" s="11">
        <f>'Model Inputs'!V19+'Model Inputs'!V48</f>
        <v>56.25</v>
      </c>
      <c r="W17" s="11">
        <f>'Model Inputs'!W19+'Model Inputs'!W48</f>
        <v>18.75</v>
      </c>
      <c r="X17" s="11">
        <f t="shared" si="0"/>
        <v>2700</v>
      </c>
      <c r="Y17" s="11">
        <f t="shared" si="1"/>
        <v>2100</v>
      </c>
      <c r="Z17" s="11">
        <f t="shared" si="2"/>
        <v>1500</v>
      </c>
      <c r="AA17" s="11">
        <f t="shared" si="3"/>
        <v>900</v>
      </c>
      <c r="AB17" s="11">
        <f t="shared" si="4"/>
        <v>300</v>
      </c>
    </row>
    <row r="18" spans="1:28" x14ac:dyDescent="0.3">
      <c r="A18" s="7" t="s">
        <v>42</v>
      </c>
      <c r="B18" s="7" t="s">
        <v>32</v>
      </c>
      <c r="C18" s="11">
        <f>'Model Inputs'!C21+'Model Inputs'!C51</f>
        <v>0</v>
      </c>
      <c r="D18" s="11">
        <f>'Model Inputs'!D21+'Model Inputs'!D51</f>
        <v>10</v>
      </c>
      <c r="E18" s="11">
        <f>'Model Inputs'!E21+'Model Inputs'!E51</f>
        <v>20.05481</v>
      </c>
      <c r="F18" s="11">
        <f>'Model Inputs'!F21+'Model Inputs'!F51</f>
        <v>30.157058706929998</v>
      </c>
      <c r="G18" s="11">
        <f>'Model Inputs'!G21+'Model Inputs'!G51</f>
        <v>40.258794459042015</v>
      </c>
      <c r="H18" s="11">
        <f>'Model Inputs'!H21+'Model Inputs'!H51</f>
        <v>50.433552955258357</v>
      </c>
      <c r="I18" s="11">
        <f>'Model Inputs'!I21+'Model Inputs'!I51</f>
        <v>60.674335608464972</v>
      </c>
      <c r="J18" s="11">
        <f>'Model Inputs'!J21+'Model Inputs'!J51</f>
        <v>70.933035826957635</v>
      </c>
      <c r="K18" s="11">
        <f>'Model Inputs'!K21+'Model Inputs'!K51</f>
        <v>81.202129508549177</v>
      </c>
      <c r="L18" s="11">
        <f>'Model Inputs'!L21+'Model Inputs'!L51</f>
        <v>91.515362201205377</v>
      </c>
      <c r="M18" s="11">
        <f>'Model Inputs'!M21+'Model Inputs'!M51</f>
        <v>101.86548081430611</v>
      </c>
      <c r="N18" s="11">
        <f>'Model Inputs'!N21+'Model Inputs'!N51</f>
        <v>112.24516071751559</v>
      </c>
      <c r="O18" s="11">
        <f>'Model Inputs'!O21+'Model Inputs'!O51</f>
        <v>122.60543907764801</v>
      </c>
      <c r="P18" s="11">
        <f>'Model Inputs'!P21+'Model Inputs'!P51</f>
        <v>133.02207214032535</v>
      </c>
      <c r="Q18" s="11">
        <f>'Model Inputs'!Q21+'Model Inputs'!Q51</f>
        <v>143.48771660552231</v>
      </c>
      <c r="R18" s="11">
        <f>'Model Inputs'!R21+'Model Inputs'!R51</f>
        <v>153.91128887568681</v>
      </c>
      <c r="S18" s="11">
        <f>'Model Inputs'!S21+'Model Inputs'!S51</f>
        <v>164.36888737212266</v>
      </c>
      <c r="T18" s="11">
        <f>'Model Inputs'!T21+'Model Inputs'!T51</f>
        <v>174.85290295433842</v>
      </c>
      <c r="U18" s="11">
        <f>'Model Inputs'!U21+'Model Inputs'!U51</f>
        <v>185.35561415539851</v>
      </c>
      <c r="V18" s="11">
        <f>'Model Inputs'!V21+'Model Inputs'!V51</f>
        <v>195.82723596609475</v>
      </c>
      <c r="W18" s="11">
        <f>'Model Inputs'!W21+'Model Inputs'!W51</f>
        <v>206.34396114815664</v>
      </c>
      <c r="X18" s="11">
        <f t="shared" si="0"/>
        <v>100.47066316597201</v>
      </c>
      <c r="Y18" s="11">
        <f t="shared" si="1"/>
        <v>263.24305389923018</v>
      </c>
      <c r="Z18" s="11">
        <f t="shared" si="2"/>
        <v>428.23144281067505</v>
      </c>
      <c r="AA18" s="11">
        <f t="shared" si="3"/>
        <v>594.78996499365712</v>
      </c>
      <c r="AB18" s="11">
        <f t="shared" si="4"/>
        <v>762.37971422398834</v>
      </c>
    </row>
    <row r="19" spans="1:28" x14ac:dyDescent="0.3">
      <c r="A19" s="7" t="s">
        <v>43</v>
      </c>
      <c r="B19" s="7" t="s">
        <v>32</v>
      </c>
      <c r="C19" s="11">
        <f>MAX(0,C16-C17-C18)*'Model Inputs'!C22</f>
        <v>0</v>
      </c>
      <c r="D19" s="11">
        <f>MAX(0,D16-D17-D18)*'Model Inputs'!D22</f>
        <v>0</v>
      </c>
      <c r="E19" s="11">
        <f>MAX(0,E16-E17-E18)*'Model Inputs'!E22</f>
        <v>0</v>
      </c>
      <c r="F19" s="11">
        <f>MAX(0,F16-F17-F18)*'Model Inputs'!F22</f>
        <v>0</v>
      </c>
      <c r="G19" s="11">
        <f>MAX(0,G16-G17-G18)*'Model Inputs'!G22</f>
        <v>0</v>
      </c>
      <c r="H19" s="11">
        <f>MAX(0,H16-H17-H18)*'Model Inputs'!H22</f>
        <v>0</v>
      </c>
      <c r="I19" s="11">
        <f>MAX(0,I16-I17-I18)*'Model Inputs'!I22</f>
        <v>0</v>
      </c>
      <c r="J19" s="11">
        <f>MAX(0,J16-J17-J18)*'Model Inputs'!J22</f>
        <v>0</v>
      </c>
      <c r="K19" s="11">
        <f>MAX(0,K16-K17-K18)*'Model Inputs'!K22</f>
        <v>0</v>
      </c>
      <c r="L19" s="11">
        <f>MAX(0,L16-L17-L18)*'Model Inputs'!L22</f>
        <v>0</v>
      </c>
      <c r="M19" s="11">
        <f>MAX(0,M16-M17-M18)*'Model Inputs'!M22</f>
        <v>0</v>
      </c>
      <c r="N19" s="11">
        <f>MAX(0,N16-N17-N18)*'Model Inputs'!N22</f>
        <v>0</v>
      </c>
      <c r="O19" s="11">
        <f>MAX(0,O16-O17-O18)*'Model Inputs'!O22</f>
        <v>0</v>
      </c>
      <c r="P19" s="11">
        <f>MAX(0,P16-P17-P18)*'Model Inputs'!P22</f>
        <v>0</v>
      </c>
      <c r="Q19" s="11">
        <f>MAX(0,Q16-Q17-Q18)*'Model Inputs'!Q22</f>
        <v>0</v>
      </c>
      <c r="R19" s="11">
        <f>MAX(0,R16-R17-R18)*'Model Inputs'!R22</f>
        <v>0</v>
      </c>
      <c r="S19" s="11">
        <f>MAX(0,S16-S17-S18)*'Model Inputs'!S22</f>
        <v>0</v>
      </c>
      <c r="T19" s="11">
        <f>MAX(0,T16-T17-T18)*'Model Inputs'!T22</f>
        <v>0</v>
      </c>
      <c r="U19" s="11">
        <f>MAX(0,U16-U17-U18)*'Model Inputs'!U22</f>
        <v>0</v>
      </c>
      <c r="V19" s="11">
        <f>MAX(0,V16-V17-V18)*'Model Inputs'!V22</f>
        <v>0</v>
      </c>
      <c r="W19" s="11">
        <f>MAX(0,W16-W17-W18)*'Model Inputs'!W22</f>
        <v>0</v>
      </c>
      <c r="X19" s="11">
        <f t="shared" si="0"/>
        <v>0</v>
      </c>
      <c r="Y19" s="11">
        <f t="shared" si="1"/>
        <v>0</v>
      </c>
      <c r="Z19" s="11">
        <f t="shared" si="2"/>
        <v>0</v>
      </c>
      <c r="AA19" s="11">
        <f t="shared" si="3"/>
        <v>0</v>
      </c>
      <c r="AB19" s="11">
        <f t="shared" si="4"/>
        <v>0</v>
      </c>
    </row>
    <row r="20" spans="1:28" x14ac:dyDescent="0.3">
      <c r="A20" s="18" t="s">
        <v>44</v>
      </c>
      <c r="B20" s="18" t="s">
        <v>32</v>
      </c>
      <c r="C20" s="19">
        <f t="shared" ref="C20:W20" si="7">C16-SUM(C17:C19)</f>
        <v>-81419.868000000002</v>
      </c>
      <c r="D20" s="19">
        <f t="shared" si="7"/>
        <v>-32561482.450000007</v>
      </c>
      <c r="E20" s="19">
        <f t="shared" si="7"/>
        <v>-32377352.858918</v>
      </c>
      <c r="F20" s="19">
        <f t="shared" si="7"/>
        <v>-31941420.078242712</v>
      </c>
      <c r="G20" s="19">
        <f t="shared" si="7"/>
        <v>-31245309.720150467</v>
      </c>
      <c r="H20" s="19">
        <f t="shared" si="7"/>
        <v>-30283855.643304955</v>
      </c>
      <c r="I20" s="19">
        <f t="shared" si="7"/>
        <v>-29042267.250835612</v>
      </c>
      <c r="J20" s="19">
        <f t="shared" si="7"/>
        <v>-27515378.279763836</v>
      </c>
      <c r="K20" s="19">
        <f t="shared" si="7"/>
        <v>-25694814.382693514</v>
      </c>
      <c r="L20" s="19">
        <f t="shared" si="7"/>
        <v>-23575504.885998201</v>
      </c>
      <c r="M20" s="19">
        <f t="shared" si="7"/>
        <v>-21142468.177552816</v>
      </c>
      <c r="N20" s="19">
        <f t="shared" si="7"/>
        <v>-18390633.542660717</v>
      </c>
      <c r="O20" s="19">
        <f t="shared" si="7"/>
        <v>-18121912.49561831</v>
      </c>
      <c r="P20" s="19">
        <f t="shared" si="7"/>
        <v>-17853162.731440496</v>
      </c>
      <c r="Q20" s="19">
        <f t="shared" si="7"/>
        <v>-17577577.347783975</v>
      </c>
      <c r="R20" s="19">
        <f t="shared" si="7"/>
        <v>-17298559.701065138</v>
      </c>
      <c r="S20" s="19">
        <f t="shared" si="7"/>
        <v>-17016109.939091332</v>
      </c>
      <c r="T20" s="19">
        <f t="shared" si="7"/>
        <v>-16733733.321791096</v>
      </c>
      <c r="U20" s="19">
        <f t="shared" si="7"/>
        <v>-16444419.089696359</v>
      </c>
      <c r="V20" s="19">
        <f t="shared" si="7"/>
        <v>-16151672.605522122</v>
      </c>
      <c r="W20" s="19">
        <f t="shared" si="7"/>
        <v>-15855493.945461148</v>
      </c>
      <c r="X20" s="19">
        <f t="shared" si="0"/>
        <v>-128125565.10731119</v>
      </c>
      <c r="Y20" s="19">
        <f t="shared" si="1"/>
        <v>-112536315.55659792</v>
      </c>
      <c r="Z20" s="19">
        <f t="shared" si="2"/>
        <v>-81230519.10183005</v>
      </c>
      <c r="AA20" s="19">
        <f t="shared" si="3"/>
        <v>-69745409.719380945</v>
      </c>
      <c r="AB20" s="19">
        <f t="shared" si="4"/>
        <v>-65185318.962470718</v>
      </c>
    </row>
    <row r="22" spans="1:28" x14ac:dyDescent="0.3">
      <c r="A22" s="53" t="s">
        <v>45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spans="1:28" x14ac:dyDescent="0.3">
      <c r="A23" s="7" t="s">
        <v>46</v>
      </c>
      <c r="B23" s="7" t="s">
        <v>32</v>
      </c>
      <c r="C23" s="11">
        <f t="shared" ref="C23:W23" si="8">C61</f>
        <v>12000</v>
      </c>
      <c r="D23" s="11">
        <f t="shared" si="8"/>
        <v>16412482.177717388</v>
      </c>
      <c r="E23" s="11">
        <f t="shared" si="8"/>
        <v>16328465.545498949</v>
      </c>
      <c r="F23" s="11">
        <f t="shared" si="8"/>
        <v>16118723.09579999</v>
      </c>
      <c r="G23" s="11">
        <f t="shared" si="8"/>
        <v>15779055.464829247</v>
      </c>
      <c r="H23" s="11">
        <f t="shared" si="8"/>
        <v>15306862.232380893</v>
      </c>
      <c r="I23" s="11">
        <f t="shared" si="8"/>
        <v>14694778.127756715</v>
      </c>
      <c r="J23" s="11">
        <f t="shared" si="8"/>
        <v>13940217.11173011</v>
      </c>
      <c r="K23" s="11">
        <f t="shared" si="8"/>
        <v>13038985.220195305</v>
      </c>
      <c r="L23" s="11">
        <f t="shared" si="8"/>
        <v>11988522.274266742</v>
      </c>
      <c r="M23" s="11">
        <f t="shared" si="8"/>
        <v>10781370.554152697</v>
      </c>
      <c r="N23" s="11">
        <f t="shared" si="8"/>
        <v>9414995.8866152912</v>
      </c>
      <c r="O23" s="11">
        <f t="shared" si="8"/>
        <v>9280970.1528106593</v>
      </c>
      <c r="P23" s="11">
        <f t="shared" si="8"/>
        <v>9146899.5435141772</v>
      </c>
      <c r="Q23" s="11">
        <f t="shared" si="8"/>
        <v>9009418.451738961</v>
      </c>
      <c r="R23" s="11">
        <f t="shared" si="8"/>
        <v>8870224.6101427004</v>
      </c>
      <c r="S23" s="11">
        <f t="shared" si="8"/>
        <v>8729309.3832116313</v>
      </c>
      <c r="T23" s="11">
        <f t="shared" si="8"/>
        <v>8588402.6032702997</v>
      </c>
      <c r="U23" s="11">
        <f t="shared" si="8"/>
        <v>8444034.5495246071</v>
      </c>
      <c r="V23" s="11">
        <f t="shared" si="8"/>
        <v>8297955.5603916049</v>
      </c>
      <c r="W23" s="11">
        <f t="shared" si="8"/>
        <v>8150151.4181380663</v>
      </c>
      <c r="X23" s="11">
        <f t="shared" ref="X23:X43" si="9">G23</f>
        <v>15779055.464829247</v>
      </c>
      <c r="Y23" s="11">
        <f t="shared" ref="Y23:Y43" si="10">K23</f>
        <v>13038985.220195305</v>
      </c>
      <c r="Z23" s="11">
        <f t="shared" ref="Z23:Z43" si="11">O23</f>
        <v>9280970.1528106593</v>
      </c>
      <c r="AA23" s="11">
        <f t="shared" ref="AA23:AA43" si="12">S23</f>
        <v>8729309.3832116313</v>
      </c>
      <c r="AB23" s="11">
        <f t="shared" ref="AB23:AB43" si="13">W23</f>
        <v>8150151.4181380663</v>
      </c>
    </row>
    <row r="24" spans="1:28" x14ac:dyDescent="0.3">
      <c r="A24" s="7" t="s">
        <v>47</v>
      </c>
      <c r="B24" s="7" t="s">
        <v>32</v>
      </c>
      <c r="C24" s="11">
        <f>'Model Inputs'!C37</f>
        <v>0</v>
      </c>
      <c r="D24" s="11">
        <f>('Model Inputs'!D25/D6)*D8</f>
        <v>86723.926630434798</v>
      </c>
      <c r="E24" s="11">
        <f>('Model Inputs'!E25/E6)*E8</f>
        <v>92445.393150000018</v>
      </c>
      <c r="F24" s="11">
        <f>('Model Inputs'!F25/F6)*F8</f>
        <v>100461.81888000001</v>
      </c>
      <c r="G24" s="11">
        <f>('Model Inputs'!G25/G6)*G8</f>
        <v>105366.63558461539</v>
      </c>
      <c r="H24" s="11">
        <f>('Model Inputs'!H25/H6)*H8</f>
        <v>110275.83246521741</v>
      </c>
      <c r="I24" s="11">
        <f>('Model Inputs'!I25/I6)*I8</f>
        <v>116441.32548913045</v>
      </c>
      <c r="J24" s="11">
        <f>('Model Inputs'!J25/J6)*J8</f>
        <v>124066.37266813189</v>
      </c>
      <c r="K24" s="11">
        <f>('Model Inputs'!K25/K6)*K8</f>
        <v>130524.07132087913</v>
      </c>
      <c r="L24" s="11">
        <f>('Model Inputs'!L25/L6)*L8</f>
        <v>135603.84431739131</v>
      </c>
      <c r="M24" s="11">
        <f>('Model Inputs'!M25/M6)*M8</f>
        <v>142213.36384565217</v>
      </c>
      <c r="N24" s="11">
        <f>('Model Inputs'!N25/N6)*N8</f>
        <v>152243.53200000001</v>
      </c>
      <c r="O24" s="11">
        <f>('Model Inputs'!O25/O6)*O8</f>
        <v>151297.91992726061</v>
      </c>
      <c r="P24" s="11">
        <f>('Model Inputs'!P25/P6)*P8</f>
        <v>150372.86463871124</v>
      </c>
      <c r="Q24" s="11">
        <f>('Model Inputs'!Q25/Q6)*Q8</f>
        <v>151092.35195806684</v>
      </c>
      <c r="R24" s="11">
        <f>('Model Inputs'!R25/R6)*R8</f>
        <v>155185.43570580959</v>
      </c>
      <c r="S24" s="11">
        <f>('Model Inputs'!S25/S6)*S8</f>
        <v>154207.49567557292</v>
      </c>
      <c r="T24" s="11">
        <f>('Model Inputs'!T25/T6)*T8</f>
        <v>153250.81456367232</v>
      </c>
      <c r="U24" s="11">
        <f>('Model Inputs'!U25/U6)*U8</f>
        <v>153970.30188302792</v>
      </c>
      <c r="V24" s="11">
        <f>('Model Inputs'!V25/V6)*V8</f>
        <v>158127.34007354762</v>
      </c>
      <c r="W24" s="11">
        <f>('Model Inputs'!W25/W6)*W8</f>
        <v>157117.07076923078</v>
      </c>
      <c r="X24" s="11">
        <f t="shared" si="9"/>
        <v>105366.63558461539</v>
      </c>
      <c r="Y24" s="11">
        <f t="shared" si="10"/>
        <v>130524.07132087913</v>
      </c>
      <c r="Z24" s="11">
        <f t="shared" si="11"/>
        <v>151297.91992726061</v>
      </c>
      <c r="AA24" s="11">
        <f t="shared" si="12"/>
        <v>154207.49567557292</v>
      </c>
      <c r="AB24" s="11">
        <f t="shared" si="13"/>
        <v>157117.07076923078</v>
      </c>
    </row>
    <row r="25" spans="1:28" x14ac:dyDescent="0.3">
      <c r="A25" s="7" t="s">
        <v>48</v>
      </c>
      <c r="B25" s="7" t="s">
        <v>32</v>
      </c>
      <c r="C25" s="11">
        <f>'Model Inputs'!C38</f>
        <v>0</v>
      </c>
      <c r="D25" s="11">
        <f>('Model Inputs'!D26/D6)*D9</f>
        <v>0</v>
      </c>
      <c r="E25" s="11">
        <f>('Model Inputs'!E26/E6)*E9</f>
        <v>0</v>
      </c>
      <c r="F25" s="11">
        <f>('Model Inputs'!F26/F6)*F9</f>
        <v>0</v>
      </c>
      <c r="G25" s="11">
        <f>('Model Inputs'!G26/G6)*G9</f>
        <v>0</v>
      </c>
      <c r="H25" s="11">
        <f>('Model Inputs'!H26/H6)*H9</f>
        <v>0</v>
      </c>
      <c r="I25" s="11">
        <f>('Model Inputs'!I26/I6)*I9</f>
        <v>0</v>
      </c>
      <c r="J25" s="11">
        <f>('Model Inputs'!J26/J6)*J9</f>
        <v>0</v>
      </c>
      <c r="K25" s="11">
        <f>('Model Inputs'!K26/K6)*K9</f>
        <v>0</v>
      </c>
      <c r="L25" s="11">
        <f>('Model Inputs'!L26/L6)*L9</f>
        <v>0</v>
      </c>
      <c r="M25" s="11">
        <f>('Model Inputs'!M26/M6)*M9</f>
        <v>0</v>
      </c>
      <c r="N25" s="11">
        <f>('Model Inputs'!N26/N6)*N9</f>
        <v>0</v>
      </c>
      <c r="O25" s="11">
        <f>('Model Inputs'!O26/O6)*O9</f>
        <v>0</v>
      </c>
      <c r="P25" s="11">
        <f>('Model Inputs'!P26/P6)*P9</f>
        <v>0</v>
      </c>
      <c r="Q25" s="11">
        <f>('Model Inputs'!Q26/Q6)*Q9</f>
        <v>0</v>
      </c>
      <c r="R25" s="11">
        <f>('Model Inputs'!R26/R6)*R9</f>
        <v>0</v>
      </c>
      <c r="S25" s="11">
        <f>('Model Inputs'!S26/S6)*S9</f>
        <v>0</v>
      </c>
      <c r="T25" s="11">
        <f>('Model Inputs'!T26/T6)*T9</f>
        <v>0</v>
      </c>
      <c r="U25" s="11">
        <f>('Model Inputs'!U26/U6)*U9</f>
        <v>0</v>
      </c>
      <c r="V25" s="11">
        <f>('Model Inputs'!V26/V6)*V9</f>
        <v>0</v>
      </c>
      <c r="W25" s="11">
        <f>('Model Inputs'!W26/W6)*W9</f>
        <v>0</v>
      </c>
      <c r="X25" s="11">
        <f t="shared" si="9"/>
        <v>0</v>
      </c>
      <c r="Y25" s="11">
        <f t="shared" si="10"/>
        <v>0</v>
      </c>
      <c r="Z25" s="11">
        <f t="shared" si="11"/>
        <v>0</v>
      </c>
      <c r="AA25" s="11">
        <f t="shared" si="12"/>
        <v>0</v>
      </c>
      <c r="AB25" s="11">
        <f t="shared" si="13"/>
        <v>0</v>
      </c>
    </row>
    <row r="26" spans="1:28" x14ac:dyDescent="0.3">
      <c r="A26" s="7" t="s">
        <v>49</v>
      </c>
      <c r="B26" s="7" t="s">
        <v>32</v>
      </c>
      <c r="C26" s="11">
        <f>0</f>
        <v>0</v>
      </c>
      <c r="D26" s="11">
        <f>D8*'Model Inputs'!D28</f>
        <v>1329766.8750000002</v>
      </c>
      <c r="E26" s="11">
        <f>E8*'Model Inputs'!E28</f>
        <v>1417496.0283000001</v>
      </c>
      <c r="F26" s="11">
        <f>F8*'Model Inputs'!F28</f>
        <v>1506927.2832000002</v>
      </c>
      <c r="G26" s="11">
        <f>G8*'Model Inputs'!G28</f>
        <v>1598060.6397000002</v>
      </c>
      <c r="H26" s="11">
        <f>H8*'Model Inputs'!H28</f>
        <v>1690896.0978000003</v>
      </c>
      <c r="I26" s="11">
        <f>I8*'Model Inputs'!I28</f>
        <v>1785433.6575000002</v>
      </c>
      <c r="J26" s="11">
        <f>J8*'Model Inputs'!J28</f>
        <v>1881673.3188000005</v>
      </c>
      <c r="K26" s="11">
        <f>K8*'Model Inputs'!K28</f>
        <v>1979615.0817000002</v>
      </c>
      <c r="L26" s="11">
        <f>L8*'Model Inputs'!L28</f>
        <v>2079258.9462000001</v>
      </c>
      <c r="M26" s="11">
        <f>M8*'Model Inputs'!M28</f>
        <v>2180604.9123</v>
      </c>
      <c r="N26" s="11">
        <f>N8*'Model Inputs'!N28</f>
        <v>2283652.98</v>
      </c>
      <c r="O26" s="11">
        <f>O8*'Model Inputs'!O28</f>
        <v>2294685.1188967861</v>
      </c>
      <c r="P26" s="11">
        <f>P8*'Model Inputs'!P28</f>
        <v>2305717.2577935723</v>
      </c>
      <c r="Q26" s="11">
        <f>Q8*'Model Inputs'!Q28</f>
        <v>2316749.3966903579</v>
      </c>
      <c r="R26" s="11">
        <f>R8*'Model Inputs'!R28</f>
        <v>2327781.5355871441</v>
      </c>
      <c r="S26" s="11">
        <f>S8*'Model Inputs'!S28</f>
        <v>2338813.6844128561</v>
      </c>
      <c r="T26" s="11">
        <f>T8*'Model Inputs'!T28</f>
        <v>2349845.8233096423</v>
      </c>
      <c r="U26" s="11">
        <f>U8*'Model Inputs'!U28</f>
        <v>2360877.9622064279</v>
      </c>
      <c r="V26" s="11">
        <f>V8*'Model Inputs'!V28</f>
        <v>2371910.1011032141</v>
      </c>
      <c r="W26" s="11">
        <f>W8*'Model Inputs'!W28</f>
        <v>2382942.2400000002</v>
      </c>
      <c r="X26" s="11">
        <f t="shared" si="9"/>
        <v>1598060.6397000002</v>
      </c>
      <c r="Y26" s="11">
        <f t="shared" si="10"/>
        <v>1979615.0817000002</v>
      </c>
      <c r="Z26" s="11">
        <f t="shared" si="11"/>
        <v>2294685.1188967861</v>
      </c>
      <c r="AA26" s="11">
        <f t="shared" si="12"/>
        <v>2338813.6844128561</v>
      </c>
      <c r="AB26" s="11">
        <f t="shared" si="13"/>
        <v>2382942.2400000002</v>
      </c>
    </row>
    <row r="27" spans="1:28" x14ac:dyDescent="0.3">
      <c r="A27" s="18" t="s">
        <v>50</v>
      </c>
      <c r="B27" s="18" t="s">
        <v>32</v>
      </c>
      <c r="C27" s="19">
        <f t="shared" ref="C27:W27" si="14">SUM(C23:C26)</f>
        <v>12000</v>
      </c>
      <c r="D27" s="19">
        <f t="shared" si="14"/>
        <v>17828972.979347825</v>
      </c>
      <c r="E27" s="19">
        <f t="shared" si="14"/>
        <v>17838406.966948949</v>
      </c>
      <c r="F27" s="19">
        <f t="shared" si="14"/>
        <v>17726112.197879989</v>
      </c>
      <c r="G27" s="19">
        <f t="shared" si="14"/>
        <v>17482482.740113862</v>
      </c>
      <c r="H27" s="19">
        <f t="shared" si="14"/>
        <v>17108034.162646111</v>
      </c>
      <c r="I27" s="19">
        <f t="shared" si="14"/>
        <v>16596653.110745845</v>
      </c>
      <c r="J27" s="19">
        <f t="shared" si="14"/>
        <v>15945956.803198243</v>
      </c>
      <c r="K27" s="19">
        <f t="shared" si="14"/>
        <v>15149124.373216184</v>
      </c>
      <c r="L27" s="19">
        <f t="shared" si="14"/>
        <v>14203385.064784134</v>
      </c>
      <c r="M27" s="19">
        <f t="shared" si="14"/>
        <v>13104188.830298349</v>
      </c>
      <c r="N27" s="19">
        <f t="shared" si="14"/>
        <v>11850892.398615291</v>
      </c>
      <c r="O27" s="19">
        <f t="shared" si="14"/>
        <v>11726953.191634705</v>
      </c>
      <c r="P27" s="19">
        <f t="shared" si="14"/>
        <v>11602989.665946459</v>
      </c>
      <c r="Q27" s="19">
        <f t="shared" si="14"/>
        <v>11477260.200387385</v>
      </c>
      <c r="R27" s="19">
        <f t="shared" si="14"/>
        <v>11353191.581435654</v>
      </c>
      <c r="S27" s="19">
        <f t="shared" si="14"/>
        <v>11222330.56330006</v>
      </c>
      <c r="T27" s="19">
        <f t="shared" si="14"/>
        <v>11091499.241143614</v>
      </c>
      <c r="U27" s="19">
        <f t="shared" si="14"/>
        <v>10958882.813614063</v>
      </c>
      <c r="V27" s="19">
        <f t="shared" si="14"/>
        <v>10827993.001568368</v>
      </c>
      <c r="W27" s="19">
        <f t="shared" si="14"/>
        <v>10690210.728907298</v>
      </c>
      <c r="X27" s="19">
        <f t="shared" si="9"/>
        <v>17482482.740113862</v>
      </c>
      <c r="Y27" s="19">
        <f t="shared" si="10"/>
        <v>15149124.373216184</v>
      </c>
      <c r="Z27" s="19">
        <f t="shared" si="11"/>
        <v>11726953.191634705</v>
      </c>
      <c r="AA27" s="19">
        <f t="shared" si="12"/>
        <v>11222330.56330006</v>
      </c>
      <c r="AB27" s="19">
        <f t="shared" si="13"/>
        <v>10690210.728907298</v>
      </c>
    </row>
    <row r="28" spans="1:28" x14ac:dyDescent="0.3">
      <c r="A28" s="7" t="s">
        <v>51</v>
      </c>
      <c r="B28" s="7" t="s">
        <v>32</v>
      </c>
      <c r="C28" s="11">
        <f>'Model Inputs'!C53</f>
        <v>40000</v>
      </c>
      <c r="D28" s="11">
        <f>'Model Inputs'!D53</f>
        <v>40190</v>
      </c>
      <c r="E28" s="11">
        <f>'Model Inputs'!E53</f>
        <v>40370.895189999996</v>
      </c>
      <c r="F28" s="11">
        <f>'Model Inputs'!F53</f>
        <v>40542.592607293067</v>
      </c>
      <c r="G28" s="11">
        <f>'Model Inputs'!G53</f>
        <v>40705.046775834024</v>
      </c>
      <c r="H28" s="11">
        <f>'Model Inputs'!H53</f>
        <v>40858.138456878769</v>
      </c>
      <c r="I28" s="11">
        <f>'Model Inputs'!I53</f>
        <v>41001.754813270309</v>
      </c>
      <c r="J28" s="11">
        <f>'Model Inputs'!J53</f>
        <v>41135.830551443352</v>
      </c>
      <c r="K28" s="11">
        <f>'Model Inputs'!K53</f>
        <v>41260.307574934799</v>
      </c>
      <c r="L28" s="11">
        <f>'Model Inputs'!L53</f>
        <v>41375.093750733591</v>
      </c>
      <c r="M28" s="11">
        <f>'Model Inputs'!M53</f>
        <v>41480.103738919286</v>
      </c>
      <c r="N28" s="11">
        <f>'Model Inputs'!N53</f>
        <v>41575.259097201772</v>
      </c>
      <c r="O28" s="11">
        <f>'Model Inputs'!O53</f>
        <v>41660.529953124125</v>
      </c>
      <c r="P28" s="11">
        <f>'Model Inputs'!P53</f>
        <v>41735.810530983799</v>
      </c>
      <c r="Q28" s="11">
        <f>'Model Inputs'!Q53</f>
        <v>41801.001867378276</v>
      </c>
      <c r="R28" s="11">
        <f>'Model Inputs'!R53</f>
        <v>41856.09558750259</v>
      </c>
      <c r="S28" s="11">
        <f>'Model Inputs'!S53</f>
        <v>41901.007178130465</v>
      </c>
      <c r="T28" s="11">
        <f>'Model Inputs'!T53</f>
        <v>41935.659311176132</v>
      </c>
      <c r="U28" s="11">
        <f>'Model Inputs'!U53</f>
        <v>41959.981994020731</v>
      </c>
      <c r="V28" s="11">
        <f>'Model Inputs'!V53</f>
        <v>41973.954668054641</v>
      </c>
      <c r="W28" s="11">
        <f>'Model Inputs'!W53</f>
        <v>41977.48047990648</v>
      </c>
      <c r="X28" s="11">
        <f t="shared" si="9"/>
        <v>40705.046775834024</v>
      </c>
      <c r="Y28" s="11">
        <f t="shared" si="10"/>
        <v>41260.307574934799</v>
      </c>
      <c r="Z28" s="11">
        <f t="shared" si="11"/>
        <v>41660.529953124125</v>
      </c>
      <c r="AA28" s="11">
        <f t="shared" si="12"/>
        <v>41901.007178130465</v>
      </c>
      <c r="AB28" s="11">
        <f t="shared" si="13"/>
        <v>41977.48047990648</v>
      </c>
    </row>
    <row r="29" spans="1:28" x14ac:dyDescent="0.3">
      <c r="A29" s="7" t="s">
        <v>52</v>
      </c>
      <c r="B29" s="7" t="s">
        <v>32</v>
      </c>
      <c r="C29" s="11">
        <f>'Model Inputs'!C50</f>
        <v>0</v>
      </c>
      <c r="D29" s="11">
        <f>'Model Inputs'!D50</f>
        <v>0</v>
      </c>
      <c r="E29" s="11">
        <f>'Model Inputs'!E50</f>
        <v>0</v>
      </c>
      <c r="F29" s="11">
        <f>'Model Inputs'!F50</f>
        <v>0</v>
      </c>
      <c r="G29" s="11">
        <f>'Model Inputs'!G50</f>
        <v>0</v>
      </c>
      <c r="H29" s="11">
        <f>'Model Inputs'!H50</f>
        <v>0</v>
      </c>
      <c r="I29" s="11">
        <f>'Model Inputs'!I50</f>
        <v>0</v>
      </c>
      <c r="J29" s="11">
        <f>'Model Inputs'!J50</f>
        <v>0</v>
      </c>
      <c r="K29" s="11">
        <f>'Model Inputs'!K50</f>
        <v>0</v>
      </c>
      <c r="L29" s="11">
        <f>'Model Inputs'!L50</f>
        <v>0</v>
      </c>
      <c r="M29" s="11">
        <f>'Model Inputs'!M50</f>
        <v>0</v>
      </c>
      <c r="N29" s="11">
        <f>'Model Inputs'!N50</f>
        <v>0</v>
      </c>
      <c r="O29" s="11">
        <f>'Model Inputs'!O50</f>
        <v>0</v>
      </c>
      <c r="P29" s="11">
        <f>'Model Inputs'!P50</f>
        <v>0</v>
      </c>
      <c r="Q29" s="11">
        <f>'Model Inputs'!Q50</f>
        <v>0</v>
      </c>
      <c r="R29" s="11">
        <f>'Model Inputs'!R50</f>
        <v>0</v>
      </c>
      <c r="S29" s="11">
        <f>'Model Inputs'!S50</f>
        <v>0</v>
      </c>
      <c r="T29" s="11">
        <f>'Model Inputs'!T50</f>
        <v>0</v>
      </c>
      <c r="U29" s="11">
        <f>'Model Inputs'!U50</f>
        <v>0</v>
      </c>
      <c r="V29" s="11">
        <f>'Model Inputs'!V50</f>
        <v>0</v>
      </c>
      <c r="W29" s="11">
        <f>'Model Inputs'!W50</f>
        <v>0</v>
      </c>
      <c r="X29" s="11">
        <f t="shared" si="9"/>
        <v>0</v>
      </c>
      <c r="Y29" s="11">
        <f t="shared" si="10"/>
        <v>0</v>
      </c>
      <c r="Z29" s="11">
        <f t="shared" si="11"/>
        <v>0</v>
      </c>
      <c r="AA29" s="11">
        <f t="shared" si="12"/>
        <v>0</v>
      </c>
      <c r="AB29" s="11">
        <f t="shared" si="13"/>
        <v>0</v>
      </c>
    </row>
    <row r="30" spans="1:28" x14ac:dyDescent="0.3">
      <c r="A30" s="7" t="s">
        <v>53</v>
      </c>
      <c r="B30" s="7" t="s">
        <v>32</v>
      </c>
      <c r="C30" s="11">
        <f>'Model Inputs'!C54</f>
        <v>0</v>
      </c>
      <c r="D30" s="11">
        <f>'Model Inputs'!D54</f>
        <v>-10</v>
      </c>
      <c r="E30" s="11">
        <f>'Model Inputs'!E54</f>
        <v>-30.05481</v>
      </c>
      <c r="F30" s="11">
        <f>'Model Inputs'!F54</f>
        <v>-60.211868706929998</v>
      </c>
      <c r="G30" s="11">
        <f>'Model Inputs'!G54</f>
        <v>-100.47066316597201</v>
      </c>
      <c r="H30" s="11">
        <f>'Model Inputs'!H54</f>
        <v>-150.90421612123038</v>
      </c>
      <c r="I30" s="11">
        <f>'Model Inputs'!I54</f>
        <v>-211.57855172969533</v>
      </c>
      <c r="J30" s="11">
        <f>'Model Inputs'!J54</f>
        <v>-282.51158755665296</v>
      </c>
      <c r="K30" s="11">
        <f>'Model Inputs'!K54</f>
        <v>-363.7137170652021</v>
      </c>
      <c r="L30" s="11">
        <f>'Model Inputs'!L54</f>
        <v>-455.2290792664075</v>
      </c>
      <c r="M30" s="11">
        <f>'Model Inputs'!M54</f>
        <v>-557.09456008071356</v>
      </c>
      <c r="N30" s="11">
        <f>'Model Inputs'!N54</f>
        <v>-669.33972079822911</v>
      </c>
      <c r="O30" s="11">
        <f>'Model Inputs'!O54</f>
        <v>-791.94515987587715</v>
      </c>
      <c r="P30" s="11">
        <f>'Model Inputs'!P54</f>
        <v>-924.9672320162025</v>
      </c>
      <c r="Q30" s="11">
        <f>'Model Inputs'!Q54</f>
        <v>-1068.4549486217247</v>
      </c>
      <c r="R30" s="11">
        <f>'Model Inputs'!R54</f>
        <v>-1222.3662374974115</v>
      </c>
      <c r="S30" s="11">
        <f>'Model Inputs'!S54</f>
        <v>-1386.735124869534</v>
      </c>
      <c r="T30" s="11">
        <f>'Model Inputs'!T54</f>
        <v>-1561.5880278238724</v>
      </c>
      <c r="U30" s="11">
        <f>'Model Inputs'!U54</f>
        <v>-1746.943641979271</v>
      </c>
      <c r="V30" s="11">
        <f>'Model Inputs'!V54</f>
        <v>-1942.7708779453658</v>
      </c>
      <c r="W30" s="11">
        <f>'Model Inputs'!W54</f>
        <v>-2149.1148390935223</v>
      </c>
      <c r="X30" s="11">
        <f t="shared" si="9"/>
        <v>-100.47066316597201</v>
      </c>
      <c r="Y30" s="11">
        <f t="shared" si="10"/>
        <v>-363.7137170652021</v>
      </c>
      <c r="Z30" s="11">
        <f t="shared" si="11"/>
        <v>-791.94515987587715</v>
      </c>
      <c r="AA30" s="11">
        <f t="shared" si="12"/>
        <v>-1386.735124869534</v>
      </c>
      <c r="AB30" s="11">
        <f t="shared" si="13"/>
        <v>-2149.1148390935223</v>
      </c>
    </row>
    <row r="31" spans="1:28" x14ac:dyDescent="0.3">
      <c r="A31" s="18" t="s">
        <v>54</v>
      </c>
      <c r="B31" s="18" t="s">
        <v>32</v>
      </c>
      <c r="C31" s="19">
        <f t="shared" ref="C31:W31" si="15">C27+C28+C29</f>
        <v>52000</v>
      </c>
      <c r="D31" s="19">
        <f t="shared" si="15"/>
        <v>17869162.979347825</v>
      </c>
      <c r="E31" s="19">
        <f t="shared" si="15"/>
        <v>17878777.862138949</v>
      </c>
      <c r="F31" s="19">
        <f t="shared" si="15"/>
        <v>17766654.790487282</v>
      </c>
      <c r="G31" s="19">
        <f t="shared" si="15"/>
        <v>17523187.786889695</v>
      </c>
      <c r="H31" s="19">
        <f t="shared" si="15"/>
        <v>17148892.301102988</v>
      </c>
      <c r="I31" s="19">
        <f t="shared" si="15"/>
        <v>16637654.865559116</v>
      </c>
      <c r="J31" s="19">
        <f t="shared" si="15"/>
        <v>15987092.633749686</v>
      </c>
      <c r="K31" s="19">
        <f t="shared" si="15"/>
        <v>15190384.680791119</v>
      </c>
      <c r="L31" s="19">
        <f t="shared" si="15"/>
        <v>14244760.158534868</v>
      </c>
      <c r="M31" s="19">
        <f t="shared" si="15"/>
        <v>13145668.934037268</v>
      </c>
      <c r="N31" s="19">
        <f t="shared" si="15"/>
        <v>11892467.657712493</v>
      </c>
      <c r="O31" s="19">
        <f t="shared" si="15"/>
        <v>11768613.721587829</v>
      </c>
      <c r="P31" s="19">
        <f t="shared" si="15"/>
        <v>11644725.476477442</v>
      </c>
      <c r="Q31" s="19">
        <f t="shared" si="15"/>
        <v>11519061.202254763</v>
      </c>
      <c r="R31" s="19">
        <f t="shared" si="15"/>
        <v>11395047.677023157</v>
      </c>
      <c r="S31" s="19">
        <f t="shared" si="15"/>
        <v>11264231.57047819</v>
      </c>
      <c r="T31" s="19">
        <f t="shared" si="15"/>
        <v>11133434.900454789</v>
      </c>
      <c r="U31" s="19">
        <f t="shared" si="15"/>
        <v>11000842.795608083</v>
      </c>
      <c r="V31" s="19">
        <f t="shared" si="15"/>
        <v>10869966.956236422</v>
      </c>
      <c r="W31" s="19">
        <f t="shared" si="15"/>
        <v>10732188.209387206</v>
      </c>
      <c r="X31" s="19">
        <f t="shared" si="9"/>
        <v>17523187.786889695</v>
      </c>
      <c r="Y31" s="19">
        <f t="shared" si="10"/>
        <v>15190384.680791119</v>
      </c>
      <c r="Z31" s="19">
        <f t="shared" si="11"/>
        <v>11768613.721587829</v>
      </c>
      <c r="AA31" s="19">
        <f t="shared" si="12"/>
        <v>11264231.57047819</v>
      </c>
      <c r="AB31" s="19">
        <f t="shared" si="13"/>
        <v>10732188.209387206</v>
      </c>
    </row>
    <row r="32" spans="1:28" x14ac:dyDescent="0.3">
      <c r="A32" s="7" t="s">
        <v>55</v>
      </c>
      <c r="B32" s="7" t="s">
        <v>32</v>
      </c>
      <c r="C32" s="11">
        <f>'Model Inputs'!C39</f>
        <v>4000</v>
      </c>
      <c r="D32" s="11">
        <f>('Model Inputs'!D27/D6)*SUM(D11:D15)</f>
        <v>4200062.4293478271</v>
      </c>
      <c r="E32" s="11">
        <f>('Model Inputs'!E27/E6)*SUM(E11:E15)</f>
        <v>4086422.1710569565</v>
      </c>
      <c r="F32" s="11">
        <f>('Model Inputs'!F27/F6)*SUM(F11:F15)</f>
        <v>4016431.1776480004</v>
      </c>
      <c r="G32" s="11">
        <f>('Model Inputs'!G27/G6)*SUM(G11:G15)</f>
        <v>3767702.8942008801</v>
      </c>
      <c r="H32" s="11">
        <f>('Model Inputs'!H27/H6)*SUM(H11:H15)</f>
        <v>3478966.0517191305</v>
      </c>
      <c r="I32" s="11">
        <f>('Model Inputs'!I27/I6)*SUM(I11:I15)</f>
        <v>3182275.8670108696</v>
      </c>
      <c r="J32" s="11">
        <f>('Model Inputs'!J27/J6)*SUM(J11:J15)</f>
        <v>2867494.9149652757</v>
      </c>
      <c r="K32" s="11">
        <f>('Model Inputs'!K27/K6)*SUM(K11:K15)</f>
        <v>2466529.3447002205</v>
      </c>
      <c r="L32" s="11">
        <f>('Model Inputs'!L27/L6)*SUM(L11:L15)</f>
        <v>1992132.7084421734</v>
      </c>
      <c r="M32" s="11">
        <f>('Model Inputs'!M27/M6)*SUM(M11:M15)</f>
        <v>1490013.6614973915</v>
      </c>
      <c r="N32" s="11">
        <f>('Model Inputs'!N27/N6)*SUM(N11:N15)</f>
        <v>953774.92783333338</v>
      </c>
      <c r="O32" s="11">
        <f>('Model Inputs'!O27/O6)*SUM(O11:O15)</f>
        <v>914036.48732698068</v>
      </c>
      <c r="P32" s="11">
        <f>('Model Inputs'!P27/P6)*SUM(P11:P15)</f>
        <v>875951.97365709138</v>
      </c>
      <c r="Q32" s="11">
        <f>('Model Inputs'!Q27/Q6)*SUM(Q11:Q15)</f>
        <v>846373.04721838539</v>
      </c>
      <c r="R32" s="11">
        <f>('Model Inputs'!R27/R6)*SUM(R11:R15)</f>
        <v>834618.22305191553</v>
      </c>
      <c r="S32" s="11">
        <f>('Model Inputs'!S27/S6)*SUM(S11:S15)</f>
        <v>794896.05559828342</v>
      </c>
      <c r="T32" s="11">
        <f>('Model Inputs'!T27/T6)*SUM(T11:T15)</f>
        <v>756860.70736597804</v>
      </c>
      <c r="U32" s="11">
        <f>('Model Inputs'!U27/U6)*SUM(U11:U15)</f>
        <v>726002.69221563125</v>
      </c>
      <c r="V32" s="11">
        <f>('Model Inputs'!V27/V6)*SUM(V11:V15)</f>
        <v>710265.45836608997</v>
      </c>
      <c r="W32" s="11">
        <f>('Model Inputs'!W27/W6)*SUM(W11:W15)</f>
        <v>670616.65697802207</v>
      </c>
      <c r="X32" s="11">
        <f t="shared" si="9"/>
        <v>3767702.8942008801</v>
      </c>
      <c r="Y32" s="11">
        <f t="shared" si="10"/>
        <v>2466529.3447002205</v>
      </c>
      <c r="Z32" s="11">
        <f t="shared" si="11"/>
        <v>914036.48732698068</v>
      </c>
      <c r="AA32" s="11">
        <f t="shared" si="12"/>
        <v>794896.05559828342</v>
      </c>
      <c r="AB32" s="11">
        <f t="shared" si="13"/>
        <v>670616.65697802207</v>
      </c>
    </row>
    <row r="33" spans="1:28" x14ac:dyDescent="0.3">
      <c r="A33" s="7" t="s">
        <v>56</v>
      </c>
      <c r="B33" s="7" t="s">
        <v>32</v>
      </c>
      <c r="C33" s="11">
        <f>'Model Inputs'!C40</f>
        <v>0</v>
      </c>
      <c r="D33" s="11">
        <f>SUM('Debt Schedule'!E10:H10)</f>
        <v>6000</v>
      </c>
      <c r="E33" s="11">
        <f>SUM('Debt Schedule'!F10:I10)</f>
        <v>6000</v>
      </c>
      <c r="F33" s="11">
        <f>SUM('Debt Schedule'!G10:J10)</f>
        <v>6000</v>
      </c>
      <c r="G33" s="11">
        <f>SUM('Debt Schedule'!H10:K10)</f>
        <v>6000</v>
      </c>
      <c r="H33" s="11">
        <f>SUM('Debt Schedule'!I10:L10)</f>
        <v>6000</v>
      </c>
      <c r="I33" s="11">
        <f>SUM('Debt Schedule'!J10:M10)</f>
        <v>6000</v>
      </c>
      <c r="J33" s="11">
        <f>SUM('Debt Schedule'!K10:N10)</f>
        <v>6000</v>
      </c>
      <c r="K33" s="11">
        <f>SUM('Debt Schedule'!L10:O10)</f>
        <v>6000</v>
      </c>
      <c r="L33" s="11">
        <f>SUM('Debt Schedule'!M10:P10)</f>
        <v>6000</v>
      </c>
      <c r="M33" s="11">
        <f>SUM('Debt Schedule'!N10:Q10)</f>
        <v>6000</v>
      </c>
      <c r="N33" s="11">
        <f>SUM('Debt Schedule'!O10:R10)</f>
        <v>6000</v>
      </c>
      <c r="O33" s="11">
        <f>SUM('Debt Schedule'!P10:S10)</f>
        <v>6000</v>
      </c>
      <c r="P33" s="11">
        <f>SUM('Debt Schedule'!Q10:T10)</f>
        <v>6000</v>
      </c>
      <c r="Q33" s="11">
        <f>SUM('Debt Schedule'!R10:U10)</f>
        <v>6000</v>
      </c>
      <c r="R33" s="11">
        <f>SUM('Debt Schedule'!S10:V10)</f>
        <v>6000</v>
      </c>
      <c r="S33" s="11">
        <f>SUM('Debt Schedule'!T10:W10)</f>
        <v>6000</v>
      </c>
      <c r="T33" s="11">
        <f>SUM('Debt Schedule'!U10:W10)</f>
        <v>4500</v>
      </c>
      <c r="U33" s="11">
        <f>SUM('Debt Schedule'!V10:W10)</f>
        <v>3000</v>
      </c>
      <c r="V33" s="11">
        <f>SUM('Debt Schedule'!W10:W10)</f>
        <v>1500</v>
      </c>
      <c r="W33" s="11">
        <f>0</f>
        <v>0</v>
      </c>
      <c r="X33" s="11">
        <f t="shared" si="9"/>
        <v>6000</v>
      </c>
      <c r="Y33" s="11">
        <f t="shared" si="10"/>
        <v>6000</v>
      </c>
      <c r="Z33" s="11">
        <f t="shared" si="11"/>
        <v>6000</v>
      </c>
      <c r="AA33" s="11">
        <f t="shared" si="12"/>
        <v>6000</v>
      </c>
      <c r="AB33" s="11">
        <f t="shared" si="13"/>
        <v>0</v>
      </c>
    </row>
    <row r="34" spans="1:28" x14ac:dyDescent="0.3">
      <c r="A34" s="7" t="s">
        <v>57</v>
      </c>
      <c r="B34" s="7" t="s">
        <v>32</v>
      </c>
      <c r="C34" s="11">
        <f>0</f>
        <v>0</v>
      </c>
      <c r="D34" s="11">
        <f>'Model Inputs'!D29*D8</f>
        <v>0</v>
      </c>
      <c r="E34" s="11">
        <f>'Model Inputs'!E29*E8</f>
        <v>0</v>
      </c>
      <c r="F34" s="11">
        <f>'Model Inputs'!F29*F8</f>
        <v>0</v>
      </c>
      <c r="G34" s="11">
        <f>'Model Inputs'!G29*G8</f>
        <v>0</v>
      </c>
      <c r="H34" s="11">
        <f>'Model Inputs'!H29*H8</f>
        <v>0</v>
      </c>
      <c r="I34" s="11">
        <f>'Model Inputs'!I29*I8</f>
        <v>0</v>
      </c>
      <c r="J34" s="11">
        <f>'Model Inputs'!J29*J8</f>
        <v>0</v>
      </c>
      <c r="K34" s="11">
        <f>'Model Inputs'!K29*K8</f>
        <v>0</v>
      </c>
      <c r="L34" s="11">
        <f>'Model Inputs'!L29*L8</f>
        <v>0</v>
      </c>
      <c r="M34" s="11">
        <f>'Model Inputs'!M29*M8</f>
        <v>0</v>
      </c>
      <c r="N34" s="11">
        <f>'Model Inputs'!N29*N8</f>
        <v>0</v>
      </c>
      <c r="O34" s="11">
        <f>'Model Inputs'!O29*O8</f>
        <v>0</v>
      </c>
      <c r="P34" s="11">
        <f>'Model Inputs'!P29*P8</f>
        <v>0</v>
      </c>
      <c r="Q34" s="11">
        <f>'Model Inputs'!Q29*Q8</f>
        <v>0</v>
      </c>
      <c r="R34" s="11">
        <f>'Model Inputs'!R29*R8</f>
        <v>0</v>
      </c>
      <c r="S34" s="11">
        <f>'Model Inputs'!S29*S8</f>
        <v>0</v>
      </c>
      <c r="T34" s="11">
        <f>'Model Inputs'!T29*T8</f>
        <v>0</v>
      </c>
      <c r="U34" s="11">
        <f>'Model Inputs'!U29*U8</f>
        <v>0</v>
      </c>
      <c r="V34" s="11">
        <f>'Model Inputs'!V29*V8</f>
        <v>0</v>
      </c>
      <c r="W34" s="11">
        <f>'Model Inputs'!W29*W8</f>
        <v>0</v>
      </c>
      <c r="X34" s="11">
        <f t="shared" si="9"/>
        <v>0</v>
      </c>
      <c r="Y34" s="11">
        <f t="shared" si="10"/>
        <v>0</v>
      </c>
      <c r="Z34" s="11">
        <f t="shared" si="11"/>
        <v>0</v>
      </c>
      <c r="AA34" s="11">
        <f t="shared" si="12"/>
        <v>0</v>
      </c>
      <c r="AB34" s="11">
        <f t="shared" si="13"/>
        <v>0</v>
      </c>
    </row>
    <row r="35" spans="1:28" x14ac:dyDescent="0.3">
      <c r="A35" s="18" t="s">
        <v>58</v>
      </c>
      <c r="B35" s="18" t="s">
        <v>32</v>
      </c>
      <c r="C35" s="19">
        <f t="shared" ref="C35:W35" si="16">SUM(C32:C34)</f>
        <v>4000</v>
      </c>
      <c r="D35" s="19">
        <f t="shared" si="16"/>
        <v>4206062.4293478271</v>
      </c>
      <c r="E35" s="19">
        <f t="shared" si="16"/>
        <v>4092422.1710569565</v>
      </c>
      <c r="F35" s="19">
        <f t="shared" si="16"/>
        <v>4022431.1776480004</v>
      </c>
      <c r="G35" s="19">
        <f t="shared" si="16"/>
        <v>3773702.8942008801</v>
      </c>
      <c r="H35" s="19">
        <f t="shared" si="16"/>
        <v>3484966.0517191305</v>
      </c>
      <c r="I35" s="19">
        <f t="shared" si="16"/>
        <v>3188275.8670108696</v>
      </c>
      <c r="J35" s="19">
        <f t="shared" si="16"/>
        <v>2873494.9149652757</v>
      </c>
      <c r="K35" s="19">
        <f t="shared" si="16"/>
        <v>2472529.3447002205</v>
      </c>
      <c r="L35" s="19">
        <f t="shared" si="16"/>
        <v>1998132.7084421734</v>
      </c>
      <c r="M35" s="19">
        <f t="shared" si="16"/>
        <v>1496013.6614973915</v>
      </c>
      <c r="N35" s="19">
        <f t="shared" si="16"/>
        <v>959774.92783333338</v>
      </c>
      <c r="O35" s="19">
        <f t="shared" si="16"/>
        <v>920036.48732698068</v>
      </c>
      <c r="P35" s="19">
        <f t="shared" si="16"/>
        <v>881951.97365709138</v>
      </c>
      <c r="Q35" s="19">
        <f t="shared" si="16"/>
        <v>852373.04721838539</v>
      </c>
      <c r="R35" s="19">
        <f t="shared" si="16"/>
        <v>840618.22305191553</v>
      </c>
      <c r="S35" s="19">
        <f t="shared" si="16"/>
        <v>800896.05559828342</v>
      </c>
      <c r="T35" s="19">
        <f t="shared" si="16"/>
        <v>761360.70736597804</v>
      </c>
      <c r="U35" s="19">
        <f t="shared" si="16"/>
        <v>729002.69221563125</v>
      </c>
      <c r="V35" s="19">
        <f t="shared" si="16"/>
        <v>711765.45836608997</v>
      </c>
      <c r="W35" s="19">
        <f t="shared" si="16"/>
        <v>670616.65697802207</v>
      </c>
      <c r="X35" s="19">
        <f t="shared" si="9"/>
        <v>3773702.8942008801</v>
      </c>
      <c r="Y35" s="19">
        <f t="shared" si="10"/>
        <v>2472529.3447002205</v>
      </c>
      <c r="Z35" s="19">
        <f t="shared" si="11"/>
        <v>920036.48732698068</v>
      </c>
      <c r="AA35" s="19">
        <f t="shared" si="12"/>
        <v>800896.05559828342</v>
      </c>
      <c r="AB35" s="19">
        <f t="shared" si="13"/>
        <v>670616.65697802207</v>
      </c>
    </row>
    <row r="36" spans="1:28" x14ac:dyDescent="0.3">
      <c r="A36" s="7" t="s">
        <v>59</v>
      </c>
      <c r="B36" s="7" t="s">
        <v>32</v>
      </c>
      <c r="C36" s="11">
        <f>MAX(0,'Model Inputs'!C41-C33)</f>
        <v>30000</v>
      </c>
      <c r="D36" s="11">
        <f>MAX(0,'Model Inputs'!D44-D33)</f>
        <v>22500</v>
      </c>
      <c r="E36" s="11">
        <f>MAX(0,'Model Inputs'!E44-E33)</f>
        <v>21000</v>
      </c>
      <c r="F36" s="11">
        <f>MAX(0,'Model Inputs'!F44-F33)</f>
        <v>19500</v>
      </c>
      <c r="G36" s="11">
        <f>MAX(0,'Model Inputs'!G44-G33)</f>
        <v>18000</v>
      </c>
      <c r="H36" s="11">
        <f>MAX(0,'Model Inputs'!H44-H33)</f>
        <v>16500</v>
      </c>
      <c r="I36" s="11">
        <f>MAX(0,'Model Inputs'!I44-I33)</f>
        <v>15000</v>
      </c>
      <c r="J36" s="11">
        <f>MAX(0,'Model Inputs'!J44-J33)</f>
        <v>13500</v>
      </c>
      <c r="K36" s="11">
        <f>MAX(0,'Model Inputs'!K44-K33)</f>
        <v>12000</v>
      </c>
      <c r="L36" s="11">
        <f>MAX(0,'Model Inputs'!L44-L33)</f>
        <v>10500</v>
      </c>
      <c r="M36" s="11">
        <f>MAX(0,'Model Inputs'!M44-M33)</f>
        <v>9000</v>
      </c>
      <c r="N36" s="11">
        <f>MAX(0,'Model Inputs'!N44-N33)</f>
        <v>7500</v>
      </c>
      <c r="O36" s="11">
        <f>MAX(0,'Model Inputs'!O44-O33)</f>
        <v>6000</v>
      </c>
      <c r="P36" s="11">
        <f>MAX(0,'Model Inputs'!P44-P33)</f>
        <v>4500</v>
      </c>
      <c r="Q36" s="11">
        <f>MAX(0,'Model Inputs'!Q44-Q33)</f>
        <v>3000</v>
      </c>
      <c r="R36" s="11">
        <f>MAX(0,'Model Inputs'!R44-R33)</f>
        <v>1500</v>
      </c>
      <c r="S36" s="11">
        <f>MAX(0,'Model Inputs'!S44-S33)</f>
        <v>0</v>
      </c>
      <c r="T36" s="11">
        <f>MAX(0,'Model Inputs'!T44-T33)</f>
        <v>0</v>
      </c>
      <c r="U36" s="11">
        <f>MAX(0,'Model Inputs'!U44-U33)</f>
        <v>0</v>
      </c>
      <c r="V36" s="11">
        <f>MAX(0,'Model Inputs'!V44-V33)</f>
        <v>0</v>
      </c>
      <c r="W36" s="11">
        <f>MAX(0,'Model Inputs'!W44-W33)</f>
        <v>0</v>
      </c>
      <c r="X36" s="11">
        <f t="shared" si="9"/>
        <v>18000</v>
      </c>
      <c r="Y36" s="11">
        <f t="shared" si="10"/>
        <v>12000</v>
      </c>
      <c r="Z36" s="11">
        <f t="shared" si="11"/>
        <v>6000</v>
      </c>
      <c r="AA36" s="11">
        <f t="shared" si="12"/>
        <v>0</v>
      </c>
      <c r="AB36" s="11">
        <f t="shared" si="13"/>
        <v>0</v>
      </c>
    </row>
    <row r="37" spans="1:28" x14ac:dyDescent="0.3">
      <c r="A37" s="7" t="s">
        <v>60</v>
      </c>
      <c r="B37" s="7" t="s">
        <v>32</v>
      </c>
      <c r="C37" s="11">
        <f>'Model Inputs'!C49</f>
        <v>0</v>
      </c>
      <c r="D37" s="11">
        <f>'Model Inputs'!D49</f>
        <v>0</v>
      </c>
      <c r="E37" s="11">
        <f>'Model Inputs'!E49</f>
        <v>0</v>
      </c>
      <c r="F37" s="11">
        <f>'Model Inputs'!F49</f>
        <v>0</v>
      </c>
      <c r="G37" s="11">
        <f>'Model Inputs'!G49</f>
        <v>0</v>
      </c>
      <c r="H37" s="11">
        <f>'Model Inputs'!H49</f>
        <v>0</v>
      </c>
      <c r="I37" s="11">
        <f>'Model Inputs'!I49</f>
        <v>0</v>
      </c>
      <c r="J37" s="11">
        <f>'Model Inputs'!J49</f>
        <v>0</v>
      </c>
      <c r="K37" s="11">
        <f>'Model Inputs'!K49</f>
        <v>0</v>
      </c>
      <c r="L37" s="11">
        <f>'Model Inputs'!L49</f>
        <v>0</v>
      </c>
      <c r="M37" s="11">
        <f>'Model Inputs'!M49</f>
        <v>0</v>
      </c>
      <c r="N37" s="11">
        <f>'Model Inputs'!N49</f>
        <v>0</v>
      </c>
      <c r="O37" s="11">
        <f>'Model Inputs'!O49</f>
        <v>0</v>
      </c>
      <c r="P37" s="11">
        <f>'Model Inputs'!P49</f>
        <v>0</v>
      </c>
      <c r="Q37" s="11">
        <f>'Model Inputs'!Q49</f>
        <v>0</v>
      </c>
      <c r="R37" s="11">
        <f>'Model Inputs'!R49</f>
        <v>0</v>
      </c>
      <c r="S37" s="11">
        <f>'Model Inputs'!S49</f>
        <v>0</v>
      </c>
      <c r="T37" s="11">
        <f>'Model Inputs'!T49</f>
        <v>0</v>
      </c>
      <c r="U37" s="11">
        <f>'Model Inputs'!U49</f>
        <v>0</v>
      </c>
      <c r="V37" s="11">
        <f>'Model Inputs'!V49</f>
        <v>0</v>
      </c>
      <c r="W37" s="11">
        <f>'Model Inputs'!W49</f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1">
        <f t="shared" si="12"/>
        <v>0</v>
      </c>
      <c r="AB37" s="11">
        <f t="shared" si="13"/>
        <v>0</v>
      </c>
    </row>
    <row r="38" spans="1:28" x14ac:dyDescent="0.3">
      <c r="A38" s="18" t="s">
        <v>61</v>
      </c>
      <c r="B38" s="18" t="s">
        <v>32</v>
      </c>
      <c r="C38" s="19">
        <f t="shared" ref="C38:W38" si="17">C35+C36+C37</f>
        <v>34000</v>
      </c>
      <c r="D38" s="19">
        <f t="shared" si="17"/>
        <v>4228562.4293478271</v>
      </c>
      <c r="E38" s="19">
        <f t="shared" si="17"/>
        <v>4113422.1710569565</v>
      </c>
      <c r="F38" s="19">
        <f t="shared" si="17"/>
        <v>4041931.1776480004</v>
      </c>
      <c r="G38" s="19">
        <f t="shared" si="17"/>
        <v>3791702.8942008801</v>
      </c>
      <c r="H38" s="19">
        <f t="shared" si="17"/>
        <v>3501466.0517191305</v>
      </c>
      <c r="I38" s="19">
        <f t="shared" si="17"/>
        <v>3203275.8670108696</v>
      </c>
      <c r="J38" s="19">
        <f t="shared" si="17"/>
        <v>2886994.9149652757</v>
      </c>
      <c r="K38" s="19">
        <f t="shared" si="17"/>
        <v>2484529.3447002205</v>
      </c>
      <c r="L38" s="19">
        <f t="shared" si="17"/>
        <v>2008632.7084421734</v>
      </c>
      <c r="M38" s="19">
        <f t="shared" si="17"/>
        <v>1505013.6614973915</v>
      </c>
      <c r="N38" s="19">
        <f t="shared" si="17"/>
        <v>967274.92783333338</v>
      </c>
      <c r="O38" s="19">
        <f t="shared" si="17"/>
        <v>926036.48732698068</v>
      </c>
      <c r="P38" s="19">
        <f t="shared" si="17"/>
        <v>886451.97365709138</v>
      </c>
      <c r="Q38" s="19">
        <f t="shared" si="17"/>
        <v>855373.04721838539</v>
      </c>
      <c r="R38" s="19">
        <f t="shared" si="17"/>
        <v>842118.22305191553</v>
      </c>
      <c r="S38" s="19">
        <f t="shared" si="17"/>
        <v>800896.05559828342</v>
      </c>
      <c r="T38" s="19">
        <f t="shared" si="17"/>
        <v>761360.70736597804</v>
      </c>
      <c r="U38" s="19">
        <f t="shared" si="17"/>
        <v>729002.69221563125</v>
      </c>
      <c r="V38" s="19">
        <f t="shared" si="17"/>
        <v>711765.45836608997</v>
      </c>
      <c r="W38" s="19">
        <f t="shared" si="17"/>
        <v>670616.65697802207</v>
      </c>
      <c r="X38" s="19">
        <f t="shared" si="9"/>
        <v>3791702.8942008801</v>
      </c>
      <c r="Y38" s="19">
        <f t="shared" si="10"/>
        <v>2484529.3447002205</v>
      </c>
      <c r="Z38" s="19">
        <f t="shared" si="11"/>
        <v>926036.48732698068</v>
      </c>
      <c r="AA38" s="19">
        <f t="shared" si="12"/>
        <v>800896.05559828342</v>
      </c>
      <c r="AB38" s="19">
        <f t="shared" si="13"/>
        <v>670616.65697802207</v>
      </c>
    </row>
    <row r="39" spans="1:28" x14ac:dyDescent="0.3">
      <c r="A39" s="7" t="s">
        <v>62</v>
      </c>
      <c r="B39" s="7" t="s">
        <v>32</v>
      </c>
      <c r="C39" s="11">
        <f>'Model Inputs'!C31</f>
        <v>45000</v>
      </c>
      <c r="D39" s="11">
        <f>'Model Inputs'!D31</f>
        <v>46229083</v>
      </c>
      <c r="E39" s="11">
        <f>'Model Inputs'!E31</f>
        <v>78731191</v>
      </c>
      <c r="F39" s="11">
        <f>'Model Inputs'!F31</f>
        <v>110631979</v>
      </c>
      <c r="G39" s="11">
        <f>'Model Inputs'!G31</f>
        <v>141884050</v>
      </c>
      <c r="H39" s="11">
        <f>'Model Inputs'!H31</f>
        <v>172083847</v>
      </c>
      <c r="I39" s="11">
        <f>'Model Inputs'!I31</f>
        <v>200913067</v>
      </c>
      <c r="J39" s="11">
        <f>'Model Inputs'!J31</f>
        <v>228094164</v>
      </c>
      <c r="K39" s="11">
        <f>'Model Inputs'!K31</f>
        <v>253394736</v>
      </c>
      <c r="L39" s="11">
        <f>'Model Inputs'!L31</f>
        <v>276500513</v>
      </c>
      <c r="M39" s="11">
        <f>'Model Inputs'!M31</f>
        <v>297047509</v>
      </c>
      <c r="N39" s="11">
        <f>'Model Inputs'!N31</f>
        <v>314722680</v>
      </c>
      <c r="O39" s="11">
        <f>'Model Inputs'!O31</f>
        <v>332761977</v>
      </c>
      <c r="P39" s="11">
        <f>'Model Inputs'!P31</f>
        <v>350530836</v>
      </c>
      <c r="Q39" s="11">
        <f>'Model Inputs'!Q31</f>
        <v>368013828</v>
      </c>
      <c r="R39" s="11">
        <f>'Model Inputs'!R31</f>
        <v>385201629</v>
      </c>
      <c r="S39" s="11">
        <f>'Model Inputs'!S31</f>
        <v>402128145</v>
      </c>
      <c r="T39" s="11">
        <f>'Model Inputs'!T31</f>
        <v>418770617</v>
      </c>
      <c r="U39" s="11">
        <f>'Model Inputs'!U31</f>
        <v>435114802</v>
      </c>
      <c r="V39" s="11">
        <f>'Model Inputs'!V31</f>
        <v>451152836</v>
      </c>
      <c r="W39" s="11">
        <f>'Model Inputs'!W31</f>
        <v>466911700</v>
      </c>
      <c r="X39" s="11">
        <f t="shared" si="9"/>
        <v>141884050</v>
      </c>
      <c r="Y39" s="11">
        <f t="shared" si="10"/>
        <v>253394736</v>
      </c>
      <c r="Z39" s="11">
        <f t="shared" si="11"/>
        <v>332761977</v>
      </c>
      <c r="AA39" s="11">
        <f t="shared" si="12"/>
        <v>402128145</v>
      </c>
      <c r="AB39" s="11">
        <f t="shared" si="13"/>
        <v>466911700</v>
      </c>
    </row>
    <row r="40" spans="1:28" x14ac:dyDescent="0.3">
      <c r="A40" s="7" t="s">
        <v>63</v>
      </c>
      <c r="B40" s="7" t="s">
        <v>32</v>
      </c>
      <c r="C40" s="11">
        <f>C31-C38-C39-C41</f>
        <v>-27000</v>
      </c>
      <c r="D40" s="11">
        <f>C40+D20-'Model Inputs'!D33</f>
        <v>-32588482.450000007</v>
      </c>
      <c r="E40" s="11">
        <f>D40+E20-'Model Inputs'!E33</f>
        <v>-64965835.308918007</v>
      </c>
      <c r="F40" s="11">
        <f>E40+F20-'Model Inputs'!F33</f>
        <v>-96907255.387160718</v>
      </c>
      <c r="G40" s="11">
        <f>F40+G20-'Model Inputs'!G33</f>
        <v>-128152565.10731119</v>
      </c>
      <c r="H40" s="11">
        <f>G40+H20-'Model Inputs'!H33</f>
        <v>-158436420.75061613</v>
      </c>
      <c r="I40" s="11">
        <f>H40+I20-'Model Inputs'!I33</f>
        <v>-187478688.00145173</v>
      </c>
      <c r="J40" s="11">
        <f>I40+J20-'Model Inputs'!J33</f>
        <v>-214994066.28121558</v>
      </c>
      <c r="K40" s="11">
        <f>J40+K20-'Model Inputs'!K33</f>
        <v>-240688880.66390908</v>
      </c>
      <c r="L40" s="11">
        <f>K40+L20-'Model Inputs'!L33</f>
        <v>-264264385.54990727</v>
      </c>
      <c r="M40" s="11">
        <f>L40+M20-'Model Inputs'!M33</f>
        <v>-285406853.72746009</v>
      </c>
      <c r="N40" s="11">
        <f>M40+N20-'Model Inputs'!N33</f>
        <v>-303797487.2701208</v>
      </c>
      <c r="O40" s="11">
        <f>N40+O20-'Model Inputs'!O33</f>
        <v>-321919399.76573908</v>
      </c>
      <c r="P40" s="11">
        <f>O40+P20-'Model Inputs'!P33</f>
        <v>-339772562.49717957</v>
      </c>
      <c r="Q40" s="11">
        <f>P40+Q20-'Model Inputs'!Q33</f>
        <v>-357350139.84496355</v>
      </c>
      <c r="R40" s="11">
        <f>Q40+R20-'Model Inputs'!R33</f>
        <v>-374648699.54602867</v>
      </c>
      <c r="S40" s="11">
        <f>R40+S20-'Model Inputs'!S33</f>
        <v>-391664809.48512</v>
      </c>
      <c r="T40" s="11">
        <f>S40+T20-'Model Inputs'!T33</f>
        <v>-408398542.80691111</v>
      </c>
      <c r="U40" s="11">
        <f>T40+U20-'Model Inputs'!U33</f>
        <v>-424842961.89660746</v>
      </c>
      <c r="V40" s="11">
        <f>U40+V20-'Model Inputs'!V33</f>
        <v>-440994634.50212955</v>
      </c>
      <c r="W40" s="11">
        <f>V40+W20-'Model Inputs'!W33</f>
        <v>-456850128.44759071</v>
      </c>
      <c r="X40" s="11">
        <f t="shared" si="9"/>
        <v>-128152565.10731119</v>
      </c>
      <c r="Y40" s="11">
        <f t="shared" si="10"/>
        <v>-240688880.66390908</v>
      </c>
      <c r="Z40" s="11">
        <f t="shared" si="11"/>
        <v>-321919399.76573908</v>
      </c>
      <c r="AA40" s="11">
        <f t="shared" si="12"/>
        <v>-391664809.48512</v>
      </c>
      <c r="AB40" s="11">
        <f t="shared" si="13"/>
        <v>-456850128.44759071</v>
      </c>
    </row>
    <row r="41" spans="1:28" x14ac:dyDescent="0.3">
      <c r="A41" s="7" t="s">
        <v>64</v>
      </c>
      <c r="B41" s="7" t="s">
        <v>32</v>
      </c>
      <c r="C41" s="11">
        <f>'Model Inputs'!C32</f>
        <v>0</v>
      </c>
      <c r="D41" s="11">
        <f>'Model Inputs'!D32</f>
        <v>0</v>
      </c>
      <c r="E41" s="11">
        <f>'Model Inputs'!E32</f>
        <v>0</v>
      </c>
      <c r="F41" s="11">
        <f>'Model Inputs'!F32</f>
        <v>0</v>
      </c>
      <c r="G41" s="11">
        <f>'Model Inputs'!G32</f>
        <v>0</v>
      </c>
      <c r="H41" s="11">
        <f>'Model Inputs'!H32</f>
        <v>0</v>
      </c>
      <c r="I41" s="11">
        <f>'Model Inputs'!I32</f>
        <v>0</v>
      </c>
      <c r="J41" s="11">
        <f>'Model Inputs'!J32</f>
        <v>0</v>
      </c>
      <c r="K41" s="11">
        <f>'Model Inputs'!K32</f>
        <v>0</v>
      </c>
      <c r="L41" s="11">
        <f>'Model Inputs'!L32</f>
        <v>0</v>
      </c>
      <c r="M41" s="11">
        <f>'Model Inputs'!M32</f>
        <v>0</v>
      </c>
      <c r="N41" s="11">
        <f>'Model Inputs'!N32</f>
        <v>0</v>
      </c>
      <c r="O41" s="11">
        <f>'Model Inputs'!O32</f>
        <v>0</v>
      </c>
      <c r="P41" s="11">
        <f>'Model Inputs'!P32</f>
        <v>0</v>
      </c>
      <c r="Q41" s="11">
        <f>'Model Inputs'!Q32</f>
        <v>0</v>
      </c>
      <c r="R41" s="11">
        <f>'Model Inputs'!R32</f>
        <v>0</v>
      </c>
      <c r="S41" s="11">
        <f>'Model Inputs'!S32</f>
        <v>0</v>
      </c>
      <c r="T41" s="11">
        <f>'Model Inputs'!T32</f>
        <v>0</v>
      </c>
      <c r="U41" s="11">
        <f>'Model Inputs'!U32</f>
        <v>0</v>
      </c>
      <c r="V41" s="11">
        <f>'Model Inputs'!V32</f>
        <v>0</v>
      </c>
      <c r="W41" s="11">
        <f>'Model Inputs'!W32</f>
        <v>0</v>
      </c>
      <c r="X41" s="11">
        <f t="shared" si="9"/>
        <v>0</v>
      </c>
      <c r="Y41" s="11">
        <f t="shared" si="10"/>
        <v>0</v>
      </c>
      <c r="Z41" s="11">
        <f t="shared" si="11"/>
        <v>0</v>
      </c>
      <c r="AA41" s="11">
        <f t="shared" si="12"/>
        <v>0</v>
      </c>
      <c r="AB41" s="11">
        <f t="shared" si="13"/>
        <v>0</v>
      </c>
    </row>
    <row r="42" spans="1:28" x14ac:dyDescent="0.3">
      <c r="A42" s="18" t="s">
        <v>65</v>
      </c>
      <c r="B42" s="18" t="s">
        <v>32</v>
      </c>
      <c r="C42" s="19">
        <f t="shared" ref="C42:W42" si="18">C39+C40+C41</f>
        <v>18000</v>
      </c>
      <c r="D42" s="19">
        <f t="shared" si="18"/>
        <v>13640600.549999993</v>
      </c>
      <c r="E42" s="19">
        <f t="shared" si="18"/>
        <v>13765355.691081993</v>
      </c>
      <c r="F42" s="19">
        <f t="shared" si="18"/>
        <v>13724723.612839282</v>
      </c>
      <c r="G42" s="19">
        <f t="shared" si="18"/>
        <v>13731484.892688811</v>
      </c>
      <c r="H42" s="19">
        <f t="shared" si="18"/>
        <v>13647426.249383867</v>
      </c>
      <c r="I42" s="19">
        <f t="shared" si="18"/>
        <v>13434378.998548269</v>
      </c>
      <c r="J42" s="19">
        <f t="shared" si="18"/>
        <v>13100097.718784422</v>
      </c>
      <c r="K42" s="19">
        <f t="shared" si="18"/>
        <v>12705855.336090922</v>
      </c>
      <c r="L42" s="19">
        <f t="shared" si="18"/>
        <v>12236127.450092733</v>
      </c>
      <c r="M42" s="19">
        <f t="shared" si="18"/>
        <v>11640655.272539914</v>
      </c>
      <c r="N42" s="19">
        <f t="shared" si="18"/>
        <v>10925192.7298792</v>
      </c>
      <c r="O42" s="19">
        <f t="shared" si="18"/>
        <v>10842577.234260917</v>
      </c>
      <c r="P42" s="19">
        <f t="shared" si="18"/>
        <v>10758273.502820432</v>
      </c>
      <c r="Q42" s="19">
        <f t="shared" si="18"/>
        <v>10663688.155036449</v>
      </c>
      <c r="R42" s="19">
        <f t="shared" si="18"/>
        <v>10552929.453971326</v>
      </c>
      <c r="S42" s="19">
        <f t="shared" si="18"/>
        <v>10463335.514880002</v>
      </c>
      <c r="T42" s="19">
        <f t="shared" si="18"/>
        <v>10372074.193088889</v>
      </c>
      <c r="U42" s="19">
        <f t="shared" si="18"/>
        <v>10271840.103392541</v>
      </c>
      <c r="V42" s="19">
        <f t="shared" si="18"/>
        <v>10158201.497870445</v>
      </c>
      <c r="W42" s="19">
        <f t="shared" si="18"/>
        <v>10061571.552409291</v>
      </c>
      <c r="X42" s="19">
        <f t="shared" si="9"/>
        <v>13731484.892688811</v>
      </c>
      <c r="Y42" s="19">
        <f t="shared" si="10"/>
        <v>12705855.336090922</v>
      </c>
      <c r="Z42" s="19">
        <f t="shared" si="11"/>
        <v>10842577.234260917</v>
      </c>
      <c r="AA42" s="19">
        <f t="shared" si="12"/>
        <v>10463335.514880002</v>
      </c>
      <c r="AB42" s="19">
        <f t="shared" si="13"/>
        <v>10061571.552409291</v>
      </c>
    </row>
    <row r="43" spans="1:28" x14ac:dyDescent="0.3">
      <c r="A43" s="18" t="s">
        <v>66</v>
      </c>
      <c r="B43" s="18" t="s">
        <v>32</v>
      </c>
      <c r="C43" s="19">
        <f t="shared" ref="C43:W43" si="19">C38+C42</f>
        <v>52000</v>
      </c>
      <c r="D43" s="19">
        <f t="shared" si="19"/>
        <v>17869162.979347821</v>
      </c>
      <c r="E43" s="19">
        <f t="shared" si="19"/>
        <v>17878777.862138949</v>
      </c>
      <c r="F43" s="19">
        <f t="shared" si="19"/>
        <v>17766654.790487282</v>
      </c>
      <c r="G43" s="19">
        <f t="shared" si="19"/>
        <v>17523187.786889691</v>
      </c>
      <c r="H43" s="19">
        <f t="shared" si="19"/>
        <v>17148892.301102996</v>
      </c>
      <c r="I43" s="19">
        <f t="shared" si="19"/>
        <v>16637654.865559138</v>
      </c>
      <c r="J43" s="19">
        <f t="shared" si="19"/>
        <v>15987092.633749697</v>
      </c>
      <c r="K43" s="19">
        <f t="shared" si="19"/>
        <v>15190384.680791143</v>
      </c>
      <c r="L43" s="19">
        <f t="shared" si="19"/>
        <v>14244760.158534907</v>
      </c>
      <c r="M43" s="19">
        <f t="shared" si="19"/>
        <v>13145668.934037305</v>
      </c>
      <c r="N43" s="19">
        <f t="shared" si="19"/>
        <v>11892467.657712534</v>
      </c>
      <c r="O43" s="19">
        <f t="shared" si="19"/>
        <v>11768613.721587898</v>
      </c>
      <c r="P43" s="19">
        <f t="shared" si="19"/>
        <v>11644725.476477524</v>
      </c>
      <c r="Q43" s="19">
        <f t="shared" si="19"/>
        <v>11519061.202254836</v>
      </c>
      <c r="R43" s="19">
        <f t="shared" si="19"/>
        <v>11395047.677023241</v>
      </c>
      <c r="S43" s="19">
        <f t="shared" si="19"/>
        <v>11264231.570478285</v>
      </c>
      <c r="T43" s="19">
        <f t="shared" si="19"/>
        <v>11133434.900454868</v>
      </c>
      <c r="U43" s="19">
        <f t="shared" si="19"/>
        <v>11000842.795608172</v>
      </c>
      <c r="V43" s="19">
        <f t="shared" si="19"/>
        <v>10869966.956236536</v>
      </c>
      <c r="W43" s="19">
        <f t="shared" si="19"/>
        <v>10732188.209387314</v>
      </c>
      <c r="X43" s="19">
        <f t="shared" si="9"/>
        <v>17523187.786889691</v>
      </c>
      <c r="Y43" s="19">
        <f t="shared" si="10"/>
        <v>15190384.680791143</v>
      </c>
      <c r="Z43" s="19">
        <f t="shared" si="11"/>
        <v>11768613.721587898</v>
      </c>
      <c r="AA43" s="19">
        <f t="shared" si="12"/>
        <v>11264231.570478285</v>
      </c>
      <c r="AB43" s="19">
        <f t="shared" si="13"/>
        <v>10732188.209387314</v>
      </c>
    </row>
    <row r="45" spans="1:28" x14ac:dyDescent="0.3">
      <c r="A45" s="53" t="s">
        <v>67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28" x14ac:dyDescent="0.3">
      <c r="A46" s="7" t="s">
        <v>68</v>
      </c>
      <c r="B46" s="7" t="s">
        <v>32</v>
      </c>
      <c r="C46" s="11">
        <f>'Model Inputs'!C36</f>
        <v>12000</v>
      </c>
      <c r="D46" s="11">
        <f t="shared" ref="D46:W46" si="20">C61</f>
        <v>12000</v>
      </c>
      <c r="E46" s="11">
        <f t="shared" si="20"/>
        <v>16412482.177717388</v>
      </c>
      <c r="F46" s="11">
        <f t="shared" si="20"/>
        <v>16328465.545498949</v>
      </c>
      <c r="G46" s="11">
        <f t="shared" si="20"/>
        <v>16118723.09579999</v>
      </c>
      <c r="H46" s="11">
        <f t="shared" si="20"/>
        <v>15779055.464829247</v>
      </c>
      <c r="I46" s="11">
        <f t="shared" si="20"/>
        <v>15306862.232380893</v>
      </c>
      <c r="J46" s="11">
        <f t="shared" si="20"/>
        <v>14694778.127756715</v>
      </c>
      <c r="K46" s="11">
        <f t="shared" si="20"/>
        <v>13940217.11173011</v>
      </c>
      <c r="L46" s="11">
        <f t="shared" si="20"/>
        <v>13038985.220195305</v>
      </c>
      <c r="M46" s="11">
        <f t="shared" si="20"/>
        <v>11988522.274266742</v>
      </c>
      <c r="N46" s="11">
        <f t="shared" si="20"/>
        <v>10781370.554152697</v>
      </c>
      <c r="O46" s="11">
        <f t="shared" si="20"/>
        <v>9414995.8866152912</v>
      </c>
      <c r="P46" s="11">
        <f t="shared" si="20"/>
        <v>9280970.1528106593</v>
      </c>
      <c r="Q46" s="11">
        <f t="shared" si="20"/>
        <v>9146899.5435141772</v>
      </c>
      <c r="R46" s="11">
        <f t="shared" si="20"/>
        <v>9009418.451738961</v>
      </c>
      <c r="S46" s="11">
        <f t="shared" si="20"/>
        <v>8870224.6101427004</v>
      </c>
      <c r="T46" s="11">
        <f t="shared" si="20"/>
        <v>8729309.3832116313</v>
      </c>
      <c r="U46" s="11">
        <f t="shared" si="20"/>
        <v>8588402.6032702997</v>
      </c>
      <c r="V46" s="11">
        <f t="shared" si="20"/>
        <v>8444034.5495246071</v>
      </c>
      <c r="W46" s="11">
        <f t="shared" si="20"/>
        <v>8297955.5603916049</v>
      </c>
      <c r="X46" s="11">
        <f t="shared" ref="X46:X61" si="21">SUM(D46:G46)</f>
        <v>48871670.819016322</v>
      </c>
      <c r="Y46" s="11">
        <f t="shared" ref="Y46:Y61" si="22">SUM(H46:K46)</f>
        <v>59720912.936696962</v>
      </c>
      <c r="Z46" s="11">
        <f t="shared" ref="Z46:Z61" si="23">SUM(L46:O46)</f>
        <v>45223873.935230032</v>
      </c>
      <c r="AA46" s="11">
        <f t="shared" ref="AA46:AA61" si="24">SUM(P46:S46)</f>
        <v>36307512.758206502</v>
      </c>
      <c r="AB46" s="11">
        <f t="shared" ref="AB46:AB61" si="25">SUM(T46:W46)</f>
        <v>34059702.096398145</v>
      </c>
    </row>
    <row r="47" spans="1:28" x14ac:dyDescent="0.3">
      <c r="A47" s="18" t="s">
        <v>44</v>
      </c>
      <c r="B47" s="18" t="s">
        <v>32</v>
      </c>
      <c r="C47" s="19">
        <f>0</f>
        <v>0</v>
      </c>
      <c r="D47" s="19">
        <f t="shared" ref="D47:W47" si="26">D20</f>
        <v>-32561482.450000007</v>
      </c>
      <c r="E47" s="19">
        <f t="shared" si="26"/>
        <v>-32377352.858918</v>
      </c>
      <c r="F47" s="19">
        <f t="shared" si="26"/>
        <v>-31941420.078242712</v>
      </c>
      <c r="G47" s="19">
        <f t="shared" si="26"/>
        <v>-31245309.720150467</v>
      </c>
      <c r="H47" s="19">
        <f t="shared" si="26"/>
        <v>-30283855.643304955</v>
      </c>
      <c r="I47" s="19">
        <f t="shared" si="26"/>
        <v>-29042267.250835612</v>
      </c>
      <c r="J47" s="19">
        <f t="shared" si="26"/>
        <v>-27515378.279763836</v>
      </c>
      <c r="K47" s="19">
        <f t="shared" si="26"/>
        <v>-25694814.382693514</v>
      </c>
      <c r="L47" s="19">
        <f t="shared" si="26"/>
        <v>-23575504.885998201</v>
      </c>
      <c r="M47" s="19">
        <f t="shared" si="26"/>
        <v>-21142468.177552816</v>
      </c>
      <c r="N47" s="19">
        <f t="shared" si="26"/>
        <v>-18390633.542660717</v>
      </c>
      <c r="O47" s="19">
        <f t="shared" si="26"/>
        <v>-18121912.49561831</v>
      </c>
      <c r="P47" s="19">
        <f t="shared" si="26"/>
        <v>-17853162.731440496</v>
      </c>
      <c r="Q47" s="19">
        <f t="shared" si="26"/>
        <v>-17577577.347783975</v>
      </c>
      <c r="R47" s="19">
        <f t="shared" si="26"/>
        <v>-17298559.701065138</v>
      </c>
      <c r="S47" s="19">
        <f t="shared" si="26"/>
        <v>-17016109.939091332</v>
      </c>
      <c r="T47" s="19">
        <f t="shared" si="26"/>
        <v>-16733733.321791096</v>
      </c>
      <c r="U47" s="19">
        <f t="shared" si="26"/>
        <v>-16444419.089696359</v>
      </c>
      <c r="V47" s="19">
        <f t="shared" si="26"/>
        <v>-16151672.605522122</v>
      </c>
      <c r="W47" s="19">
        <f t="shared" si="26"/>
        <v>-15855493.945461148</v>
      </c>
      <c r="X47" s="19">
        <f t="shared" si="21"/>
        <v>-128125565.10731119</v>
      </c>
      <c r="Y47" s="19">
        <f t="shared" si="22"/>
        <v>-112536315.55659792</v>
      </c>
      <c r="Z47" s="19">
        <f t="shared" si="23"/>
        <v>-81230519.10183005</v>
      </c>
      <c r="AA47" s="19">
        <f t="shared" si="24"/>
        <v>-69745409.719380945</v>
      </c>
      <c r="AB47" s="19">
        <f t="shared" si="25"/>
        <v>-65185318.962470718</v>
      </c>
    </row>
    <row r="48" spans="1:28" x14ac:dyDescent="0.3">
      <c r="A48" s="7" t="s">
        <v>42</v>
      </c>
      <c r="B48" s="7" t="s">
        <v>32</v>
      </c>
      <c r="C48" s="11">
        <f>0</f>
        <v>0</v>
      </c>
      <c r="D48" s="11">
        <f t="shared" ref="D48:W48" si="27">D18</f>
        <v>10</v>
      </c>
      <c r="E48" s="11">
        <f t="shared" si="27"/>
        <v>20.05481</v>
      </c>
      <c r="F48" s="11">
        <f t="shared" si="27"/>
        <v>30.157058706929998</v>
      </c>
      <c r="G48" s="11">
        <f t="shared" si="27"/>
        <v>40.258794459042015</v>
      </c>
      <c r="H48" s="11">
        <f t="shared" si="27"/>
        <v>50.433552955258357</v>
      </c>
      <c r="I48" s="11">
        <f t="shared" si="27"/>
        <v>60.674335608464972</v>
      </c>
      <c r="J48" s="11">
        <f t="shared" si="27"/>
        <v>70.933035826957635</v>
      </c>
      <c r="K48" s="11">
        <f t="shared" si="27"/>
        <v>81.202129508549177</v>
      </c>
      <c r="L48" s="11">
        <f t="shared" si="27"/>
        <v>91.515362201205377</v>
      </c>
      <c r="M48" s="11">
        <f t="shared" si="27"/>
        <v>101.86548081430611</v>
      </c>
      <c r="N48" s="11">
        <f t="shared" si="27"/>
        <v>112.24516071751559</v>
      </c>
      <c r="O48" s="11">
        <f t="shared" si="27"/>
        <v>122.60543907764801</v>
      </c>
      <c r="P48" s="11">
        <f t="shared" si="27"/>
        <v>133.02207214032535</v>
      </c>
      <c r="Q48" s="11">
        <f t="shared" si="27"/>
        <v>143.48771660552231</v>
      </c>
      <c r="R48" s="11">
        <f t="shared" si="27"/>
        <v>153.91128887568681</v>
      </c>
      <c r="S48" s="11">
        <f t="shared" si="27"/>
        <v>164.36888737212266</v>
      </c>
      <c r="T48" s="11">
        <f t="shared" si="27"/>
        <v>174.85290295433842</v>
      </c>
      <c r="U48" s="11">
        <f t="shared" si="27"/>
        <v>185.35561415539851</v>
      </c>
      <c r="V48" s="11">
        <f t="shared" si="27"/>
        <v>195.82723596609475</v>
      </c>
      <c r="W48" s="11">
        <f t="shared" si="27"/>
        <v>206.34396114815664</v>
      </c>
      <c r="X48" s="11">
        <f t="shared" si="21"/>
        <v>100.47066316597201</v>
      </c>
      <c r="Y48" s="11">
        <f t="shared" si="22"/>
        <v>263.24305389923018</v>
      </c>
      <c r="Z48" s="11">
        <f t="shared" si="23"/>
        <v>428.23144281067505</v>
      </c>
      <c r="AA48" s="11">
        <f t="shared" si="24"/>
        <v>594.78996499365712</v>
      </c>
      <c r="AB48" s="11">
        <f t="shared" si="25"/>
        <v>762.37971422398834</v>
      </c>
    </row>
    <row r="49" spans="1:28" x14ac:dyDescent="0.3">
      <c r="A49" s="7" t="s">
        <v>69</v>
      </c>
      <c r="B49" s="7" t="s">
        <v>32</v>
      </c>
      <c r="C49" s="11">
        <f>0</f>
        <v>0</v>
      </c>
      <c r="D49" s="11">
        <f t="shared" ref="D49:W49" si="28">-((D24+D25+D26)-(C24+C25+C26))</f>
        <v>-1416490.801630435</v>
      </c>
      <c r="E49" s="11">
        <f t="shared" si="28"/>
        <v>-93450.61981956521</v>
      </c>
      <c r="F49" s="11">
        <f t="shared" si="28"/>
        <v>-97447.680629999842</v>
      </c>
      <c r="G49" s="11">
        <f t="shared" si="28"/>
        <v>-96038.173204615479</v>
      </c>
      <c r="H49" s="11">
        <f t="shared" si="28"/>
        <v>-97744.654980602209</v>
      </c>
      <c r="I49" s="11">
        <f t="shared" si="28"/>
        <v>-100703.05272391276</v>
      </c>
      <c r="J49" s="11">
        <f t="shared" si="28"/>
        <v>-103864.70847900189</v>
      </c>
      <c r="K49" s="11">
        <f t="shared" si="28"/>
        <v>-104399.46155274683</v>
      </c>
      <c r="L49" s="11">
        <f t="shared" si="28"/>
        <v>-104723.63749651238</v>
      </c>
      <c r="M49" s="11">
        <f t="shared" si="28"/>
        <v>-107955.4856282603</v>
      </c>
      <c r="N49" s="11">
        <f t="shared" si="28"/>
        <v>-113078.23585434817</v>
      </c>
      <c r="O49" s="11">
        <f t="shared" si="28"/>
        <v>-10086.526824046858</v>
      </c>
      <c r="P49" s="11">
        <f t="shared" si="28"/>
        <v>-10107.08360823663</v>
      </c>
      <c r="Q49" s="11">
        <f t="shared" si="28"/>
        <v>-11751.626216141041</v>
      </c>
      <c r="R49" s="11">
        <f t="shared" si="28"/>
        <v>-15125.22264452884</v>
      </c>
      <c r="S49" s="11">
        <f t="shared" si="28"/>
        <v>-10054.208795475774</v>
      </c>
      <c r="T49" s="11">
        <f t="shared" si="28"/>
        <v>-10075.457784885541</v>
      </c>
      <c r="U49" s="11">
        <f t="shared" si="28"/>
        <v>-11751.626216141041</v>
      </c>
      <c r="V49" s="11">
        <f t="shared" si="28"/>
        <v>-15189.177087306045</v>
      </c>
      <c r="W49" s="11">
        <f t="shared" si="28"/>
        <v>-10021.869592469186</v>
      </c>
      <c r="X49" s="11">
        <f t="shared" si="21"/>
        <v>-1703427.2752846156</v>
      </c>
      <c r="Y49" s="11">
        <f t="shared" si="22"/>
        <v>-406711.87773626368</v>
      </c>
      <c r="Z49" s="11">
        <f t="shared" si="23"/>
        <v>-335843.88580316771</v>
      </c>
      <c r="AA49" s="11">
        <f t="shared" si="24"/>
        <v>-47038.141264382284</v>
      </c>
      <c r="AB49" s="11">
        <f t="shared" si="25"/>
        <v>-47038.130680801813</v>
      </c>
    </row>
    <row r="50" spans="1:28" x14ac:dyDescent="0.3">
      <c r="A50" s="7" t="s">
        <v>70</v>
      </c>
      <c r="B50" s="7" t="s">
        <v>32</v>
      </c>
      <c r="C50" s="11">
        <f>0</f>
        <v>0</v>
      </c>
      <c r="D50" s="11">
        <f t="shared" ref="D50:W50" si="29">(D32+D34)-(C32+C34)</f>
        <v>4196062.4293478271</v>
      </c>
      <c r="E50" s="11">
        <f t="shared" si="29"/>
        <v>-113640.25829087058</v>
      </c>
      <c r="F50" s="11">
        <f t="shared" si="29"/>
        <v>-69990.993408956099</v>
      </c>
      <c r="G50" s="11">
        <f t="shared" si="29"/>
        <v>-248728.28344712034</v>
      </c>
      <c r="H50" s="11">
        <f t="shared" si="29"/>
        <v>-288736.8424817496</v>
      </c>
      <c r="I50" s="11">
        <f t="shared" si="29"/>
        <v>-296690.18470826093</v>
      </c>
      <c r="J50" s="11">
        <f t="shared" si="29"/>
        <v>-314780.95204559388</v>
      </c>
      <c r="K50" s="11">
        <f t="shared" si="29"/>
        <v>-400965.57026505517</v>
      </c>
      <c r="L50" s="11">
        <f t="shared" si="29"/>
        <v>-474396.63625804707</v>
      </c>
      <c r="M50" s="11">
        <f t="shared" si="29"/>
        <v>-502119.04694478191</v>
      </c>
      <c r="N50" s="11">
        <f t="shared" si="29"/>
        <v>-536238.73366405815</v>
      </c>
      <c r="O50" s="11">
        <f t="shared" si="29"/>
        <v>-39738.440506352694</v>
      </c>
      <c r="P50" s="11">
        <f t="shared" si="29"/>
        <v>-38084.513669889304</v>
      </c>
      <c r="Q50" s="11">
        <f t="shared" si="29"/>
        <v>-29578.926438705996</v>
      </c>
      <c r="R50" s="11">
        <f t="shared" si="29"/>
        <v>-11754.824166469858</v>
      </c>
      <c r="S50" s="11">
        <f t="shared" si="29"/>
        <v>-39722.167453632108</v>
      </c>
      <c r="T50" s="11">
        <f t="shared" si="29"/>
        <v>-38035.348232305376</v>
      </c>
      <c r="U50" s="11">
        <f t="shared" si="29"/>
        <v>-30858.015150346793</v>
      </c>
      <c r="V50" s="11">
        <f t="shared" si="29"/>
        <v>-15737.233849541284</v>
      </c>
      <c r="W50" s="11">
        <f t="shared" si="29"/>
        <v>-39648.801388067892</v>
      </c>
      <c r="X50" s="11">
        <f t="shared" si="21"/>
        <v>3763702.8942008801</v>
      </c>
      <c r="Y50" s="11">
        <f t="shared" si="22"/>
        <v>-1301173.5495006596</v>
      </c>
      <c r="Z50" s="11">
        <f t="shared" si="23"/>
        <v>-1552492.8573732399</v>
      </c>
      <c r="AA50" s="11">
        <f t="shared" si="24"/>
        <v>-119140.43172869727</v>
      </c>
      <c r="AB50" s="11">
        <f t="shared" si="25"/>
        <v>-124279.39862026135</v>
      </c>
    </row>
    <row r="51" spans="1:28" x14ac:dyDescent="0.3">
      <c r="A51" s="18" t="s">
        <v>71</v>
      </c>
      <c r="B51" s="18" t="s">
        <v>32</v>
      </c>
      <c r="C51" s="19">
        <f>0</f>
        <v>0</v>
      </c>
      <c r="D51" s="19">
        <f t="shared" ref="D51:W51" si="30">SUM(D47:D50)</f>
        <v>-29781900.822282612</v>
      </c>
      <c r="E51" s="19">
        <f t="shared" si="30"/>
        <v>-32584423.68221844</v>
      </c>
      <c r="F51" s="19">
        <f t="shared" si="30"/>
        <v>-32108828.595222957</v>
      </c>
      <c r="G51" s="19">
        <f t="shared" si="30"/>
        <v>-31590035.918007743</v>
      </c>
      <c r="H51" s="19">
        <f t="shared" si="30"/>
        <v>-30670286.707214355</v>
      </c>
      <c r="I51" s="19">
        <f t="shared" si="30"/>
        <v>-29439599.813932177</v>
      </c>
      <c r="J51" s="19">
        <f t="shared" si="30"/>
        <v>-27933953.007252604</v>
      </c>
      <c r="K51" s="19">
        <f t="shared" si="30"/>
        <v>-26200098.212381806</v>
      </c>
      <c r="L51" s="19">
        <f t="shared" si="30"/>
        <v>-24154533.644390561</v>
      </c>
      <c r="M51" s="19">
        <f t="shared" si="30"/>
        <v>-21752440.844645046</v>
      </c>
      <c r="N51" s="19">
        <f t="shared" si="30"/>
        <v>-19039838.267018408</v>
      </c>
      <c r="O51" s="19">
        <f t="shared" si="30"/>
        <v>-18171614.857509632</v>
      </c>
      <c r="P51" s="19">
        <f t="shared" si="30"/>
        <v>-17901221.306646481</v>
      </c>
      <c r="Q51" s="19">
        <f t="shared" si="30"/>
        <v>-17618764.412722215</v>
      </c>
      <c r="R51" s="19">
        <f t="shared" si="30"/>
        <v>-17325285.836587261</v>
      </c>
      <c r="S51" s="19">
        <f t="shared" si="30"/>
        <v>-17065721.946453068</v>
      </c>
      <c r="T51" s="19">
        <f t="shared" si="30"/>
        <v>-16781669.274905331</v>
      </c>
      <c r="U51" s="19">
        <f t="shared" si="30"/>
        <v>-16486843.375448693</v>
      </c>
      <c r="V51" s="19">
        <f t="shared" si="30"/>
        <v>-16182403.189223003</v>
      </c>
      <c r="W51" s="19">
        <f t="shared" si="30"/>
        <v>-15904958.272480538</v>
      </c>
      <c r="X51" s="19">
        <f t="shared" si="21"/>
        <v>-126065189.01773176</v>
      </c>
      <c r="Y51" s="19">
        <f t="shared" si="22"/>
        <v>-114243937.74078095</v>
      </c>
      <c r="Z51" s="19">
        <f t="shared" si="23"/>
        <v>-83118427.613563642</v>
      </c>
      <c r="AA51" s="19">
        <f t="shared" si="24"/>
        <v>-69910993.502409026</v>
      </c>
      <c r="AB51" s="19">
        <f t="shared" si="25"/>
        <v>-65355874.112057567</v>
      </c>
    </row>
    <row r="52" spans="1:28" x14ac:dyDescent="0.3">
      <c r="A52" s="7" t="s">
        <v>72</v>
      </c>
      <c r="B52" s="7" t="s">
        <v>32</v>
      </c>
      <c r="C52" s="11">
        <f>'Model Inputs'!C52</f>
        <v>0</v>
      </c>
      <c r="D52" s="11">
        <f>'Model Inputs'!D52</f>
        <v>200</v>
      </c>
      <c r="E52" s="11">
        <f>'Model Inputs'!E52</f>
        <v>200.95</v>
      </c>
      <c r="F52" s="11">
        <f>'Model Inputs'!F52</f>
        <v>201.85447600000001</v>
      </c>
      <c r="G52" s="11">
        <f>'Model Inputs'!G52</f>
        <v>202.712963</v>
      </c>
      <c r="H52" s="11">
        <f>'Model Inputs'!H52</f>
        <v>203.52523400000001</v>
      </c>
      <c r="I52" s="11">
        <f>'Model Inputs'!I52</f>
        <v>204.29069200000001</v>
      </c>
      <c r="J52" s="11">
        <f>'Model Inputs'!J52</f>
        <v>205.00877399999999</v>
      </c>
      <c r="K52" s="11">
        <f>'Model Inputs'!K52</f>
        <v>205.67915300000001</v>
      </c>
      <c r="L52" s="11">
        <f>'Model Inputs'!L52</f>
        <v>206.30153799999999</v>
      </c>
      <c r="M52" s="11">
        <f>'Model Inputs'!M52</f>
        <v>206.87546900000001</v>
      </c>
      <c r="N52" s="11">
        <f>'Model Inputs'!N52</f>
        <v>207.400519</v>
      </c>
      <c r="O52" s="11">
        <f>'Model Inputs'!O52</f>
        <v>207.876295</v>
      </c>
      <c r="P52" s="11">
        <f>'Model Inputs'!P52</f>
        <v>208.30265</v>
      </c>
      <c r="Q52" s="11">
        <f>'Model Inputs'!Q52</f>
        <v>208.67905300000001</v>
      </c>
      <c r="R52" s="11">
        <f>'Model Inputs'!R52</f>
        <v>209.005009</v>
      </c>
      <c r="S52" s="11">
        <f>'Model Inputs'!S52</f>
        <v>209.28047799999999</v>
      </c>
      <c r="T52" s="11">
        <f>'Model Inputs'!T52</f>
        <v>209.50503599999999</v>
      </c>
      <c r="U52" s="11">
        <f>'Model Inputs'!U52</f>
        <v>209.67829699999999</v>
      </c>
      <c r="V52" s="11">
        <f>'Model Inputs'!V52</f>
        <v>209.79991000000001</v>
      </c>
      <c r="W52" s="11">
        <f>'Model Inputs'!W52</f>
        <v>209.86977300000001</v>
      </c>
      <c r="X52" s="11">
        <f t="shared" si="21"/>
        <v>805.51743899999997</v>
      </c>
      <c r="Y52" s="11">
        <f t="shared" si="22"/>
        <v>818.50385300000005</v>
      </c>
      <c r="Z52" s="11">
        <f t="shared" si="23"/>
        <v>828.45382100000006</v>
      </c>
      <c r="AA52" s="11">
        <f t="shared" si="24"/>
        <v>835.26719000000003</v>
      </c>
      <c r="AB52" s="11">
        <f t="shared" si="25"/>
        <v>838.85301599999991</v>
      </c>
    </row>
    <row r="53" spans="1:28" x14ac:dyDescent="0.3">
      <c r="A53" s="18" t="s">
        <v>73</v>
      </c>
      <c r="B53" s="18" t="s">
        <v>32</v>
      </c>
      <c r="C53" s="19">
        <f>0</f>
        <v>0</v>
      </c>
      <c r="D53" s="19">
        <f t="shared" ref="D53:W53" si="31">-D52</f>
        <v>-200</v>
      </c>
      <c r="E53" s="19">
        <f t="shared" si="31"/>
        <v>-200.95</v>
      </c>
      <c r="F53" s="19">
        <f t="shared" si="31"/>
        <v>-201.85447600000001</v>
      </c>
      <c r="G53" s="19">
        <f t="shared" si="31"/>
        <v>-202.712963</v>
      </c>
      <c r="H53" s="19">
        <f t="shared" si="31"/>
        <v>-203.52523400000001</v>
      </c>
      <c r="I53" s="19">
        <f t="shared" si="31"/>
        <v>-204.29069200000001</v>
      </c>
      <c r="J53" s="19">
        <f t="shared" si="31"/>
        <v>-205.00877399999999</v>
      </c>
      <c r="K53" s="19">
        <f t="shared" si="31"/>
        <v>-205.67915300000001</v>
      </c>
      <c r="L53" s="19">
        <f t="shared" si="31"/>
        <v>-206.30153799999999</v>
      </c>
      <c r="M53" s="19">
        <f t="shared" si="31"/>
        <v>-206.87546900000001</v>
      </c>
      <c r="N53" s="19">
        <f t="shared" si="31"/>
        <v>-207.400519</v>
      </c>
      <c r="O53" s="19">
        <f t="shared" si="31"/>
        <v>-207.876295</v>
      </c>
      <c r="P53" s="19">
        <f t="shared" si="31"/>
        <v>-208.30265</v>
      </c>
      <c r="Q53" s="19">
        <f t="shared" si="31"/>
        <v>-208.67905300000001</v>
      </c>
      <c r="R53" s="19">
        <f t="shared" si="31"/>
        <v>-209.005009</v>
      </c>
      <c r="S53" s="19">
        <f t="shared" si="31"/>
        <v>-209.28047799999999</v>
      </c>
      <c r="T53" s="19">
        <f t="shared" si="31"/>
        <v>-209.50503599999999</v>
      </c>
      <c r="U53" s="19">
        <f t="shared" si="31"/>
        <v>-209.67829699999999</v>
      </c>
      <c r="V53" s="19">
        <f t="shared" si="31"/>
        <v>-209.79991000000001</v>
      </c>
      <c r="W53" s="19">
        <f t="shared" si="31"/>
        <v>-209.86977300000001</v>
      </c>
      <c r="X53" s="19">
        <f t="shared" si="21"/>
        <v>-805.51743899999997</v>
      </c>
      <c r="Y53" s="19">
        <f t="shared" si="22"/>
        <v>-818.50385300000005</v>
      </c>
      <c r="Z53" s="19">
        <f t="shared" si="23"/>
        <v>-828.45382100000006</v>
      </c>
      <c r="AA53" s="19">
        <f t="shared" si="24"/>
        <v>-835.26719000000003</v>
      </c>
      <c r="AB53" s="19">
        <f t="shared" si="25"/>
        <v>-838.85301599999991</v>
      </c>
    </row>
    <row r="54" spans="1:28" x14ac:dyDescent="0.3">
      <c r="A54" s="7" t="s">
        <v>74</v>
      </c>
      <c r="B54" s="7" t="s">
        <v>32</v>
      </c>
      <c r="C54" s="11">
        <f>'Model Inputs'!C42</f>
        <v>0</v>
      </c>
      <c r="D54" s="11">
        <f>'Model Inputs'!D42</f>
        <v>0</v>
      </c>
      <c r="E54" s="11">
        <f>'Model Inputs'!E42</f>
        <v>0</v>
      </c>
      <c r="F54" s="11">
        <f>'Model Inputs'!F42</f>
        <v>0</v>
      </c>
      <c r="G54" s="11">
        <f>'Model Inputs'!G42</f>
        <v>0</v>
      </c>
      <c r="H54" s="11">
        <f>'Model Inputs'!H42</f>
        <v>0</v>
      </c>
      <c r="I54" s="11">
        <f>'Model Inputs'!I42</f>
        <v>0</v>
      </c>
      <c r="J54" s="11">
        <f>'Model Inputs'!J42</f>
        <v>0</v>
      </c>
      <c r="K54" s="11">
        <f>'Model Inputs'!K42</f>
        <v>0</v>
      </c>
      <c r="L54" s="11">
        <f>'Model Inputs'!L42</f>
        <v>0</v>
      </c>
      <c r="M54" s="11">
        <f>'Model Inputs'!M42</f>
        <v>0</v>
      </c>
      <c r="N54" s="11">
        <f>'Model Inputs'!N42</f>
        <v>0</v>
      </c>
      <c r="O54" s="11">
        <f>'Model Inputs'!O42</f>
        <v>0</v>
      </c>
      <c r="P54" s="11">
        <f>'Model Inputs'!P42</f>
        <v>0</v>
      </c>
      <c r="Q54" s="11">
        <f>'Model Inputs'!Q42</f>
        <v>0</v>
      </c>
      <c r="R54" s="11">
        <f>'Model Inputs'!R42</f>
        <v>0</v>
      </c>
      <c r="S54" s="11">
        <f>'Model Inputs'!S42</f>
        <v>0</v>
      </c>
      <c r="T54" s="11">
        <f>'Model Inputs'!T42</f>
        <v>0</v>
      </c>
      <c r="U54" s="11">
        <f>'Model Inputs'!U42</f>
        <v>0</v>
      </c>
      <c r="V54" s="11">
        <f>'Model Inputs'!V42</f>
        <v>0</v>
      </c>
      <c r="W54" s="11">
        <f>'Model Inputs'!W42</f>
        <v>0</v>
      </c>
      <c r="X54" s="11">
        <f t="shared" si="21"/>
        <v>0</v>
      </c>
      <c r="Y54" s="11">
        <f t="shared" si="22"/>
        <v>0</v>
      </c>
      <c r="Z54" s="11">
        <f t="shared" si="23"/>
        <v>0</v>
      </c>
      <c r="AA54" s="11">
        <f t="shared" si="24"/>
        <v>0</v>
      </c>
      <c r="AB54" s="11">
        <f t="shared" si="25"/>
        <v>0</v>
      </c>
    </row>
    <row r="55" spans="1:28" x14ac:dyDescent="0.3">
      <c r="A55" s="7" t="s">
        <v>75</v>
      </c>
      <c r="B55" s="7" t="s">
        <v>32</v>
      </c>
      <c r="C55" s="11">
        <f>'Model Inputs'!C43</f>
        <v>0</v>
      </c>
      <c r="D55" s="11">
        <f>'Model Inputs'!D43</f>
        <v>1500</v>
      </c>
      <c r="E55" s="11">
        <f>'Model Inputs'!E43</f>
        <v>1500</v>
      </c>
      <c r="F55" s="11">
        <f>'Model Inputs'!F43</f>
        <v>1500</v>
      </c>
      <c r="G55" s="11">
        <f>'Model Inputs'!G43</f>
        <v>1500</v>
      </c>
      <c r="H55" s="11">
        <f>'Model Inputs'!H43</f>
        <v>1500</v>
      </c>
      <c r="I55" s="11">
        <f>'Model Inputs'!I43</f>
        <v>1500</v>
      </c>
      <c r="J55" s="11">
        <f>'Model Inputs'!J43</f>
        <v>1500</v>
      </c>
      <c r="K55" s="11">
        <f>'Model Inputs'!K43</f>
        <v>1500</v>
      </c>
      <c r="L55" s="11">
        <f>'Model Inputs'!L43</f>
        <v>1500</v>
      </c>
      <c r="M55" s="11">
        <f>'Model Inputs'!M43</f>
        <v>1500</v>
      </c>
      <c r="N55" s="11">
        <f>'Model Inputs'!N43</f>
        <v>1500</v>
      </c>
      <c r="O55" s="11">
        <f>'Model Inputs'!O43</f>
        <v>1500</v>
      </c>
      <c r="P55" s="11">
        <f>'Model Inputs'!P43</f>
        <v>1500</v>
      </c>
      <c r="Q55" s="11">
        <f>'Model Inputs'!Q43</f>
        <v>1500</v>
      </c>
      <c r="R55" s="11">
        <f>'Model Inputs'!R43</f>
        <v>1500</v>
      </c>
      <c r="S55" s="11">
        <f>'Model Inputs'!S43</f>
        <v>1500</v>
      </c>
      <c r="T55" s="11">
        <f>'Model Inputs'!T43</f>
        <v>1500</v>
      </c>
      <c r="U55" s="11">
        <f>'Model Inputs'!U43</f>
        <v>1500</v>
      </c>
      <c r="V55" s="11">
        <f>'Model Inputs'!V43</f>
        <v>1500</v>
      </c>
      <c r="W55" s="11">
        <f>'Model Inputs'!W43</f>
        <v>1500</v>
      </c>
      <c r="X55" s="11">
        <f t="shared" si="21"/>
        <v>6000</v>
      </c>
      <c r="Y55" s="11">
        <f t="shared" si="22"/>
        <v>6000</v>
      </c>
      <c r="Z55" s="11">
        <f t="shared" si="23"/>
        <v>6000</v>
      </c>
      <c r="AA55" s="11">
        <f t="shared" si="24"/>
        <v>6000</v>
      </c>
      <c r="AB55" s="11">
        <f t="shared" si="25"/>
        <v>6000</v>
      </c>
    </row>
    <row r="56" spans="1:28" x14ac:dyDescent="0.3">
      <c r="A56" s="7" t="s">
        <v>76</v>
      </c>
      <c r="B56" s="7" t="s">
        <v>32</v>
      </c>
      <c r="C56" s="11">
        <f>0</f>
        <v>0</v>
      </c>
      <c r="D56" s="11">
        <f t="shared" ref="D56:W56" si="32">(D39-C39)+(D41-C41)</f>
        <v>46184083</v>
      </c>
      <c r="E56" s="11">
        <f t="shared" si="32"/>
        <v>32502108</v>
      </c>
      <c r="F56" s="11">
        <f t="shared" si="32"/>
        <v>31900788</v>
      </c>
      <c r="G56" s="11">
        <f t="shared" si="32"/>
        <v>31252071</v>
      </c>
      <c r="H56" s="11">
        <f t="shared" si="32"/>
        <v>30199797</v>
      </c>
      <c r="I56" s="11">
        <f t="shared" si="32"/>
        <v>28829220</v>
      </c>
      <c r="J56" s="11">
        <f t="shared" si="32"/>
        <v>27181097</v>
      </c>
      <c r="K56" s="11">
        <f t="shared" si="32"/>
        <v>25300572</v>
      </c>
      <c r="L56" s="11">
        <f t="shared" si="32"/>
        <v>23105777</v>
      </c>
      <c r="M56" s="11">
        <f t="shared" si="32"/>
        <v>20546996</v>
      </c>
      <c r="N56" s="11">
        <f t="shared" si="32"/>
        <v>17675171</v>
      </c>
      <c r="O56" s="11">
        <f t="shared" si="32"/>
        <v>18039297</v>
      </c>
      <c r="P56" s="11">
        <f t="shared" si="32"/>
        <v>17768859</v>
      </c>
      <c r="Q56" s="11">
        <f t="shared" si="32"/>
        <v>17482992</v>
      </c>
      <c r="R56" s="11">
        <f t="shared" si="32"/>
        <v>17187801</v>
      </c>
      <c r="S56" s="11">
        <f t="shared" si="32"/>
        <v>16926516</v>
      </c>
      <c r="T56" s="11">
        <f t="shared" si="32"/>
        <v>16642472</v>
      </c>
      <c r="U56" s="11">
        <f t="shared" si="32"/>
        <v>16344185</v>
      </c>
      <c r="V56" s="11">
        <f t="shared" si="32"/>
        <v>16038034</v>
      </c>
      <c r="W56" s="11">
        <f t="shared" si="32"/>
        <v>15758864</v>
      </c>
      <c r="X56" s="11">
        <f t="shared" si="21"/>
        <v>141839050</v>
      </c>
      <c r="Y56" s="11">
        <f t="shared" si="22"/>
        <v>111510686</v>
      </c>
      <c r="Z56" s="11">
        <f t="shared" si="23"/>
        <v>79367241</v>
      </c>
      <c r="AA56" s="11">
        <f t="shared" si="24"/>
        <v>69366168</v>
      </c>
      <c r="AB56" s="11">
        <f t="shared" si="25"/>
        <v>64783555</v>
      </c>
    </row>
    <row r="57" spans="1:28" x14ac:dyDescent="0.3">
      <c r="A57" s="7" t="s">
        <v>77</v>
      </c>
      <c r="B57" s="7" t="s">
        <v>32</v>
      </c>
      <c r="C57" s="11">
        <f>'Model Inputs'!C33</f>
        <v>0</v>
      </c>
      <c r="D57" s="11">
        <f>'Model Inputs'!D33</f>
        <v>0</v>
      </c>
      <c r="E57" s="11">
        <f>'Model Inputs'!E33</f>
        <v>0</v>
      </c>
      <c r="F57" s="11">
        <f>'Model Inputs'!F33</f>
        <v>0</v>
      </c>
      <c r="G57" s="11">
        <f>'Model Inputs'!G33</f>
        <v>0</v>
      </c>
      <c r="H57" s="11">
        <f>'Model Inputs'!H33</f>
        <v>0</v>
      </c>
      <c r="I57" s="11">
        <f>'Model Inputs'!I33</f>
        <v>0</v>
      </c>
      <c r="J57" s="11">
        <f>'Model Inputs'!J33</f>
        <v>0</v>
      </c>
      <c r="K57" s="11">
        <f>'Model Inputs'!K33</f>
        <v>0</v>
      </c>
      <c r="L57" s="11">
        <f>'Model Inputs'!L33</f>
        <v>0</v>
      </c>
      <c r="M57" s="11">
        <f>'Model Inputs'!M33</f>
        <v>0</v>
      </c>
      <c r="N57" s="11">
        <f>'Model Inputs'!N33</f>
        <v>0</v>
      </c>
      <c r="O57" s="11">
        <f>'Model Inputs'!O33</f>
        <v>0</v>
      </c>
      <c r="P57" s="11">
        <f>'Model Inputs'!P33</f>
        <v>0</v>
      </c>
      <c r="Q57" s="11">
        <f>'Model Inputs'!Q33</f>
        <v>0</v>
      </c>
      <c r="R57" s="11">
        <f>'Model Inputs'!R33</f>
        <v>0</v>
      </c>
      <c r="S57" s="11">
        <f>'Model Inputs'!S33</f>
        <v>0</v>
      </c>
      <c r="T57" s="11">
        <f>'Model Inputs'!T33</f>
        <v>0</v>
      </c>
      <c r="U57" s="11">
        <f>'Model Inputs'!U33</f>
        <v>0</v>
      </c>
      <c r="V57" s="11">
        <f>'Model Inputs'!V33</f>
        <v>0</v>
      </c>
      <c r="W57" s="11">
        <f>'Model Inputs'!W33</f>
        <v>0</v>
      </c>
      <c r="X57" s="11">
        <f t="shared" si="21"/>
        <v>0</v>
      </c>
      <c r="Y57" s="11">
        <f t="shared" si="22"/>
        <v>0</v>
      </c>
      <c r="Z57" s="11">
        <f t="shared" si="23"/>
        <v>0</v>
      </c>
      <c r="AA57" s="11">
        <f t="shared" si="24"/>
        <v>0</v>
      </c>
      <c r="AB57" s="11">
        <f t="shared" si="25"/>
        <v>0</v>
      </c>
    </row>
    <row r="58" spans="1:28" x14ac:dyDescent="0.3">
      <c r="A58" s="7" t="s">
        <v>78</v>
      </c>
      <c r="B58" s="7" t="s">
        <v>32</v>
      </c>
      <c r="C58" s="11">
        <f>'Model Inputs'!C46</f>
        <v>0</v>
      </c>
      <c r="D58" s="11">
        <f>'Model Inputs'!D46</f>
        <v>0</v>
      </c>
      <c r="E58" s="11">
        <f>'Model Inputs'!E46</f>
        <v>0</v>
      </c>
      <c r="F58" s="11">
        <f>'Model Inputs'!F46</f>
        <v>0</v>
      </c>
      <c r="G58" s="11">
        <f>'Model Inputs'!G46</f>
        <v>0</v>
      </c>
      <c r="H58" s="11">
        <f>'Model Inputs'!H46</f>
        <v>0</v>
      </c>
      <c r="I58" s="11">
        <f>'Model Inputs'!I46</f>
        <v>0</v>
      </c>
      <c r="J58" s="11">
        <f>'Model Inputs'!J46</f>
        <v>0</v>
      </c>
      <c r="K58" s="11">
        <f>'Model Inputs'!K46</f>
        <v>0</v>
      </c>
      <c r="L58" s="11">
        <f>'Model Inputs'!L46</f>
        <v>0</v>
      </c>
      <c r="M58" s="11">
        <f>'Model Inputs'!M46</f>
        <v>0</v>
      </c>
      <c r="N58" s="11">
        <f>'Model Inputs'!N46</f>
        <v>0</v>
      </c>
      <c r="O58" s="11">
        <f>'Model Inputs'!O46</f>
        <v>0</v>
      </c>
      <c r="P58" s="11">
        <f>'Model Inputs'!P46</f>
        <v>0</v>
      </c>
      <c r="Q58" s="11">
        <f>'Model Inputs'!Q46</f>
        <v>0</v>
      </c>
      <c r="R58" s="11">
        <f>'Model Inputs'!R46</f>
        <v>0</v>
      </c>
      <c r="S58" s="11">
        <f>'Model Inputs'!S46</f>
        <v>0</v>
      </c>
      <c r="T58" s="11">
        <f>'Model Inputs'!T46</f>
        <v>0</v>
      </c>
      <c r="U58" s="11">
        <f>'Model Inputs'!U46</f>
        <v>0</v>
      </c>
      <c r="V58" s="11">
        <f>'Model Inputs'!V46</f>
        <v>0</v>
      </c>
      <c r="W58" s="11">
        <f>'Model Inputs'!W46</f>
        <v>0</v>
      </c>
      <c r="X58" s="11">
        <f t="shared" si="21"/>
        <v>0</v>
      </c>
      <c r="Y58" s="11">
        <f t="shared" si="22"/>
        <v>0</v>
      </c>
      <c r="Z58" s="11">
        <f t="shared" si="23"/>
        <v>0</v>
      </c>
      <c r="AA58" s="11">
        <f t="shared" si="24"/>
        <v>0</v>
      </c>
      <c r="AB58" s="11">
        <f t="shared" si="25"/>
        <v>0</v>
      </c>
    </row>
    <row r="59" spans="1:28" x14ac:dyDescent="0.3">
      <c r="A59" s="18" t="s">
        <v>79</v>
      </c>
      <c r="B59" s="18" t="s">
        <v>32</v>
      </c>
      <c r="C59" s="19">
        <f>0</f>
        <v>0</v>
      </c>
      <c r="D59" s="19">
        <f t="shared" ref="D59:W59" si="33">D54-D55+D56-D57-D58</f>
        <v>46182583</v>
      </c>
      <c r="E59" s="19">
        <f t="shared" si="33"/>
        <v>32500608</v>
      </c>
      <c r="F59" s="19">
        <f t="shared" si="33"/>
        <v>31899288</v>
      </c>
      <c r="G59" s="19">
        <f t="shared" si="33"/>
        <v>31250571</v>
      </c>
      <c r="H59" s="19">
        <f t="shared" si="33"/>
        <v>30198297</v>
      </c>
      <c r="I59" s="19">
        <f t="shared" si="33"/>
        <v>28827720</v>
      </c>
      <c r="J59" s="19">
        <f t="shared" si="33"/>
        <v>27179597</v>
      </c>
      <c r="K59" s="19">
        <f t="shared" si="33"/>
        <v>25299072</v>
      </c>
      <c r="L59" s="19">
        <f t="shared" si="33"/>
        <v>23104277</v>
      </c>
      <c r="M59" s="19">
        <f t="shared" si="33"/>
        <v>20545496</v>
      </c>
      <c r="N59" s="19">
        <f t="shared" si="33"/>
        <v>17673671</v>
      </c>
      <c r="O59" s="19">
        <f t="shared" si="33"/>
        <v>18037797</v>
      </c>
      <c r="P59" s="19">
        <f t="shared" si="33"/>
        <v>17767359</v>
      </c>
      <c r="Q59" s="19">
        <f t="shared" si="33"/>
        <v>17481492</v>
      </c>
      <c r="R59" s="19">
        <f t="shared" si="33"/>
        <v>17186301</v>
      </c>
      <c r="S59" s="19">
        <f t="shared" si="33"/>
        <v>16925016</v>
      </c>
      <c r="T59" s="19">
        <f t="shared" si="33"/>
        <v>16640972</v>
      </c>
      <c r="U59" s="19">
        <f t="shared" si="33"/>
        <v>16342685</v>
      </c>
      <c r="V59" s="19">
        <f t="shared" si="33"/>
        <v>16036534</v>
      </c>
      <c r="W59" s="19">
        <f t="shared" si="33"/>
        <v>15757364</v>
      </c>
      <c r="X59" s="19">
        <f t="shared" si="21"/>
        <v>141833050</v>
      </c>
      <c r="Y59" s="19">
        <f t="shared" si="22"/>
        <v>111504686</v>
      </c>
      <c r="Z59" s="19">
        <f t="shared" si="23"/>
        <v>79361241</v>
      </c>
      <c r="AA59" s="19">
        <f t="shared" si="24"/>
        <v>69360168</v>
      </c>
      <c r="AB59" s="19">
        <f t="shared" si="25"/>
        <v>64777555</v>
      </c>
    </row>
    <row r="60" spans="1:28" x14ac:dyDescent="0.3">
      <c r="A60" s="18" t="s">
        <v>80</v>
      </c>
      <c r="B60" s="18" t="s">
        <v>32</v>
      </c>
      <c r="C60" s="19">
        <f>0</f>
        <v>0</v>
      </c>
      <c r="D60" s="19">
        <f t="shared" ref="D60:W60" si="34">D51+D53+D59</f>
        <v>16400482.177717388</v>
      </c>
      <c r="E60" s="19">
        <f t="shared" si="34"/>
        <v>-84016.632218439132</v>
      </c>
      <c r="F60" s="19">
        <f t="shared" si="34"/>
        <v>-209742.44969895855</v>
      </c>
      <c r="G60" s="19">
        <f t="shared" si="34"/>
        <v>-339667.63097074255</v>
      </c>
      <c r="H60" s="19">
        <f t="shared" si="34"/>
        <v>-472193.23244835436</v>
      </c>
      <c r="I60" s="19">
        <f t="shared" si="34"/>
        <v>-612084.10462417826</v>
      </c>
      <c r="J60" s="19">
        <f t="shared" si="34"/>
        <v>-754561.01602660492</v>
      </c>
      <c r="K60" s="19">
        <f t="shared" si="34"/>
        <v>-901231.8915348053</v>
      </c>
      <c r="L60" s="19">
        <f t="shared" si="34"/>
        <v>-1050462.9459285624</v>
      </c>
      <c r="M60" s="19">
        <f t="shared" si="34"/>
        <v>-1207151.7201140448</v>
      </c>
      <c r="N60" s="19">
        <f t="shared" si="34"/>
        <v>-1366374.6675374061</v>
      </c>
      <c r="O60" s="19">
        <f t="shared" si="34"/>
        <v>-134025.73380463198</v>
      </c>
      <c r="P60" s="19">
        <f t="shared" si="34"/>
        <v>-134070.60929648206</v>
      </c>
      <c r="Q60" s="19">
        <f t="shared" si="34"/>
        <v>-137481.09177521616</v>
      </c>
      <c r="R60" s="19">
        <f t="shared" si="34"/>
        <v>-139193.84159626067</v>
      </c>
      <c r="S60" s="19">
        <f t="shared" si="34"/>
        <v>-140915.22693106905</v>
      </c>
      <c r="T60" s="19">
        <f t="shared" si="34"/>
        <v>-140906.7799413316</v>
      </c>
      <c r="U60" s="19">
        <f t="shared" si="34"/>
        <v>-144368.0537456926</v>
      </c>
      <c r="V60" s="19">
        <f t="shared" si="34"/>
        <v>-146078.98913300224</v>
      </c>
      <c r="W60" s="19">
        <f t="shared" si="34"/>
        <v>-147804.14225353859</v>
      </c>
      <c r="X60" s="19">
        <f t="shared" si="21"/>
        <v>15767055.464829247</v>
      </c>
      <c r="Y60" s="19">
        <f t="shared" si="22"/>
        <v>-2740070.2446339428</v>
      </c>
      <c r="Z60" s="19">
        <f t="shared" si="23"/>
        <v>-3758015.0673846453</v>
      </c>
      <c r="AA60" s="19">
        <f t="shared" si="24"/>
        <v>-551660.76959902793</v>
      </c>
      <c r="AB60" s="19">
        <f t="shared" si="25"/>
        <v>-579157.96507356502</v>
      </c>
    </row>
    <row r="61" spans="1:28" x14ac:dyDescent="0.3">
      <c r="A61" s="18" t="s">
        <v>81</v>
      </c>
      <c r="B61" s="18" t="s">
        <v>32</v>
      </c>
      <c r="C61" s="19">
        <f t="shared" ref="C61:W61" si="35">C46+C60</f>
        <v>12000</v>
      </c>
      <c r="D61" s="19">
        <f t="shared" si="35"/>
        <v>16412482.177717388</v>
      </c>
      <c r="E61" s="19">
        <f t="shared" si="35"/>
        <v>16328465.545498949</v>
      </c>
      <c r="F61" s="19">
        <f t="shared" si="35"/>
        <v>16118723.09579999</v>
      </c>
      <c r="G61" s="19">
        <f t="shared" si="35"/>
        <v>15779055.464829247</v>
      </c>
      <c r="H61" s="19">
        <f t="shared" si="35"/>
        <v>15306862.232380893</v>
      </c>
      <c r="I61" s="19">
        <f t="shared" si="35"/>
        <v>14694778.127756715</v>
      </c>
      <c r="J61" s="19">
        <f t="shared" si="35"/>
        <v>13940217.11173011</v>
      </c>
      <c r="K61" s="19">
        <f t="shared" si="35"/>
        <v>13038985.220195305</v>
      </c>
      <c r="L61" s="19">
        <f t="shared" si="35"/>
        <v>11988522.274266742</v>
      </c>
      <c r="M61" s="19">
        <f t="shared" si="35"/>
        <v>10781370.554152697</v>
      </c>
      <c r="N61" s="19">
        <f t="shared" si="35"/>
        <v>9414995.8866152912</v>
      </c>
      <c r="O61" s="19">
        <f t="shared" si="35"/>
        <v>9280970.1528106593</v>
      </c>
      <c r="P61" s="19">
        <f t="shared" si="35"/>
        <v>9146899.5435141772</v>
      </c>
      <c r="Q61" s="19">
        <f t="shared" si="35"/>
        <v>9009418.451738961</v>
      </c>
      <c r="R61" s="19">
        <f t="shared" si="35"/>
        <v>8870224.6101427004</v>
      </c>
      <c r="S61" s="19">
        <f t="shared" si="35"/>
        <v>8729309.3832116313</v>
      </c>
      <c r="T61" s="19">
        <f t="shared" si="35"/>
        <v>8588402.6032702997</v>
      </c>
      <c r="U61" s="19">
        <f t="shared" si="35"/>
        <v>8444034.5495246071</v>
      </c>
      <c r="V61" s="19">
        <f t="shared" si="35"/>
        <v>8297955.5603916049</v>
      </c>
      <c r="W61" s="19">
        <f t="shared" si="35"/>
        <v>8150151.4181380663</v>
      </c>
      <c r="X61" s="19">
        <f t="shared" si="21"/>
        <v>64638726.283845574</v>
      </c>
      <c r="Y61" s="19">
        <f t="shared" si="22"/>
        <v>56980842.692063019</v>
      </c>
      <c r="Z61" s="19">
        <f t="shared" si="23"/>
        <v>41465858.867845386</v>
      </c>
      <c r="AA61" s="19">
        <f t="shared" si="24"/>
        <v>35755851.988607466</v>
      </c>
      <c r="AB61" s="19">
        <f t="shared" si="25"/>
        <v>33480544.131324574</v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236</v>
      </c>
    </row>
    <row r="2" spans="1:28" x14ac:dyDescent="0.3">
      <c r="A2" s="2" t="s">
        <v>237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3" t="s">
        <v>30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</row>
    <row r="7" spans="1:28" x14ac:dyDescent="0.3">
      <c r="A7" t="s">
        <v>31</v>
      </c>
      <c r="B7" t="s">
        <v>238</v>
      </c>
      <c r="C7" s="30">
        <v>117000</v>
      </c>
      <c r="D7" s="30">
        <v>265953.375</v>
      </c>
      <c r="E7" s="30">
        <v>283499.20565999998</v>
      </c>
      <c r="F7" s="30">
        <v>301385.45663999999</v>
      </c>
      <c r="G7" s="30">
        <v>319612.12793999998</v>
      </c>
      <c r="H7" s="30">
        <v>338179.21956</v>
      </c>
      <c r="I7" s="30">
        <v>357086.73149999999</v>
      </c>
      <c r="J7" s="30">
        <v>376334.66376000002</v>
      </c>
      <c r="K7" s="30">
        <v>395923.01633999997</v>
      </c>
      <c r="L7" s="30">
        <v>415851.78924000001</v>
      </c>
      <c r="M7" s="30">
        <v>436120.98246000003</v>
      </c>
      <c r="N7" s="30">
        <v>456730.59600000002</v>
      </c>
      <c r="O7" s="30">
        <v>458937.02377899998</v>
      </c>
      <c r="P7" s="30">
        <v>461143.45155900001</v>
      </c>
      <c r="Q7" s="30">
        <v>463349.87933800003</v>
      </c>
      <c r="R7" s="30">
        <v>465556.30711699999</v>
      </c>
      <c r="S7" s="30">
        <v>467762.73688300001</v>
      </c>
      <c r="T7" s="30">
        <v>469969.16466200002</v>
      </c>
      <c r="U7" s="30">
        <v>472175.59244099999</v>
      </c>
      <c r="V7" s="30">
        <v>474382.02022100001</v>
      </c>
      <c r="W7" s="30">
        <v>476588.44799999997</v>
      </c>
    </row>
    <row r="8" spans="1:28" x14ac:dyDescent="0.3">
      <c r="A8" t="s">
        <v>33</v>
      </c>
      <c r="B8" t="s">
        <v>238</v>
      </c>
      <c r="C8" s="30">
        <v>79035.606</v>
      </c>
      <c r="D8" s="30">
        <v>19946503.125</v>
      </c>
      <c r="E8" s="30">
        <v>20128443.601860002</v>
      </c>
      <c r="F8" s="30">
        <v>20192825.59488</v>
      </c>
      <c r="G8" s="30">
        <v>20135564.060219999</v>
      </c>
      <c r="H8" s="30">
        <v>19952573.954039998</v>
      </c>
      <c r="I8" s="30">
        <v>19639770.232500002</v>
      </c>
      <c r="J8" s="30">
        <v>19193067.85176</v>
      </c>
      <c r="K8" s="30">
        <v>18608381.767979998</v>
      </c>
      <c r="L8" s="30">
        <v>17881626.937320001</v>
      </c>
      <c r="M8" s="30">
        <v>17008718.31594</v>
      </c>
      <c r="N8" s="30">
        <v>15985570.859999999</v>
      </c>
      <c r="O8" s="30">
        <v>15807830.819066999</v>
      </c>
      <c r="P8" s="30">
        <v>15627639.191711999</v>
      </c>
      <c r="Q8" s="30">
        <v>15444995.977936</v>
      </c>
      <c r="R8" s="30">
        <v>15259901.177738</v>
      </c>
      <c r="S8" s="30">
        <v>15072354.855105</v>
      </c>
      <c r="T8" s="30">
        <v>14882356.880961001</v>
      </c>
      <c r="U8" s="30">
        <v>14689907.320396001</v>
      </c>
      <c r="V8" s="30">
        <v>14495006.173409</v>
      </c>
      <c r="W8" s="30">
        <v>14297653.439999999</v>
      </c>
    </row>
    <row r="9" spans="1:28" x14ac:dyDescent="0.3">
      <c r="A9" t="s">
        <v>34</v>
      </c>
      <c r="B9" t="s">
        <v>238</v>
      </c>
      <c r="C9" s="30">
        <v>37964.394</v>
      </c>
      <c r="D9" s="30">
        <v>-19680549.75</v>
      </c>
      <c r="E9" s="30">
        <v>-19844944.396200001</v>
      </c>
      <c r="F9" s="30">
        <v>-19891440.138239998</v>
      </c>
      <c r="G9" s="30">
        <v>-19815951.93228</v>
      </c>
      <c r="H9" s="30">
        <v>-19614394.734480001</v>
      </c>
      <c r="I9" s="30">
        <v>-19282683.500999998</v>
      </c>
      <c r="J9" s="30">
        <v>-18816733.188000001</v>
      </c>
      <c r="K9" s="30">
        <v>-18212458.751639999</v>
      </c>
      <c r="L9" s="30">
        <v>-17465775.148079999</v>
      </c>
      <c r="M9" s="30">
        <v>-16572597.33348</v>
      </c>
      <c r="N9" s="30">
        <v>-15528840.264</v>
      </c>
      <c r="O9" s="30">
        <v>-15348893.795287</v>
      </c>
      <c r="P9" s="30">
        <v>-15166495.740153</v>
      </c>
      <c r="Q9" s="30">
        <v>-14981646.098598</v>
      </c>
      <c r="R9" s="30">
        <v>-14794344.870620999</v>
      </c>
      <c r="S9" s="30">
        <v>-14604592.118222</v>
      </c>
      <c r="T9" s="30">
        <v>-14412387.716298999</v>
      </c>
      <c r="U9" s="30">
        <v>-14217731.727954</v>
      </c>
      <c r="V9" s="30">
        <v>-14020624.153188</v>
      </c>
      <c r="W9" s="30">
        <v>-13821064.992000001</v>
      </c>
    </row>
    <row r="10" spans="1:28" x14ac:dyDescent="0.3">
      <c r="A10" t="s">
        <v>35</v>
      </c>
      <c r="B10" t="s">
        <v>238</v>
      </c>
      <c r="C10" s="30">
        <v>9291.2039999999997</v>
      </c>
      <c r="D10" s="30">
        <v>6382881</v>
      </c>
      <c r="E10" s="30">
        <v>6208632.6039540004</v>
      </c>
      <c r="F10" s="30">
        <v>5967432.0414720001</v>
      </c>
      <c r="G10" s="30">
        <v>5657134.6645379998</v>
      </c>
      <c r="H10" s="30">
        <v>5275595.8251360003</v>
      </c>
      <c r="I10" s="30">
        <v>4820670.8752499996</v>
      </c>
      <c r="J10" s="30">
        <v>4290215.1668640003</v>
      </c>
      <c r="K10" s="30">
        <v>3682084.0519619999</v>
      </c>
      <c r="L10" s="30">
        <v>2994132.882528</v>
      </c>
      <c r="M10" s="30">
        <v>2224217.0105460002</v>
      </c>
      <c r="N10" s="30">
        <v>1370191.7879999999</v>
      </c>
      <c r="O10" s="30">
        <v>1325818.0686959999</v>
      </c>
      <c r="P10" s="30">
        <v>1280954.032108</v>
      </c>
      <c r="Q10" s="30">
        <v>1235599.678235</v>
      </c>
      <c r="R10" s="30">
        <v>1189755.0070780001</v>
      </c>
      <c r="S10" s="30">
        <v>1143420.0234910001</v>
      </c>
      <c r="T10" s="30">
        <v>1096594.7175439999</v>
      </c>
      <c r="U10" s="30">
        <v>1049279.0943140001</v>
      </c>
      <c r="V10" s="30">
        <v>1001473.153799</v>
      </c>
      <c r="W10" s="30">
        <v>953176.89599999995</v>
      </c>
    </row>
    <row r="11" spans="1:28" x14ac:dyDescent="0.3">
      <c r="A11" t="s">
        <v>36</v>
      </c>
      <c r="B11" t="s">
        <v>238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</row>
    <row r="12" spans="1:28" x14ac:dyDescent="0.3">
      <c r="A12" t="s">
        <v>37</v>
      </c>
      <c r="B12" t="s">
        <v>238</v>
      </c>
      <c r="C12" s="30">
        <v>7500</v>
      </c>
      <c r="D12" s="30">
        <v>7500</v>
      </c>
      <c r="E12" s="30">
        <v>7500</v>
      </c>
      <c r="F12" s="30">
        <v>7500</v>
      </c>
      <c r="G12" s="30">
        <v>7500</v>
      </c>
      <c r="H12" s="30">
        <v>7500</v>
      </c>
      <c r="I12" s="30">
        <v>7500</v>
      </c>
      <c r="J12" s="30">
        <v>7500</v>
      </c>
      <c r="K12" s="30">
        <v>7500</v>
      </c>
      <c r="L12" s="30">
        <v>7500</v>
      </c>
      <c r="M12" s="30">
        <v>7500</v>
      </c>
      <c r="N12" s="30">
        <v>7500</v>
      </c>
      <c r="O12" s="30">
        <v>7500</v>
      </c>
      <c r="P12" s="30">
        <v>7500</v>
      </c>
      <c r="Q12" s="30">
        <v>7500</v>
      </c>
      <c r="R12" s="30">
        <v>7500</v>
      </c>
      <c r="S12" s="30">
        <v>7500</v>
      </c>
      <c r="T12" s="30">
        <v>7500</v>
      </c>
      <c r="U12" s="30">
        <v>7500</v>
      </c>
      <c r="V12" s="30">
        <v>7500</v>
      </c>
      <c r="W12" s="30">
        <v>7500</v>
      </c>
    </row>
    <row r="13" spans="1:28" x14ac:dyDescent="0.3">
      <c r="A13" t="s">
        <v>38</v>
      </c>
      <c r="B13" t="s">
        <v>238</v>
      </c>
      <c r="C13" s="30">
        <v>102356.25</v>
      </c>
      <c r="D13" s="30">
        <v>106192</v>
      </c>
      <c r="E13" s="30">
        <v>106192</v>
      </c>
      <c r="F13" s="30">
        <v>106192</v>
      </c>
      <c r="G13" s="30">
        <v>106192</v>
      </c>
      <c r="H13" s="30">
        <v>109380</v>
      </c>
      <c r="I13" s="30">
        <v>109380</v>
      </c>
      <c r="J13" s="30">
        <v>109380</v>
      </c>
      <c r="K13" s="30">
        <v>109380</v>
      </c>
      <c r="L13" s="30">
        <v>112661</v>
      </c>
      <c r="M13" s="30">
        <v>112661</v>
      </c>
      <c r="N13" s="30">
        <v>112661</v>
      </c>
      <c r="O13" s="30">
        <v>112661</v>
      </c>
      <c r="P13" s="30">
        <v>116039</v>
      </c>
      <c r="Q13" s="30">
        <v>116039</v>
      </c>
      <c r="R13" s="30">
        <v>116039</v>
      </c>
      <c r="S13" s="30">
        <v>116039</v>
      </c>
      <c r="T13" s="30">
        <v>119522</v>
      </c>
      <c r="U13" s="30">
        <v>119522</v>
      </c>
      <c r="V13" s="30">
        <v>119522</v>
      </c>
      <c r="W13" s="30">
        <v>119522</v>
      </c>
    </row>
    <row r="14" spans="1:28" x14ac:dyDescent="0.3">
      <c r="A14" t="s">
        <v>39</v>
      </c>
      <c r="B14" t="s">
        <v>238</v>
      </c>
      <c r="C14" s="30">
        <v>236.80799999999999</v>
      </c>
      <c r="D14" s="30">
        <v>6382881</v>
      </c>
      <c r="E14" s="30">
        <v>6208632.6039540004</v>
      </c>
      <c r="F14" s="30">
        <v>5967432.0414720001</v>
      </c>
      <c r="G14" s="30">
        <v>5657134.6645379998</v>
      </c>
      <c r="H14" s="30">
        <v>5275595.8251360003</v>
      </c>
      <c r="I14" s="30">
        <v>4820670.8752499996</v>
      </c>
      <c r="J14" s="30">
        <v>4290215.1668640003</v>
      </c>
      <c r="K14" s="30">
        <v>3682084.0519619999</v>
      </c>
      <c r="L14" s="30">
        <v>2994132.882528</v>
      </c>
      <c r="M14" s="30">
        <v>2224217.0105460002</v>
      </c>
      <c r="N14" s="30">
        <v>1370191.7879999999</v>
      </c>
      <c r="O14" s="30">
        <v>1325818.0686959999</v>
      </c>
      <c r="P14" s="30">
        <v>1280954.032108</v>
      </c>
      <c r="Q14" s="30">
        <v>1235599.678235</v>
      </c>
      <c r="R14" s="30">
        <v>1189755.0070780001</v>
      </c>
      <c r="S14" s="30">
        <v>1143420.0234910001</v>
      </c>
      <c r="T14" s="30">
        <v>1096594.7175439999</v>
      </c>
      <c r="U14" s="30">
        <v>1049279.0943140001</v>
      </c>
      <c r="V14" s="30">
        <v>1001473.153799</v>
      </c>
      <c r="W14" s="30">
        <v>953176.89599999995</v>
      </c>
    </row>
    <row r="15" spans="1:28" x14ac:dyDescent="0.3">
      <c r="A15" t="s">
        <v>40</v>
      </c>
      <c r="B15" t="s">
        <v>238</v>
      </c>
      <c r="C15" s="30">
        <v>-81419.868000000002</v>
      </c>
      <c r="D15" s="30">
        <v>-32560003.75</v>
      </c>
      <c r="E15" s="30">
        <v>-32375901.604107998</v>
      </c>
      <c r="F15" s="30">
        <v>-31939996.221184</v>
      </c>
      <c r="G15" s="30">
        <v>-31243913.261356</v>
      </c>
      <c r="H15" s="30">
        <v>-30282466.384752002</v>
      </c>
      <c r="I15" s="30">
        <v>-29040905.251499999</v>
      </c>
      <c r="J15" s="30">
        <v>-27514043.521728002</v>
      </c>
      <c r="K15" s="30">
        <v>-25693506.855563998</v>
      </c>
      <c r="L15" s="30">
        <v>-23574201.913136002</v>
      </c>
      <c r="M15" s="30">
        <v>-21141192.354572002</v>
      </c>
      <c r="N15" s="30">
        <v>-18389384.84</v>
      </c>
      <c r="O15" s="30">
        <v>-18120690.932679001</v>
      </c>
      <c r="P15" s="30">
        <v>-17851942.804368</v>
      </c>
      <c r="Q15" s="30">
        <v>-17576384.455067001</v>
      </c>
      <c r="R15" s="30">
        <v>-17297393.884776</v>
      </c>
      <c r="S15" s="30">
        <v>-17014971.165204</v>
      </c>
      <c r="T15" s="30">
        <v>-16732599.151388001</v>
      </c>
      <c r="U15" s="30">
        <v>-16443311.916582</v>
      </c>
      <c r="V15" s="30">
        <v>-16150592.460786</v>
      </c>
      <c r="W15" s="30">
        <v>-15854440.784</v>
      </c>
    </row>
    <row r="16" spans="1:28" x14ac:dyDescent="0.3">
      <c r="A16" t="s">
        <v>41</v>
      </c>
      <c r="B16" t="s">
        <v>238</v>
      </c>
      <c r="C16" s="30">
        <v>300</v>
      </c>
      <c r="D16" s="30">
        <v>731.25</v>
      </c>
      <c r="E16" s="30">
        <v>693.75</v>
      </c>
      <c r="F16" s="30">
        <v>656.25</v>
      </c>
      <c r="G16" s="30">
        <v>618.75</v>
      </c>
      <c r="H16" s="30">
        <v>581.25</v>
      </c>
      <c r="I16" s="30">
        <v>543.75</v>
      </c>
      <c r="J16" s="30">
        <v>506.25</v>
      </c>
      <c r="K16" s="30">
        <v>468.75</v>
      </c>
      <c r="L16" s="30">
        <v>431.25</v>
      </c>
      <c r="M16" s="30">
        <v>393.75</v>
      </c>
      <c r="N16" s="30">
        <v>356.25</v>
      </c>
      <c r="O16" s="30">
        <v>318.75</v>
      </c>
      <c r="P16" s="30">
        <v>281.25</v>
      </c>
      <c r="Q16" s="30">
        <v>243.75</v>
      </c>
      <c r="R16" s="30">
        <v>206.25</v>
      </c>
      <c r="S16" s="30">
        <v>168.75</v>
      </c>
      <c r="T16" s="30">
        <v>131.25</v>
      </c>
      <c r="U16" s="30">
        <v>93.75</v>
      </c>
      <c r="V16" s="30">
        <v>56.25</v>
      </c>
      <c r="W16" s="30">
        <v>18.75</v>
      </c>
    </row>
    <row r="17" spans="1:28" x14ac:dyDescent="0.3">
      <c r="A17" t="s">
        <v>42</v>
      </c>
      <c r="B17" t="s">
        <v>238</v>
      </c>
      <c r="C17" s="30">
        <v>0</v>
      </c>
      <c r="D17" s="30">
        <v>10</v>
      </c>
      <c r="E17" s="30">
        <v>20.05481</v>
      </c>
      <c r="F17" s="30">
        <v>30.157059</v>
      </c>
      <c r="G17" s="30">
        <v>40.258794000000002</v>
      </c>
      <c r="H17" s="30">
        <v>50.433553000000003</v>
      </c>
      <c r="I17" s="30">
        <v>60.674335999999997</v>
      </c>
      <c r="J17" s="30">
        <v>70.933036000000001</v>
      </c>
      <c r="K17" s="30">
        <v>81.202129999999997</v>
      </c>
      <c r="L17" s="30">
        <v>91.515361999999996</v>
      </c>
      <c r="M17" s="30">
        <v>101.865481</v>
      </c>
      <c r="N17" s="30">
        <v>112.245161</v>
      </c>
      <c r="O17" s="30">
        <v>122.605439</v>
      </c>
      <c r="P17" s="30">
        <v>133.02207200000001</v>
      </c>
      <c r="Q17" s="30">
        <v>143.487717</v>
      </c>
      <c r="R17" s="30">
        <v>153.91128900000001</v>
      </c>
      <c r="S17" s="30">
        <v>164.368887</v>
      </c>
      <c r="T17" s="30">
        <v>174.852903</v>
      </c>
      <c r="U17" s="30">
        <v>185.355614</v>
      </c>
      <c r="V17" s="30">
        <v>195.827236</v>
      </c>
      <c r="W17" s="30">
        <v>206.34396100000001</v>
      </c>
    </row>
    <row r="18" spans="1:28" x14ac:dyDescent="0.3">
      <c r="A18" t="s">
        <v>43</v>
      </c>
      <c r="B18" t="s">
        <v>238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</row>
    <row r="19" spans="1:28" x14ac:dyDescent="0.3">
      <c r="A19" t="s">
        <v>44</v>
      </c>
      <c r="B19" t="s">
        <v>238</v>
      </c>
      <c r="C19" s="30">
        <v>-81719.868000000002</v>
      </c>
      <c r="D19" s="30">
        <v>-32560745</v>
      </c>
      <c r="E19" s="30">
        <v>-32376615.408918001</v>
      </c>
      <c r="F19" s="30">
        <v>-31940682.628242999</v>
      </c>
      <c r="G19" s="30">
        <v>-31244572.270149998</v>
      </c>
      <c r="H19" s="30">
        <v>-30283098.068305001</v>
      </c>
      <c r="I19" s="30">
        <v>-29041509.675836001</v>
      </c>
      <c r="J19" s="30">
        <v>-27514620.704764001</v>
      </c>
      <c r="K19" s="30">
        <v>-25694056.807693999</v>
      </c>
      <c r="L19" s="30">
        <v>-23574724.678498</v>
      </c>
      <c r="M19" s="30">
        <v>-21141687.970052999</v>
      </c>
      <c r="N19" s="30">
        <v>-18389853.335161</v>
      </c>
      <c r="O19" s="30">
        <v>-18121132.288118001</v>
      </c>
      <c r="P19" s="30">
        <v>-17852357.076439999</v>
      </c>
      <c r="Q19" s="30">
        <v>-17576771.692784</v>
      </c>
      <c r="R19" s="30">
        <v>-17297754.046064999</v>
      </c>
      <c r="S19" s="30">
        <v>-17015304.284091</v>
      </c>
      <c r="T19" s="30">
        <v>-16732905.254291</v>
      </c>
      <c r="U19" s="30">
        <v>-16443591.022196</v>
      </c>
      <c r="V19" s="30">
        <v>-16150844.538022</v>
      </c>
      <c r="W19" s="30">
        <v>-15854665.877961</v>
      </c>
    </row>
    <row r="22" spans="1:28" x14ac:dyDescent="0.3">
      <c r="A22" s="53" t="s">
        <v>45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</row>
    <row r="23" spans="1:28" x14ac:dyDescent="0.3">
      <c r="A23" t="s">
        <v>46</v>
      </c>
      <c r="B23" t="s">
        <v>238</v>
      </c>
      <c r="C23" s="30">
        <v>12000</v>
      </c>
      <c r="D23" s="30">
        <v>16412979.154890999</v>
      </c>
      <c r="E23" s="30">
        <v>16329699.972673001</v>
      </c>
      <c r="F23" s="30">
        <v>16120689.629132999</v>
      </c>
      <c r="G23" s="30">
        <v>15781762.149444999</v>
      </c>
      <c r="H23" s="30">
        <v>15310322.572055001</v>
      </c>
      <c r="I23" s="30">
        <v>14698996.042431001</v>
      </c>
      <c r="J23" s="30">
        <v>13945189.88673</v>
      </c>
      <c r="K23" s="30">
        <v>13044715.570195001</v>
      </c>
      <c r="L23" s="30">
        <v>11995028.166278001</v>
      </c>
      <c r="M23" s="30">
        <v>10788656.653664</v>
      </c>
      <c r="N23" s="30">
        <v>9423056.5399489999</v>
      </c>
      <c r="O23" s="30">
        <v>9289813.8715470005</v>
      </c>
      <c r="P23" s="30">
        <v>9156543.4149270002</v>
      </c>
      <c r="Q23" s="30">
        <v>9019867.9781519994</v>
      </c>
      <c r="R23" s="30">
        <v>8881473.9534760006</v>
      </c>
      <c r="S23" s="30">
        <v>8741367.3326619994</v>
      </c>
      <c r="T23" s="30">
        <v>8601284.1987590007</v>
      </c>
      <c r="U23" s="30">
        <v>8457744.212514</v>
      </c>
      <c r="V23" s="30">
        <v>8312487.2903920002</v>
      </c>
      <c r="W23" s="30">
        <v>8165514.2488519996</v>
      </c>
    </row>
    <row r="24" spans="1:28" x14ac:dyDescent="0.3">
      <c r="A24" t="s">
        <v>47</v>
      </c>
      <c r="B24" t="s">
        <v>238</v>
      </c>
      <c r="C24" s="30">
        <v>0</v>
      </c>
      <c r="D24" s="30">
        <v>86723.926630000002</v>
      </c>
      <c r="E24" s="30">
        <v>92445.393150000004</v>
      </c>
      <c r="F24" s="30">
        <v>100461.81888000001</v>
      </c>
      <c r="G24" s="30">
        <v>105366.635585</v>
      </c>
      <c r="H24" s="30">
        <v>110275.832465</v>
      </c>
      <c r="I24" s="30">
        <v>116441.325489</v>
      </c>
      <c r="J24" s="30">
        <v>124066.372668</v>
      </c>
      <c r="K24" s="30">
        <v>130524.071321</v>
      </c>
      <c r="L24" s="30">
        <v>135603.84431700001</v>
      </c>
      <c r="M24" s="30">
        <v>142213.36384599999</v>
      </c>
      <c r="N24" s="30">
        <v>152243.53200000001</v>
      </c>
      <c r="O24" s="30">
        <v>151297.91992700001</v>
      </c>
      <c r="P24" s="30">
        <v>150372.86463900001</v>
      </c>
      <c r="Q24" s="30">
        <v>151092.35195800001</v>
      </c>
      <c r="R24" s="30">
        <v>155185.43570599999</v>
      </c>
      <c r="S24" s="30">
        <v>154207.49567599999</v>
      </c>
      <c r="T24" s="30">
        <v>153250.814564</v>
      </c>
      <c r="U24" s="30">
        <v>153970.30188300001</v>
      </c>
      <c r="V24" s="30">
        <v>158127.34007400001</v>
      </c>
      <c r="W24" s="30">
        <v>157117.07076900001</v>
      </c>
    </row>
    <row r="25" spans="1:28" x14ac:dyDescent="0.3">
      <c r="A25" t="s">
        <v>48</v>
      </c>
      <c r="B25" t="s">
        <v>238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</row>
    <row r="26" spans="1:28" x14ac:dyDescent="0.3">
      <c r="A26" t="s">
        <v>50</v>
      </c>
      <c r="B26" t="s">
        <v>238</v>
      </c>
      <c r="C26" s="30">
        <v>12000</v>
      </c>
      <c r="D26" s="30">
        <v>17829469.956521999</v>
      </c>
      <c r="E26" s="30">
        <v>17839641.394122999</v>
      </c>
      <c r="F26" s="30">
        <v>17728078.731213</v>
      </c>
      <c r="G26" s="30">
        <v>17485189.424729001</v>
      </c>
      <c r="H26" s="30">
        <v>17111494.502319999</v>
      </c>
      <c r="I26" s="30">
        <v>16600871.025420001</v>
      </c>
      <c r="J26" s="30">
        <v>15950929.578198001</v>
      </c>
      <c r="K26" s="30">
        <v>15154854.723215999</v>
      </c>
      <c r="L26" s="30">
        <v>14209890.956795</v>
      </c>
      <c r="M26" s="30">
        <v>13111474.929809</v>
      </c>
      <c r="N26" s="30">
        <v>11858953.051949</v>
      </c>
      <c r="O26" s="30">
        <v>11735796.910371</v>
      </c>
      <c r="P26" s="30">
        <v>11612633.537359999</v>
      </c>
      <c r="Q26" s="30">
        <v>11487709.7268</v>
      </c>
      <c r="R26" s="30">
        <v>11364440.924768999</v>
      </c>
      <c r="S26" s="30">
        <v>11234388.512751</v>
      </c>
      <c r="T26" s="30">
        <v>11104380.836633001</v>
      </c>
      <c r="U26" s="30">
        <v>10972592.476602999</v>
      </c>
      <c r="V26" s="30">
        <v>10842524.731567999</v>
      </c>
      <c r="W26" s="30">
        <v>10705573.559622001</v>
      </c>
    </row>
    <row r="27" spans="1:28" x14ac:dyDescent="0.3">
      <c r="A27" t="s">
        <v>51</v>
      </c>
      <c r="B27" t="s">
        <v>238</v>
      </c>
      <c r="C27" s="30">
        <v>40000</v>
      </c>
      <c r="D27" s="30">
        <v>40190</v>
      </c>
      <c r="E27" s="30">
        <v>40370.895190000003</v>
      </c>
      <c r="F27" s="30">
        <v>40542.592606999999</v>
      </c>
      <c r="G27" s="30">
        <v>40705.046776000003</v>
      </c>
      <c r="H27" s="30">
        <v>40858.138457000001</v>
      </c>
      <c r="I27" s="30">
        <v>41001.754813</v>
      </c>
      <c r="J27" s="30">
        <v>41135.830550999999</v>
      </c>
      <c r="K27" s="30">
        <v>41260.307574999999</v>
      </c>
      <c r="L27" s="30">
        <v>41375.093751</v>
      </c>
      <c r="M27" s="30">
        <v>41480.103738999998</v>
      </c>
      <c r="N27" s="30">
        <v>41575.259097000002</v>
      </c>
      <c r="O27" s="30">
        <v>41660.529952999997</v>
      </c>
      <c r="P27" s="30">
        <v>41735.810531000003</v>
      </c>
      <c r="Q27" s="30">
        <v>41801.001866999999</v>
      </c>
      <c r="R27" s="30">
        <v>41856.095587999996</v>
      </c>
      <c r="S27" s="30">
        <v>41901.007178</v>
      </c>
      <c r="T27" s="30">
        <v>41935.659311000003</v>
      </c>
      <c r="U27" s="30">
        <v>41959.981994000002</v>
      </c>
      <c r="V27" s="30">
        <v>41973.954667999998</v>
      </c>
      <c r="W27" s="30">
        <v>41977.480479999998</v>
      </c>
    </row>
    <row r="28" spans="1:28" x14ac:dyDescent="0.3">
      <c r="A28" t="s">
        <v>53</v>
      </c>
      <c r="B28" t="s">
        <v>238</v>
      </c>
      <c r="C28" s="30">
        <v>0</v>
      </c>
      <c r="D28" s="30">
        <v>-10</v>
      </c>
      <c r="E28" s="30">
        <v>-30.05481</v>
      </c>
      <c r="F28" s="30">
        <v>-60.211869</v>
      </c>
      <c r="G28" s="30">
        <v>-100.470663</v>
      </c>
      <c r="H28" s="30">
        <v>-150.90421599999999</v>
      </c>
      <c r="I28" s="30">
        <v>-211.578552</v>
      </c>
      <c r="J28" s="30">
        <v>-282.51158800000002</v>
      </c>
      <c r="K28" s="30">
        <v>-363.71371699999997</v>
      </c>
      <c r="L28" s="30">
        <v>-455.22907900000001</v>
      </c>
      <c r="M28" s="30">
        <v>-557.09456</v>
      </c>
      <c r="N28" s="30">
        <v>-669.33972100000005</v>
      </c>
      <c r="O28" s="30">
        <v>-791.94515999999999</v>
      </c>
      <c r="P28" s="30">
        <v>-924.96723199999997</v>
      </c>
      <c r="Q28" s="30">
        <v>-1068.4549489999999</v>
      </c>
      <c r="R28" s="30">
        <v>-1222.366237</v>
      </c>
      <c r="S28" s="30">
        <v>-1386.7351249999999</v>
      </c>
      <c r="T28" s="30">
        <v>-1561.5880279999999</v>
      </c>
      <c r="U28" s="30">
        <v>-1746.943642</v>
      </c>
      <c r="V28" s="30">
        <v>-1942.770878</v>
      </c>
      <c r="W28" s="30">
        <v>-2149.1148389999998</v>
      </c>
    </row>
    <row r="29" spans="1:28" x14ac:dyDescent="0.3">
      <c r="A29" t="s">
        <v>54</v>
      </c>
      <c r="B29" t="s">
        <v>238</v>
      </c>
      <c r="C29" s="30">
        <v>52000</v>
      </c>
      <c r="D29" s="30">
        <v>17869659.956521999</v>
      </c>
      <c r="E29" s="30">
        <v>17880012.289313</v>
      </c>
      <c r="F29" s="30">
        <v>17768621.323821001</v>
      </c>
      <c r="G29" s="30">
        <v>17525894.471505001</v>
      </c>
      <c r="H29" s="30">
        <v>17152352.640776999</v>
      </c>
      <c r="I29" s="30">
        <v>16641872.780232999</v>
      </c>
      <c r="J29" s="30">
        <v>15992065.408749999</v>
      </c>
      <c r="K29" s="30">
        <v>15196115.030791</v>
      </c>
      <c r="L29" s="30">
        <v>14251266.050546</v>
      </c>
      <c r="M29" s="30">
        <v>13152955.033547999</v>
      </c>
      <c r="N29" s="30">
        <v>11900528.311046001</v>
      </c>
      <c r="O29" s="30">
        <v>11777457.440323999</v>
      </c>
      <c r="P29" s="30">
        <v>11654369.347890999</v>
      </c>
      <c r="Q29" s="30">
        <v>11529510.728668001</v>
      </c>
      <c r="R29" s="30">
        <v>11406297.020357</v>
      </c>
      <c r="S29" s="30">
        <v>11276289.519928999</v>
      </c>
      <c r="T29" s="30">
        <v>11146316.495944001</v>
      </c>
      <c r="U29" s="30">
        <v>11014552.458597001</v>
      </c>
      <c r="V29" s="30">
        <v>10884498.686236</v>
      </c>
      <c r="W29" s="30">
        <v>10747551.040101999</v>
      </c>
    </row>
    <row r="30" spans="1:28" x14ac:dyDescent="0.3">
      <c r="A30" t="s">
        <v>55</v>
      </c>
      <c r="B30" t="s">
        <v>238</v>
      </c>
      <c r="C30" s="30">
        <v>4000</v>
      </c>
      <c r="D30" s="30">
        <v>4199821.956522</v>
      </c>
      <c r="E30" s="30">
        <v>4086181.698231</v>
      </c>
      <c r="F30" s="30">
        <v>4016185.3609810001</v>
      </c>
      <c r="G30" s="30">
        <v>3767459.7788160001</v>
      </c>
      <c r="H30" s="30">
        <v>3478719.0163929998</v>
      </c>
      <c r="I30" s="30">
        <v>3182028.8316850001</v>
      </c>
      <c r="J30" s="30">
        <v>2867245.164965</v>
      </c>
      <c r="K30" s="30">
        <v>2466279.5946999998</v>
      </c>
      <c r="L30" s="30">
        <v>1991878.2929529999</v>
      </c>
      <c r="M30" s="30">
        <v>1489759.2460080001</v>
      </c>
      <c r="N30" s="30">
        <v>953514.85866699996</v>
      </c>
      <c r="O30" s="30">
        <v>913779.27606299997</v>
      </c>
      <c r="P30" s="30">
        <v>875689.26006999996</v>
      </c>
      <c r="Q30" s="30">
        <v>846110.33363100002</v>
      </c>
      <c r="R30" s="30">
        <v>834349.67138499999</v>
      </c>
      <c r="S30" s="30">
        <v>794630.45504899998</v>
      </c>
      <c r="T30" s="30">
        <v>756590.68535499997</v>
      </c>
      <c r="U30" s="30">
        <v>725732.67020499997</v>
      </c>
      <c r="V30" s="30">
        <v>709989.43586600001</v>
      </c>
      <c r="W30" s="30">
        <v>670343.66769200005</v>
      </c>
    </row>
    <row r="31" spans="1:28" x14ac:dyDescent="0.3">
      <c r="A31" t="s">
        <v>200</v>
      </c>
      <c r="B31" t="s">
        <v>238</v>
      </c>
      <c r="C31" s="30">
        <v>0</v>
      </c>
      <c r="D31" s="30">
        <v>1329766.875</v>
      </c>
      <c r="E31" s="30">
        <v>1417496.0282999999</v>
      </c>
      <c r="F31" s="30">
        <v>1506927.2831999999</v>
      </c>
      <c r="G31" s="30">
        <v>1598060.6396999999</v>
      </c>
      <c r="H31" s="30">
        <v>1690896.0978000001</v>
      </c>
      <c r="I31" s="30">
        <v>1785433.6575</v>
      </c>
      <c r="J31" s="30">
        <v>1881673.3188</v>
      </c>
      <c r="K31" s="30">
        <v>1979615.0817</v>
      </c>
      <c r="L31" s="30">
        <v>2079258.9461999999</v>
      </c>
      <c r="M31" s="30">
        <v>2180604.9123</v>
      </c>
      <c r="N31" s="30">
        <v>2283652.98</v>
      </c>
      <c r="O31" s="30">
        <v>2294685.1188969999</v>
      </c>
      <c r="P31" s="30">
        <v>2305717.2577940002</v>
      </c>
      <c r="Q31" s="30">
        <v>2316749.3966899998</v>
      </c>
      <c r="R31" s="30">
        <v>2327781.5355870002</v>
      </c>
      <c r="S31" s="30">
        <v>2338813.684413</v>
      </c>
      <c r="T31" s="30">
        <v>2349845.8233099999</v>
      </c>
      <c r="U31" s="30">
        <v>2360877.962206</v>
      </c>
      <c r="V31" s="30">
        <v>2371910.1011029999</v>
      </c>
      <c r="W31" s="30">
        <v>2382942.2400000002</v>
      </c>
    </row>
    <row r="32" spans="1:28" x14ac:dyDescent="0.3">
      <c r="A32" t="s">
        <v>56</v>
      </c>
      <c r="B32" t="s">
        <v>238</v>
      </c>
      <c r="C32" s="30">
        <v>0</v>
      </c>
      <c r="D32" s="30">
        <v>6000</v>
      </c>
      <c r="E32" s="30">
        <v>6000</v>
      </c>
      <c r="F32" s="30">
        <v>6000</v>
      </c>
      <c r="G32" s="30">
        <v>6000</v>
      </c>
      <c r="H32" s="30">
        <v>6000</v>
      </c>
      <c r="I32" s="30">
        <v>6000</v>
      </c>
      <c r="J32" s="30">
        <v>6000</v>
      </c>
      <c r="K32" s="30">
        <v>6000</v>
      </c>
      <c r="L32" s="30">
        <v>6000</v>
      </c>
      <c r="M32" s="30">
        <v>6000</v>
      </c>
      <c r="N32" s="30">
        <v>6000</v>
      </c>
      <c r="O32" s="30">
        <v>6000</v>
      </c>
      <c r="P32" s="30">
        <v>6000</v>
      </c>
      <c r="Q32" s="30">
        <v>6000</v>
      </c>
      <c r="R32" s="30">
        <v>6000</v>
      </c>
      <c r="S32" s="30">
        <v>6000</v>
      </c>
      <c r="T32" s="30">
        <v>4500</v>
      </c>
      <c r="U32" s="30">
        <v>3000</v>
      </c>
      <c r="V32" s="30">
        <v>1500</v>
      </c>
      <c r="W32" s="30">
        <v>0</v>
      </c>
    </row>
    <row r="33" spans="1:28" x14ac:dyDescent="0.3">
      <c r="A33" t="s">
        <v>201</v>
      </c>
      <c r="B33" t="s">
        <v>238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</row>
    <row r="34" spans="1:28" x14ac:dyDescent="0.3">
      <c r="A34" t="s">
        <v>239</v>
      </c>
      <c r="B34" t="s">
        <v>238</v>
      </c>
      <c r="C34" s="30">
        <v>4000</v>
      </c>
      <c r="D34" s="30">
        <v>4205821.956522</v>
      </c>
      <c r="E34" s="30">
        <v>4092181.698231</v>
      </c>
      <c r="F34" s="30">
        <v>4022185.3609810001</v>
      </c>
      <c r="G34" s="30">
        <v>3773459.7788160001</v>
      </c>
      <c r="H34" s="30">
        <v>3484719.0163929998</v>
      </c>
      <c r="I34" s="30">
        <v>3188028.8316850001</v>
      </c>
      <c r="J34" s="30">
        <v>2873245.164965</v>
      </c>
      <c r="K34" s="30">
        <v>2472279.5946999998</v>
      </c>
      <c r="L34" s="30">
        <v>1997878.2929529999</v>
      </c>
      <c r="M34" s="30">
        <v>1495759.2460080001</v>
      </c>
      <c r="N34" s="30">
        <v>959514.85866699996</v>
      </c>
      <c r="O34" s="30">
        <v>919779.27606299997</v>
      </c>
      <c r="P34" s="30">
        <v>881689.26006999996</v>
      </c>
      <c r="Q34" s="30">
        <v>852110.33363100002</v>
      </c>
      <c r="R34" s="30">
        <v>840349.67138499999</v>
      </c>
      <c r="S34" s="30">
        <v>800630.45504899998</v>
      </c>
      <c r="T34" s="30">
        <v>761090.68535499997</v>
      </c>
      <c r="U34" s="30">
        <v>728732.67020499997</v>
      </c>
      <c r="V34" s="30">
        <v>711489.43586600001</v>
      </c>
      <c r="W34" s="30">
        <v>670343.66769200005</v>
      </c>
    </row>
    <row r="35" spans="1:28" x14ac:dyDescent="0.3">
      <c r="A35" t="s">
        <v>59</v>
      </c>
      <c r="B35" t="s">
        <v>238</v>
      </c>
      <c r="C35" s="30">
        <v>30000</v>
      </c>
      <c r="D35" s="30">
        <v>22500</v>
      </c>
      <c r="E35" s="30">
        <v>21000</v>
      </c>
      <c r="F35" s="30">
        <v>19500</v>
      </c>
      <c r="G35" s="30">
        <v>18000</v>
      </c>
      <c r="H35" s="30">
        <v>16500</v>
      </c>
      <c r="I35" s="30">
        <v>15000</v>
      </c>
      <c r="J35" s="30">
        <v>13500</v>
      </c>
      <c r="K35" s="30">
        <v>12000</v>
      </c>
      <c r="L35" s="30">
        <v>10500</v>
      </c>
      <c r="M35" s="30">
        <v>9000</v>
      </c>
      <c r="N35" s="30">
        <v>7500</v>
      </c>
      <c r="O35" s="30">
        <v>6000</v>
      </c>
      <c r="P35" s="30">
        <v>4500</v>
      </c>
      <c r="Q35" s="30">
        <v>3000</v>
      </c>
      <c r="R35" s="30">
        <v>1500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spans="1:28" x14ac:dyDescent="0.3">
      <c r="A36" t="s">
        <v>61</v>
      </c>
      <c r="B36" t="s">
        <v>238</v>
      </c>
      <c r="C36" s="30">
        <v>34000</v>
      </c>
      <c r="D36" s="30">
        <v>4228321.956522</v>
      </c>
      <c r="E36" s="30">
        <v>4113181.698231</v>
      </c>
      <c r="F36" s="30">
        <v>4041685.3609810001</v>
      </c>
      <c r="G36" s="30">
        <v>3791459.7788160001</v>
      </c>
      <c r="H36" s="30">
        <v>3501219.0163929998</v>
      </c>
      <c r="I36" s="30">
        <v>3203028.8316850001</v>
      </c>
      <c r="J36" s="30">
        <v>2886745.164965</v>
      </c>
      <c r="K36" s="30">
        <v>2484279.5946999998</v>
      </c>
      <c r="L36" s="30">
        <v>2008378.2929529999</v>
      </c>
      <c r="M36" s="30">
        <v>1504759.2460080001</v>
      </c>
      <c r="N36" s="30">
        <v>967014.85866699996</v>
      </c>
      <c r="O36" s="30">
        <v>925779.27606299997</v>
      </c>
      <c r="P36" s="30">
        <v>886189.26006999996</v>
      </c>
      <c r="Q36" s="30">
        <v>855110.33363100002</v>
      </c>
      <c r="R36" s="30">
        <v>841849.67138499999</v>
      </c>
      <c r="S36" s="30">
        <v>800630.45504899998</v>
      </c>
      <c r="T36" s="30">
        <v>761090.68535499997</v>
      </c>
      <c r="U36" s="30">
        <v>728732.67020499997</v>
      </c>
      <c r="V36" s="30">
        <v>711489.43586600001</v>
      </c>
      <c r="W36" s="30">
        <v>670343.66769200005</v>
      </c>
    </row>
    <row r="37" spans="1:28" x14ac:dyDescent="0.3">
      <c r="A37" t="s">
        <v>62</v>
      </c>
      <c r="B37" t="s">
        <v>238</v>
      </c>
      <c r="C37" s="30">
        <v>45000</v>
      </c>
      <c r="D37" s="30">
        <v>46229083</v>
      </c>
      <c r="E37" s="30">
        <v>78731191</v>
      </c>
      <c r="F37" s="30">
        <v>110631979</v>
      </c>
      <c r="G37" s="30">
        <v>141884050</v>
      </c>
      <c r="H37" s="30">
        <v>172083847</v>
      </c>
      <c r="I37" s="30">
        <v>200913067</v>
      </c>
      <c r="J37" s="30">
        <v>228094164</v>
      </c>
      <c r="K37" s="30">
        <v>253394736</v>
      </c>
      <c r="L37" s="30">
        <v>276500513</v>
      </c>
      <c r="M37" s="30">
        <v>297047509</v>
      </c>
      <c r="N37" s="30">
        <v>314722680</v>
      </c>
      <c r="O37" s="30">
        <v>332761977</v>
      </c>
      <c r="P37" s="30">
        <v>350530836</v>
      </c>
      <c r="Q37" s="30">
        <v>368013828</v>
      </c>
      <c r="R37" s="30">
        <v>385201629</v>
      </c>
      <c r="S37" s="30">
        <v>402128145</v>
      </c>
      <c r="T37" s="30">
        <v>418770617</v>
      </c>
      <c r="U37" s="30">
        <v>435114802</v>
      </c>
      <c r="V37" s="30">
        <v>451152836</v>
      </c>
      <c r="W37" s="30">
        <v>466911700</v>
      </c>
    </row>
    <row r="38" spans="1:28" x14ac:dyDescent="0.3">
      <c r="A38" t="s">
        <v>63</v>
      </c>
      <c r="B38" t="s">
        <v>238</v>
      </c>
      <c r="C38" s="30">
        <v>-27000</v>
      </c>
      <c r="D38" s="30">
        <v>-32587745</v>
      </c>
      <c r="E38" s="30">
        <v>-64964360.408918001</v>
      </c>
      <c r="F38" s="30">
        <v>-96905043.037160993</v>
      </c>
      <c r="G38" s="30">
        <v>-128149615.307311</v>
      </c>
      <c r="H38" s="30">
        <v>-158432713.37561601</v>
      </c>
      <c r="I38" s="30">
        <v>-187474223.05145201</v>
      </c>
      <c r="J38" s="30">
        <v>-214988843.75621599</v>
      </c>
      <c r="K38" s="30">
        <v>-240682900.56390899</v>
      </c>
      <c r="L38" s="30">
        <v>-264257625.24240699</v>
      </c>
      <c r="M38" s="30">
        <v>-285399313.21245998</v>
      </c>
      <c r="N38" s="30">
        <v>-303789166.54762101</v>
      </c>
      <c r="O38" s="30">
        <v>-321910298.83573902</v>
      </c>
      <c r="P38" s="30">
        <v>-339762655.91218001</v>
      </c>
      <c r="Q38" s="30">
        <v>-357339427.60496402</v>
      </c>
      <c r="R38" s="30">
        <v>-374637181.65102899</v>
      </c>
      <c r="S38" s="30">
        <v>-391652485.93511999</v>
      </c>
      <c r="T38" s="30">
        <v>-408385391.18941098</v>
      </c>
      <c r="U38" s="30">
        <v>-424828982.21160799</v>
      </c>
      <c r="V38" s="30">
        <v>-440979826.74962997</v>
      </c>
      <c r="W38" s="30">
        <v>-456834492.62759101</v>
      </c>
    </row>
    <row r="39" spans="1:28" x14ac:dyDescent="0.3">
      <c r="A39" t="s">
        <v>64</v>
      </c>
      <c r="B39" t="s">
        <v>238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</row>
    <row r="40" spans="1:28" x14ac:dyDescent="0.3">
      <c r="A40" t="s">
        <v>65</v>
      </c>
      <c r="B40" t="s">
        <v>238</v>
      </c>
      <c r="C40" s="30">
        <v>18000</v>
      </c>
      <c r="D40" s="30">
        <v>13641338</v>
      </c>
      <c r="E40" s="30">
        <v>13766830.591081999</v>
      </c>
      <c r="F40" s="30">
        <v>13726935.962839</v>
      </c>
      <c r="G40" s="30">
        <v>13734434.692689</v>
      </c>
      <c r="H40" s="30">
        <v>13651133.624384001</v>
      </c>
      <c r="I40" s="30">
        <v>13438843.948548</v>
      </c>
      <c r="J40" s="30">
        <v>13105320.243783999</v>
      </c>
      <c r="K40" s="30">
        <v>12711835.436091</v>
      </c>
      <c r="L40" s="30">
        <v>12242887.757593</v>
      </c>
      <c r="M40" s="30">
        <v>11648195.78754</v>
      </c>
      <c r="N40" s="30">
        <v>10933513.452378999</v>
      </c>
      <c r="O40" s="30">
        <v>10851678.164261</v>
      </c>
      <c r="P40" s="30">
        <v>10768180.087819999</v>
      </c>
      <c r="Q40" s="30">
        <v>10674400.395036001</v>
      </c>
      <c r="R40" s="30">
        <v>10564447.348971</v>
      </c>
      <c r="S40" s="30">
        <v>10475659.06488</v>
      </c>
      <c r="T40" s="30">
        <v>10385225.810589001</v>
      </c>
      <c r="U40" s="30">
        <v>10285819.788392</v>
      </c>
      <c r="V40" s="30">
        <v>10173009.25037</v>
      </c>
      <c r="W40" s="30">
        <v>10077207.372408999</v>
      </c>
    </row>
    <row r="41" spans="1:28" x14ac:dyDescent="0.3">
      <c r="A41" t="s">
        <v>66</v>
      </c>
      <c r="B41" t="s">
        <v>238</v>
      </c>
      <c r="C41" s="30">
        <v>52000</v>
      </c>
      <c r="D41" s="30">
        <v>17869659.956521999</v>
      </c>
      <c r="E41" s="30">
        <v>17880012.289313</v>
      </c>
      <c r="F41" s="30">
        <v>17768621.323821001</v>
      </c>
      <c r="G41" s="30">
        <v>17525894.471505001</v>
      </c>
      <c r="H41" s="30">
        <v>17152352.640776999</v>
      </c>
      <c r="I41" s="30">
        <v>16641872.780232999</v>
      </c>
      <c r="J41" s="30">
        <v>15992065.408749999</v>
      </c>
      <c r="K41" s="30">
        <v>15196115.030791</v>
      </c>
      <c r="L41" s="30">
        <v>14251266.050546</v>
      </c>
      <c r="M41" s="30">
        <v>13152955.033547999</v>
      </c>
      <c r="N41" s="30">
        <v>11900528.311046001</v>
      </c>
      <c r="O41" s="30">
        <v>11777457.440323999</v>
      </c>
      <c r="P41" s="30">
        <v>11654369.347890001</v>
      </c>
      <c r="Q41" s="30">
        <v>11529510.728668001</v>
      </c>
      <c r="R41" s="30">
        <v>11406297.020355999</v>
      </c>
      <c r="S41" s="30">
        <v>11276289.519928999</v>
      </c>
      <c r="T41" s="30">
        <v>11146316.495944001</v>
      </c>
      <c r="U41" s="30">
        <v>11014552.458597001</v>
      </c>
      <c r="V41" s="30">
        <v>10884498.686236</v>
      </c>
      <c r="W41" s="30">
        <v>10747551.040100999</v>
      </c>
    </row>
    <row r="44" spans="1:28" x14ac:dyDescent="0.3">
      <c r="A44" s="53" t="s">
        <v>67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</row>
    <row r="45" spans="1:28" x14ac:dyDescent="0.3">
      <c r="A45" t="s">
        <v>68</v>
      </c>
      <c r="B45" t="s">
        <v>238</v>
      </c>
      <c r="C45" s="30">
        <v>12000</v>
      </c>
      <c r="D45" s="30">
        <v>12000</v>
      </c>
      <c r="E45" s="30">
        <v>16412979.154890999</v>
      </c>
      <c r="F45" s="30">
        <v>16329699.972673001</v>
      </c>
      <c r="G45" s="30">
        <v>16120689.629132999</v>
      </c>
      <c r="H45" s="30">
        <v>15781762.149444999</v>
      </c>
      <c r="I45" s="30">
        <v>15310322.572055001</v>
      </c>
      <c r="J45" s="30">
        <v>14698996.042431001</v>
      </c>
      <c r="K45" s="30">
        <v>13945189.88673</v>
      </c>
      <c r="L45" s="30">
        <v>13044715.570195001</v>
      </c>
      <c r="M45" s="30">
        <v>11995028.166278001</v>
      </c>
      <c r="N45" s="30">
        <v>10788656.653664</v>
      </c>
      <c r="O45" s="30">
        <v>9423056.5399489999</v>
      </c>
      <c r="P45" s="30">
        <v>9289813.8715470005</v>
      </c>
      <c r="Q45" s="30">
        <v>9156543.4149270002</v>
      </c>
      <c r="R45" s="30">
        <v>9019867.9781519994</v>
      </c>
      <c r="S45" s="30">
        <v>8881473.9534760006</v>
      </c>
      <c r="T45" s="30">
        <v>8741367.3326619994</v>
      </c>
      <c r="U45" s="30">
        <v>8601284.1987590007</v>
      </c>
      <c r="V45" s="30">
        <v>8457744.212514</v>
      </c>
      <c r="W45" s="30">
        <v>8312487.2903920002</v>
      </c>
    </row>
    <row r="46" spans="1:28" x14ac:dyDescent="0.3">
      <c r="A46" t="s">
        <v>44</v>
      </c>
      <c r="B46" t="s">
        <v>238</v>
      </c>
      <c r="C46" s="30">
        <v>-81719.868000000002</v>
      </c>
      <c r="D46" s="30">
        <v>-32560745</v>
      </c>
      <c r="E46" s="30">
        <v>-32376615.408918001</v>
      </c>
      <c r="F46" s="30">
        <v>-31940682.628242999</v>
      </c>
      <c r="G46" s="30">
        <v>-31244572.270149998</v>
      </c>
      <c r="H46" s="30">
        <v>-30283098.068305001</v>
      </c>
      <c r="I46" s="30">
        <v>-29041509.675836001</v>
      </c>
      <c r="J46" s="30">
        <v>-27514620.704764001</v>
      </c>
      <c r="K46" s="30">
        <v>-25694056.807693999</v>
      </c>
      <c r="L46" s="30">
        <v>-23574724.678498</v>
      </c>
      <c r="M46" s="30">
        <v>-21141687.970052999</v>
      </c>
      <c r="N46" s="30">
        <v>-18389853.335161</v>
      </c>
      <c r="O46" s="30">
        <v>-18121132.288118001</v>
      </c>
      <c r="P46" s="30">
        <v>-17852357.076439999</v>
      </c>
      <c r="Q46" s="30">
        <v>-17576771.692784</v>
      </c>
      <c r="R46" s="30">
        <v>-17297754.046064999</v>
      </c>
      <c r="S46" s="30">
        <v>-17015304.284091</v>
      </c>
      <c r="T46" s="30">
        <v>-16732905.254291</v>
      </c>
      <c r="U46" s="30">
        <v>-16443591.022196</v>
      </c>
      <c r="V46" s="30">
        <v>-16150844.538022</v>
      </c>
      <c r="W46" s="30">
        <v>-15854665.877961</v>
      </c>
    </row>
    <row r="47" spans="1:28" x14ac:dyDescent="0.3">
      <c r="A47" t="s">
        <v>240</v>
      </c>
      <c r="B47" t="s">
        <v>238</v>
      </c>
      <c r="C47" s="30">
        <v>0</v>
      </c>
      <c r="D47" s="30">
        <v>10</v>
      </c>
      <c r="E47" s="30">
        <v>20.05481</v>
      </c>
      <c r="F47" s="30">
        <v>30.157059</v>
      </c>
      <c r="G47" s="30">
        <v>40.258794000000002</v>
      </c>
      <c r="H47" s="30">
        <v>50.433553000000003</v>
      </c>
      <c r="I47" s="30">
        <v>60.674335999999997</v>
      </c>
      <c r="J47" s="30">
        <v>70.933036000000001</v>
      </c>
      <c r="K47" s="30">
        <v>81.202129999999997</v>
      </c>
      <c r="L47" s="30">
        <v>91.515361999999996</v>
      </c>
      <c r="M47" s="30">
        <v>101.865481</v>
      </c>
      <c r="N47" s="30">
        <v>112.245161</v>
      </c>
      <c r="O47" s="30">
        <v>122.605439</v>
      </c>
      <c r="P47" s="30">
        <v>133.02207200000001</v>
      </c>
      <c r="Q47" s="30">
        <v>143.487717</v>
      </c>
      <c r="R47" s="30">
        <v>153.91128900000001</v>
      </c>
      <c r="S47" s="30">
        <v>164.368887</v>
      </c>
      <c r="T47" s="30">
        <v>174.852903</v>
      </c>
      <c r="U47" s="30">
        <v>185.355614</v>
      </c>
      <c r="V47" s="30">
        <v>195.827236</v>
      </c>
      <c r="W47" s="30">
        <v>206.34396100000001</v>
      </c>
    </row>
    <row r="48" spans="1:28" x14ac:dyDescent="0.3">
      <c r="A48" t="s">
        <v>69</v>
      </c>
      <c r="B48" t="s">
        <v>238</v>
      </c>
      <c r="C48" s="30">
        <v>0</v>
      </c>
      <c r="D48" s="30">
        <v>-1416490.8016299999</v>
      </c>
      <c r="E48" s="30">
        <v>-93450.619820000007</v>
      </c>
      <c r="F48" s="30">
        <v>-97447.680630000003</v>
      </c>
      <c r="G48" s="30">
        <v>-96038.173204999999</v>
      </c>
      <c r="H48" s="30">
        <v>-97744.654981</v>
      </c>
      <c r="I48" s="30">
        <v>-100703.05272399999</v>
      </c>
      <c r="J48" s="30">
        <v>-103864.70847899999</v>
      </c>
      <c r="K48" s="30">
        <v>-104399.461553</v>
      </c>
      <c r="L48" s="30">
        <v>-104723.637497</v>
      </c>
      <c r="M48" s="30">
        <v>-107955.48562799999</v>
      </c>
      <c r="N48" s="30">
        <v>-113078.235854</v>
      </c>
      <c r="O48" s="30">
        <v>-10086.526824</v>
      </c>
      <c r="P48" s="30">
        <v>-10107.083608000001</v>
      </c>
      <c r="Q48" s="30">
        <v>-11751.626216000001</v>
      </c>
      <c r="R48" s="30">
        <v>-15125.222645</v>
      </c>
      <c r="S48" s="30">
        <v>-10054.208795</v>
      </c>
      <c r="T48" s="30">
        <v>-10075.457785000001</v>
      </c>
      <c r="U48" s="30">
        <v>-11751.626216000001</v>
      </c>
      <c r="V48" s="30">
        <v>-15189.177087</v>
      </c>
      <c r="W48" s="30">
        <v>-10021.869591999999</v>
      </c>
    </row>
    <row r="49" spans="1:23" x14ac:dyDescent="0.3">
      <c r="A49" t="s">
        <v>241</v>
      </c>
      <c r="B49" t="s">
        <v>238</v>
      </c>
      <c r="C49" s="30">
        <v>0</v>
      </c>
      <c r="D49" s="30">
        <v>4195821.956522</v>
      </c>
      <c r="E49" s="30">
        <v>-113640.25829100001</v>
      </c>
      <c r="F49" s="30">
        <v>-69996.337249999997</v>
      </c>
      <c r="G49" s="30">
        <v>-248725.582165</v>
      </c>
      <c r="H49" s="30">
        <v>-288740.76242300001</v>
      </c>
      <c r="I49" s="30">
        <v>-296690.18470799999</v>
      </c>
      <c r="J49" s="30">
        <v>-314783.66671999998</v>
      </c>
      <c r="K49" s="30">
        <v>-400965.57026499999</v>
      </c>
      <c r="L49" s="30">
        <v>-474401.30174700002</v>
      </c>
      <c r="M49" s="30">
        <v>-502119.04694500001</v>
      </c>
      <c r="N49" s="30">
        <v>-536244.38734200003</v>
      </c>
      <c r="O49" s="30">
        <v>-39735.582603000003</v>
      </c>
      <c r="P49" s="30">
        <v>-38090.015993000001</v>
      </c>
      <c r="Q49" s="30">
        <v>-29578.926438999999</v>
      </c>
      <c r="R49" s="30">
        <v>-11760.662246</v>
      </c>
      <c r="S49" s="30">
        <v>-39719.216335999998</v>
      </c>
      <c r="T49" s="30">
        <v>-38039.769694000002</v>
      </c>
      <c r="U49" s="30">
        <v>-30858.015149999999</v>
      </c>
      <c r="V49" s="30">
        <v>-15743.234339000001</v>
      </c>
      <c r="W49" s="30">
        <v>-39645.768173999997</v>
      </c>
    </row>
    <row r="50" spans="1:23" x14ac:dyDescent="0.3">
      <c r="A50" t="s">
        <v>71</v>
      </c>
      <c r="B50" t="s">
        <v>238</v>
      </c>
      <c r="C50" s="30">
        <v>0</v>
      </c>
      <c r="D50" s="30">
        <v>-29781403.845109001</v>
      </c>
      <c r="E50" s="30">
        <v>-32583686.232218001</v>
      </c>
      <c r="F50" s="30">
        <v>-32108096.489064001</v>
      </c>
      <c r="G50" s="30">
        <v>-31589295.766725998</v>
      </c>
      <c r="H50" s="30">
        <v>-30669533.052156001</v>
      </c>
      <c r="I50" s="30">
        <v>-29438842.238931999</v>
      </c>
      <c r="J50" s="30">
        <v>-27933198.146926999</v>
      </c>
      <c r="K50" s="30">
        <v>-26199340.637382001</v>
      </c>
      <c r="L50" s="30">
        <v>-24153758.10238</v>
      </c>
      <c r="M50" s="30">
        <v>-21751660.637145001</v>
      </c>
      <c r="N50" s="30">
        <v>-19039063.713195998</v>
      </c>
      <c r="O50" s="30">
        <v>-18170831.792107001</v>
      </c>
      <c r="P50" s="30">
        <v>-17900421.153969999</v>
      </c>
      <c r="Q50" s="30">
        <v>-17617958.757722002</v>
      </c>
      <c r="R50" s="30">
        <v>-17324486.019667</v>
      </c>
      <c r="S50" s="30">
        <v>-17064913.340335999</v>
      </c>
      <c r="T50" s="30">
        <v>-16780845.628867</v>
      </c>
      <c r="U50" s="30">
        <v>-16486015.307948999</v>
      </c>
      <c r="V50" s="30">
        <v>-16181581.122212</v>
      </c>
      <c r="W50" s="30">
        <v>-15904127.171766</v>
      </c>
    </row>
    <row r="51" spans="1:23" x14ac:dyDescent="0.3">
      <c r="A51" t="s">
        <v>72</v>
      </c>
      <c r="B51" t="s">
        <v>238</v>
      </c>
      <c r="C51" s="30">
        <v>0</v>
      </c>
      <c r="D51" s="30">
        <v>200</v>
      </c>
      <c r="E51" s="30">
        <v>200.95</v>
      </c>
      <c r="F51" s="30">
        <v>201.85447600000001</v>
      </c>
      <c r="G51" s="30">
        <v>202.712963</v>
      </c>
      <c r="H51" s="30">
        <v>203.52523400000001</v>
      </c>
      <c r="I51" s="30">
        <v>204.29069200000001</v>
      </c>
      <c r="J51" s="30">
        <v>205.00877399999999</v>
      </c>
      <c r="K51" s="30">
        <v>205.67915300000001</v>
      </c>
      <c r="L51" s="30">
        <v>206.30153799999999</v>
      </c>
      <c r="M51" s="30">
        <v>206.87546900000001</v>
      </c>
      <c r="N51" s="30">
        <v>207.400519</v>
      </c>
      <c r="O51" s="30">
        <v>207.876295</v>
      </c>
      <c r="P51" s="30">
        <v>208.30265</v>
      </c>
      <c r="Q51" s="30">
        <v>208.67905300000001</v>
      </c>
      <c r="R51" s="30">
        <v>209.005009</v>
      </c>
      <c r="S51" s="30">
        <v>209.28047799999999</v>
      </c>
      <c r="T51" s="30">
        <v>209.50503599999999</v>
      </c>
      <c r="U51" s="30">
        <v>209.67829699999999</v>
      </c>
      <c r="V51" s="30">
        <v>209.79991000000001</v>
      </c>
      <c r="W51" s="30">
        <v>209.86977300000001</v>
      </c>
    </row>
    <row r="52" spans="1:23" x14ac:dyDescent="0.3">
      <c r="A52" t="s">
        <v>73</v>
      </c>
      <c r="B52" t="s">
        <v>238</v>
      </c>
      <c r="C52" s="30">
        <v>0</v>
      </c>
      <c r="D52" s="30">
        <v>-200</v>
      </c>
      <c r="E52" s="30">
        <v>-200.95</v>
      </c>
      <c r="F52" s="30">
        <v>-201.85447600000001</v>
      </c>
      <c r="G52" s="30">
        <v>-202.712963</v>
      </c>
      <c r="H52" s="30">
        <v>-203.52523400000001</v>
      </c>
      <c r="I52" s="30">
        <v>-204.29069200000001</v>
      </c>
      <c r="J52" s="30">
        <v>-205.00877399999999</v>
      </c>
      <c r="K52" s="30">
        <v>-205.67915300000001</v>
      </c>
      <c r="L52" s="30">
        <v>-206.30153799999999</v>
      </c>
      <c r="M52" s="30">
        <v>-206.87546900000001</v>
      </c>
      <c r="N52" s="30">
        <v>-207.400519</v>
      </c>
      <c r="O52" s="30">
        <v>-207.876295</v>
      </c>
      <c r="P52" s="30">
        <v>-208.30265</v>
      </c>
      <c r="Q52" s="30">
        <v>-208.67905300000001</v>
      </c>
      <c r="R52" s="30">
        <v>-209.005009</v>
      </c>
      <c r="S52" s="30">
        <v>-209.28047799999999</v>
      </c>
      <c r="T52" s="30">
        <v>-209.50503599999999</v>
      </c>
      <c r="U52" s="30">
        <v>-209.67829699999999</v>
      </c>
      <c r="V52" s="30">
        <v>-209.79991000000001</v>
      </c>
      <c r="W52" s="30">
        <v>-209.86977300000001</v>
      </c>
    </row>
    <row r="53" spans="1:23" x14ac:dyDescent="0.3">
      <c r="A53" t="s">
        <v>74</v>
      </c>
      <c r="B53" t="s">
        <v>238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spans="1:23" x14ac:dyDescent="0.3">
      <c r="A54" t="s">
        <v>75</v>
      </c>
      <c r="B54" t="s">
        <v>238</v>
      </c>
      <c r="C54" s="30">
        <v>0</v>
      </c>
      <c r="D54" s="30">
        <v>-1500</v>
      </c>
      <c r="E54" s="30">
        <v>-1500</v>
      </c>
      <c r="F54" s="30">
        <v>-1500</v>
      </c>
      <c r="G54" s="30">
        <v>-1500</v>
      </c>
      <c r="H54" s="30">
        <v>-1500</v>
      </c>
      <c r="I54" s="30">
        <v>-1500</v>
      </c>
      <c r="J54" s="30">
        <v>-1500</v>
      </c>
      <c r="K54" s="30">
        <v>-1500</v>
      </c>
      <c r="L54" s="30">
        <v>-1500</v>
      </c>
      <c r="M54" s="30">
        <v>-1500</v>
      </c>
      <c r="N54" s="30">
        <v>-1500</v>
      </c>
      <c r="O54" s="30">
        <v>-1500</v>
      </c>
      <c r="P54" s="30">
        <v>-1500</v>
      </c>
      <c r="Q54" s="30">
        <v>-1500</v>
      </c>
      <c r="R54" s="30">
        <v>-1500</v>
      </c>
      <c r="S54" s="30">
        <v>-1500</v>
      </c>
      <c r="T54" s="30">
        <v>-1500</v>
      </c>
      <c r="U54" s="30">
        <v>-1500</v>
      </c>
      <c r="V54" s="30">
        <v>-1500</v>
      </c>
      <c r="W54" s="30">
        <v>-1500</v>
      </c>
    </row>
    <row r="55" spans="1:23" x14ac:dyDescent="0.3">
      <c r="A55" t="s">
        <v>76</v>
      </c>
      <c r="B55" t="s">
        <v>238</v>
      </c>
      <c r="C55" s="30">
        <v>0</v>
      </c>
      <c r="D55" s="30">
        <v>46184083</v>
      </c>
      <c r="E55" s="30">
        <v>32502108</v>
      </c>
      <c r="F55" s="30">
        <v>31900788</v>
      </c>
      <c r="G55" s="30">
        <v>31252071</v>
      </c>
      <c r="H55" s="30">
        <v>30199797</v>
      </c>
      <c r="I55" s="30">
        <v>28829220</v>
      </c>
      <c r="J55" s="30">
        <v>27181097</v>
      </c>
      <c r="K55" s="30">
        <v>25300572</v>
      </c>
      <c r="L55" s="30">
        <v>23105777</v>
      </c>
      <c r="M55" s="30">
        <v>20546996</v>
      </c>
      <c r="N55" s="30">
        <v>17675171</v>
      </c>
      <c r="O55" s="30">
        <v>18039297</v>
      </c>
      <c r="P55" s="30">
        <v>17768859</v>
      </c>
      <c r="Q55" s="30">
        <v>17482992</v>
      </c>
      <c r="R55" s="30">
        <v>17187801</v>
      </c>
      <c r="S55" s="30">
        <v>16926516</v>
      </c>
      <c r="T55" s="30">
        <v>16642472</v>
      </c>
      <c r="U55" s="30">
        <v>16344185</v>
      </c>
      <c r="V55" s="30">
        <v>16038034</v>
      </c>
      <c r="W55" s="30">
        <v>15758864</v>
      </c>
    </row>
    <row r="56" spans="1:23" x14ac:dyDescent="0.3">
      <c r="A56" t="s">
        <v>77</v>
      </c>
      <c r="B56" t="s">
        <v>238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</row>
    <row r="57" spans="1:23" x14ac:dyDescent="0.3">
      <c r="A57" t="s">
        <v>79</v>
      </c>
      <c r="B57" t="s">
        <v>238</v>
      </c>
      <c r="C57" s="30">
        <v>0</v>
      </c>
      <c r="D57" s="30">
        <v>46182583</v>
      </c>
      <c r="E57" s="30">
        <v>32500608</v>
      </c>
      <c r="F57" s="30">
        <v>31899288</v>
      </c>
      <c r="G57" s="30">
        <v>31250571</v>
      </c>
      <c r="H57" s="30">
        <v>30198297</v>
      </c>
      <c r="I57" s="30">
        <v>28827720</v>
      </c>
      <c r="J57" s="30">
        <v>27179597</v>
      </c>
      <c r="K57" s="30">
        <v>25299072</v>
      </c>
      <c r="L57" s="30">
        <v>23104277</v>
      </c>
      <c r="M57" s="30">
        <v>20545496</v>
      </c>
      <c r="N57" s="30">
        <v>17673671</v>
      </c>
      <c r="O57" s="30">
        <v>18037797</v>
      </c>
      <c r="P57" s="30">
        <v>17767359</v>
      </c>
      <c r="Q57" s="30">
        <v>17481492</v>
      </c>
      <c r="R57" s="30">
        <v>17186301</v>
      </c>
      <c r="S57" s="30">
        <v>16925016</v>
      </c>
      <c r="T57" s="30">
        <v>16640972</v>
      </c>
      <c r="U57" s="30">
        <v>16342685</v>
      </c>
      <c r="V57" s="30">
        <v>16036534</v>
      </c>
      <c r="W57" s="30">
        <v>15757364</v>
      </c>
    </row>
    <row r="58" spans="1:23" x14ac:dyDescent="0.3">
      <c r="A58" t="s">
        <v>80</v>
      </c>
      <c r="B58" t="s">
        <v>238</v>
      </c>
      <c r="C58" s="30">
        <v>0</v>
      </c>
      <c r="D58" s="30">
        <v>16400979.154890999</v>
      </c>
      <c r="E58" s="30">
        <v>-83279.182218000002</v>
      </c>
      <c r="F58" s="30">
        <v>-209010.34354</v>
      </c>
      <c r="G58" s="30">
        <v>-338927.479689</v>
      </c>
      <c r="H58" s="30">
        <v>-471439.57738999999</v>
      </c>
      <c r="I58" s="30">
        <v>-611326.52962399996</v>
      </c>
      <c r="J58" s="30">
        <v>-753806.15570100001</v>
      </c>
      <c r="K58" s="30">
        <v>-900474.31653499999</v>
      </c>
      <c r="L58" s="30">
        <v>-1049687.4039179999</v>
      </c>
      <c r="M58" s="30">
        <v>-1206371.5126139999</v>
      </c>
      <c r="N58" s="30">
        <v>-1365600.113715</v>
      </c>
      <c r="O58" s="30">
        <v>-133242.66840200001</v>
      </c>
      <c r="P58" s="30">
        <v>-133270.45662000001</v>
      </c>
      <c r="Q58" s="30">
        <v>-136675.43677500001</v>
      </c>
      <c r="R58" s="30">
        <v>-138394.024676</v>
      </c>
      <c r="S58" s="30">
        <v>-140106.62081399999</v>
      </c>
      <c r="T58" s="30">
        <v>-140083.13390300001</v>
      </c>
      <c r="U58" s="30">
        <v>-143539.98624599999</v>
      </c>
      <c r="V58" s="30">
        <v>-145256.92212199999</v>
      </c>
      <c r="W58" s="30">
        <v>-146973.041539</v>
      </c>
    </row>
    <row r="59" spans="1:23" x14ac:dyDescent="0.3">
      <c r="A59" t="s">
        <v>81</v>
      </c>
      <c r="B59" t="s">
        <v>238</v>
      </c>
      <c r="C59" s="30">
        <v>12000</v>
      </c>
      <c r="D59" s="30">
        <v>16412979.154890999</v>
      </c>
      <c r="E59" s="30">
        <v>16329699.972673001</v>
      </c>
      <c r="F59" s="30">
        <v>16120689.629132999</v>
      </c>
      <c r="G59" s="30">
        <v>15781762.149444999</v>
      </c>
      <c r="H59" s="30">
        <v>15310322.572055001</v>
      </c>
      <c r="I59" s="30">
        <v>14698996.042431001</v>
      </c>
      <c r="J59" s="30">
        <v>13945189.88673</v>
      </c>
      <c r="K59" s="30">
        <v>13044715.570195001</v>
      </c>
      <c r="L59" s="30">
        <v>11995028.166278001</v>
      </c>
      <c r="M59" s="30">
        <v>10788656.653664</v>
      </c>
      <c r="N59" s="30">
        <v>9423056.5399489999</v>
      </c>
      <c r="O59" s="30">
        <v>9289813.8715470005</v>
      </c>
      <c r="P59" s="30">
        <v>9156543.4149270002</v>
      </c>
      <c r="Q59" s="30">
        <v>9019867.9781519994</v>
      </c>
      <c r="R59" s="30">
        <v>8881473.9534760006</v>
      </c>
      <c r="S59" s="30">
        <v>8741367.3326619994</v>
      </c>
      <c r="T59" s="30">
        <v>8601284.1987590007</v>
      </c>
      <c r="U59" s="30">
        <v>8457744.212514</v>
      </c>
      <c r="V59" s="30">
        <v>8312487.2903920002</v>
      </c>
      <c r="W59" s="30">
        <v>8165514.2488519996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2" customWidth="1"/>
    <col min="3" max="3" width="24" customWidth="1"/>
    <col min="4" max="4" width="28" customWidth="1"/>
    <col min="5" max="7" width="16" customWidth="1"/>
    <col min="8" max="9" width="12" customWidth="1"/>
    <col min="10" max="10" width="70" customWidth="1"/>
    <col min="11" max="28" width="14" customWidth="1"/>
  </cols>
  <sheetData>
    <row r="1" spans="1:10" ht="21" x14ac:dyDescent="0.4">
      <c r="A1" s="1" t="s">
        <v>242</v>
      </c>
    </row>
    <row r="2" spans="1:10" x14ac:dyDescent="0.3">
      <c r="A2" s="2" t="s">
        <v>243</v>
      </c>
      <c r="B2" s="36" t="str">
        <f>IF(COUNTIF(I7:I172,"FAIL")=0,"OK","FAIL")</f>
        <v>OK</v>
      </c>
    </row>
    <row r="3" spans="1:10" x14ac:dyDescent="0.3">
      <c r="A3" t="s">
        <v>244</v>
      </c>
      <c r="B3" s="54" t="s">
        <v>245</v>
      </c>
      <c r="C3" s="54"/>
      <c r="D3" s="54"/>
      <c r="E3" s="54"/>
      <c r="F3" s="54"/>
    </row>
    <row r="5" spans="1:10" x14ac:dyDescent="0.3">
      <c r="A5" s="37" t="s">
        <v>246</v>
      </c>
      <c r="B5" s="37" t="s">
        <v>247</v>
      </c>
      <c r="C5" s="37" t="s">
        <v>248</v>
      </c>
      <c r="D5" s="37" t="s">
        <v>249</v>
      </c>
      <c r="E5" s="37" t="s">
        <v>250</v>
      </c>
      <c r="F5" s="37" t="s">
        <v>251</v>
      </c>
      <c r="G5" s="37" t="s">
        <v>252</v>
      </c>
      <c r="H5" s="37" t="s">
        <v>253</v>
      </c>
      <c r="I5" s="37" t="s">
        <v>254</v>
      </c>
      <c r="J5" s="37" t="s">
        <v>255</v>
      </c>
    </row>
    <row r="6" spans="1:10" x14ac:dyDescent="0.3">
      <c r="A6" s="53" t="s">
        <v>256</v>
      </c>
      <c r="B6" s="54"/>
      <c r="C6" s="54"/>
      <c r="D6" s="54"/>
      <c r="E6" s="54"/>
      <c r="F6" s="54"/>
      <c r="G6" s="54"/>
      <c r="H6" s="54"/>
      <c r="I6" s="54"/>
      <c r="J6" s="54"/>
    </row>
    <row r="7" spans="1:10" x14ac:dyDescent="0.3">
      <c r="A7" t="s">
        <v>257</v>
      </c>
      <c r="B7" t="s">
        <v>258</v>
      </c>
      <c r="C7" t="s">
        <v>259</v>
      </c>
      <c r="D7" t="s">
        <v>260</v>
      </c>
      <c r="E7" s="38">
        <f>FINMO!D31</f>
        <v>17869162.979347825</v>
      </c>
      <c r="F7" s="38">
        <f>FINMO!D43</f>
        <v>17869162.979347821</v>
      </c>
      <c r="G7" s="38">
        <f t="shared" ref="G7:G19" si="0">E7-F7</f>
        <v>0</v>
      </c>
      <c r="H7" s="38">
        <v>1</v>
      </c>
      <c r="I7" s="39" t="str">
        <f t="shared" ref="I7:I19" si="1">IF(ABS(G7)&lt;=H7,"OK","FAIL")</f>
        <v>OK</v>
      </c>
      <c r="J7" t="s">
        <v>261</v>
      </c>
    </row>
    <row r="8" spans="1:10" x14ac:dyDescent="0.3">
      <c r="A8" t="s">
        <v>257</v>
      </c>
      <c r="B8" t="s">
        <v>262</v>
      </c>
      <c r="C8" t="s">
        <v>259</v>
      </c>
      <c r="D8" t="s">
        <v>263</v>
      </c>
      <c r="E8" s="38">
        <f>FINMO!D61</f>
        <v>16412482.177717388</v>
      </c>
      <c r="F8" s="38">
        <f>FINMO!D23</f>
        <v>16412482.177717388</v>
      </c>
      <c r="G8" s="38">
        <f t="shared" si="0"/>
        <v>0</v>
      </c>
      <c r="H8" s="38">
        <v>1</v>
      </c>
      <c r="I8" s="39" t="str">
        <f t="shared" si="1"/>
        <v>OK</v>
      </c>
      <c r="J8" t="s">
        <v>264</v>
      </c>
    </row>
    <row r="9" spans="1:10" x14ac:dyDescent="0.3">
      <c r="A9" t="s">
        <v>257</v>
      </c>
      <c r="B9" t="s">
        <v>265</v>
      </c>
      <c r="C9" t="s">
        <v>259</v>
      </c>
      <c r="D9" t="s">
        <v>266</v>
      </c>
      <c r="E9" s="38">
        <f>FINMO!W31</f>
        <v>10732188.209387206</v>
      </c>
      <c r="F9" s="38">
        <f>FINMO!W43</f>
        <v>10732188.209387314</v>
      </c>
      <c r="G9" s="38">
        <f t="shared" si="0"/>
        <v>-1.0803341865539551E-7</v>
      </c>
      <c r="H9" s="38">
        <v>1</v>
      </c>
      <c r="I9" s="39" t="str">
        <f t="shared" si="1"/>
        <v>OK</v>
      </c>
      <c r="J9" t="s">
        <v>261</v>
      </c>
    </row>
    <row r="10" spans="1:10" x14ac:dyDescent="0.3">
      <c r="A10" t="s">
        <v>257</v>
      </c>
      <c r="B10" t="s">
        <v>267</v>
      </c>
      <c r="C10" t="s">
        <v>259</v>
      </c>
      <c r="D10" t="s">
        <v>268</v>
      </c>
      <c r="E10" s="38">
        <f>FINMO!W61</f>
        <v>8150151.4181380663</v>
      </c>
      <c r="F10" s="38">
        <f>FINMO!W23</f>
        <v>8150151.4181380663</v>
      </c>
      <c r="G10" s="38">
        <f t="shared" si="0"/>
        <v>0</v>
      </c>
      <c r="H10" s="38">
        <v>1</v>
      </c>
      <c r="I10" s="39" t="str">
        <f t="shared" si="1"/>
        <v>OK</v>
      </c>
      <c r="J10" t="s">
        <v>264</v>
      </c>
    </row>
    <row r="11" spans="1:10" x14ac:dyDescent="0.3">
      <c r="A11" t="s">
        <v>269</v>
      </c>
      <c r="B11" t="s">
        <v>270</v>
      </c>
      <c r="C11" t="s">
        <v>259</v>
      </c>
      <c r="D11" t="s">
        <v>271</v>
      </c>
      <c r="E11" s="38">
        <f>SUMPRODUCT(ABS('Revenue Drivers'!C14:W14-'Model Inputs'!C11:W11))</f>
        <v>0</v>
      </c>
      <c r="F11" s="38">
        <v>0</v>
      </c>
      <c r="G11" s="38">
        <f t="shared" si="0"/>
        <v>0</v>
      </c>
      <c r="H11" s="38">
        <v>1</v>
      </c>
      <c r="I11" s="39" t="str">
        <f t="shared" si="1"/>
        <v>OK</v>
      </c>
      <c r="J11" t="s">
        <v>272</v>
      </c>
    </row>
    <row r="12" spans="1:10" x14ac:dyDescent="0.3">
      <c r="A12" t="s">
        <v>269</v>
      </c>
      <c r="B12" t="s">
        <v>273</v>
      </c>
      <c r="C12" t="s">
        <v>259</v>
      </c>
      <c r="D12" t="s">
        <v>274</v>
      </c>
      <c r="E12" s="38">
        <f>SUMPRODUCT(ABS('Payroll Schedule'!D17:W17-'Model Inputs'!D16:W16))</f>
        <v>0</v>
      </c>
      <c r="F12" s="38">
        <v>0</v>
      </c>
      <c r="G12" s="38">
        <f t="shared" si="0"/>
        <v>0</v>
      </c>
      <c r="H12" s="38">
        <v>1</v>
      </c>
      <c r="I12" s="39" t="str">
        <f t="shared" si="1"/>
        <v>OK</v>
      </c>
      <c r="J12" t="s">
        <v>275</v>
      </c>
    </row>
    <row r="13" spans="1:10" x14ac:dyDescent="0.3">
      <c r="A13" t="s">
        <v>269</v>
      </c>
      <c r="B13" t="s">
        <v>276</v>
      </c>
      <c r="C13" t="s">
        <v>259</v>
      </c>
      <c r="D13" t="s">
        <v>277</v>
      </c>
      <c r="E13" s="38">
        <f>SUMPRODUCT(ABS('Debt Schedule'!C10:W10-'Model Inputs'!C43:W43))</f>
        <v>0</v>
      </c>
      <c r="F13" s="38">
        <v>0</v>
      </c>
      <c r="G13" s="38">
        <f t="shared" si="0"/>
        <v>0</v>
      </c>
      <c r="H13" s="38">
        <v>1</v>
      </c>
      <c r="I13" s="39" t="str">
        <f t="shared" si="1"/>
        <v>OK</v>
      </c>
      <c r="J13" t="s">
        <v>278</v>
      </c>
    </row>
    <row r="14" spans="1:10" x14ac:dyDescent="0.3">
      <c r="A14" t="s">
        <v>269</v>
      </c>
      <c r="B14" t="s">
        <v>279</v>
      </c>
      <c r="C14" t="s">
        <v>259</v>
      </c>
      <c r="D14" t="s">
        <v>280</v>
      </c>
      <c r="E14" s="38">
        <f>SUMPRODUCT(ABS('Debt Schedule'!C21:W21-'CapEx Depreciation'!C9:W9))</f>
        <v>0</v>
      </c>
      <c r="F14" s="38">
        <v>0</v>
      </c>
      <c r="G14" s="38">
        <f t="shared" si="0"/>
        <v>0</v>
      </c>
      <c r="H14" s="38">
        <v>1</v>
      </c>
      <c r="I14" s="39" t="str">
        <f t="shared" si="1"/>
        <v>OK</v>
      </c>
      <c r="J14" t="s">
        <v>281</v>
      </c>
    </row>
    <row r="15" spans="1:10" x14ac:dyDescent="0.3">
      <c r="A15" t="s">
        <v>269</v>
      </c>
      <c r="B15" t="s">
        <v>282</v>
      </c>
      <c r="C15" t="s">
        <v>259</v>
      </c>
      <c r="D15" t="s">
        <v>283</v>
      </c>
      <c r="E15" s="38">
        <f>SUMPRODUCT(ABS('Cash Equity Schedule'!C12:W12-'Model Inputs'!C15:W15))</f>
        <v>0</v>
      </c>
      <c r="F15" s="38">
        <v>0</v>
      </c>
      <c r="G15" s="38">
        <f t="shared" si="0"/>
        <v>0</v>
      </c>
      <c r="H15" s="38">
        <v>1</v>
      </c>
      <c r="I15" s="39" t="str">
        <f t="shared" si="1"/>
        <v>OK</v>
      </c>
      <c r="J15" t="s">
        <v>284</v>
      </c>
    </row>
    <row r="16" spans="1:10" x14ac:dyDescent="0.3">
      <c r="A16" t="s">
        <v>285</v>
      </c>
      <c r="B16" t="s">
        <v>286</v>
      </c>
      <c r="C16" t="s">
        <v>111</v>
      </c>
      <c r="D16" t="s">
        <v>287</v>
      </c>
      <c r="E16" s="38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>0</v>
      </c>
      <c r="F16" s="38">
        <v>0</v>
      </c>
      <c r="G16" s="38">
        <f t="shared" si="0"/>
        <v>0</v>
      </c>
      <c r="H16" s="38">
        <v>1</v>
      </c>
      <c r="I16" s="39" t="str">
        <f t="shared" si="1"/>
        <v>OK</v>
      </c>
      <c r="J16" t="s">
        <v>288</v>
      </c>
    </row>
    <row r="17" spans="1:10" x14ac:dyDescent="0.3">
      <c r="A17" t="s">
        <v>285</v>
      </c>
      <c r="B17" t="s">
        <v>289</v>
      </c>
      <c r="C17" t="s">
        <v>111</v>
      </c>
      <c r="D17" t="s">
        <v>290</v>
      </c>
      <c r="E17" s="40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>0</v>
      </c>
      <c r="F17" s="40">
        <v>0</v>
      </c>
      <c r="G17" s="40">
        <f t="shared" si="0"/>
        <v>0</v>
      </c>
      <c r="H17" s="40">
        <v>0.01</v>
      </c>
      <c r="I17" s="39" t="str">
        <f t="shared" si="1"/>
        <v>OK</v>
      </c>
      <c r="J17" t="s">
        <v>291</v>
      </c>
    </row>
    <row r="18" spans="1:10" x14ac:dyDescent="0.3">
      <c r="A18" t="s">
        <v>285</v>
      </c>
      <c r="B18" t="s">
        <v>292</v>
      </c>
      <c r="C18" t="s">
        <v>111</v>
      </c>
      <c r="D18" t="s">
        <v>293</v>
      </c>
      <c r="E18" s="38">
        <f>SUMPRODUCT(ABS('Payroll Schedule'!G27:G86-('Payroll Schedule'!E27:E86+'Payroll Schedule'!F27:F86)))+SUMPRODUCT(ABS('Payroll Schedule'!H27:H86-(('Payroll Schedule'!E27:E86+'Payroll Schedule'!G27:G86)/2)))</f>
        <v>0</v>
      </c>
      <c r="F18" s="38">
        <v>0</v>
      </c>
      <c r="G18" s="38">
        <f t="shared" si="0"/>
        <v>0</v>
      </c>
      <c r="H18" s="38">
        <v>0.01</v>
      </c>
      <c r="I18" s="39" t="str">
        <f t="shared" si="1"/>
        <v>OK</v>
      </c>
      <c r="J18" t="s">
        <v>294</v>
      </c>
    </row>
    <row r="19" spans="1:10" x14ac:dyDescent="0.3">
      <c r="A19" t="s">
        <v>285</v>
      </c>
      <c r="B19" t="s">
        <v>295</v>
      </c>
      <c r="C19" t="s">
        <v>111</v>
      </c>
      <c r="D19" t="s">
        <v>296</v>
      </c>
      <c r="E19" s="38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>0</v>
      </c>
      <c r="F19" s="38">
        <v>0</v>
      </c>
      <c r="G19" s="38">
        <f t="shared" si="0"/>
        <v>0</v>
      </c>
      <c r="H19" s="38">
        <v>1</v>
      </c>
      <c r="I19" s="39" t="str">
        <f t="shared" si="1"/>
        <v>OK</v>
      </c>
      <c r="J19" t="s">
        <v>297</v>
      </c>
    </row>
    <row r="21" spans="1:10" x14ac:dyDescent="0.3">
      <c r="A21" s="53" t="s">
        <v>298</v>
      </c>
      <c r="B21" s="54"/>
      <c r="C21" s="54"/>
      <c r="D21" s="54"/>
      <c r="E21" s="54"/>
      <c r="F21" s="54"/>
      <c r="G21" s="54"/>
      <c r="H21" s="54"/>
      <c r="I21" s="54"/>
      <c r="J21" s="54"/>
    </row>
    <row r="22" spans="1:10" x14ac:dyDescent="0.3">
      <c r="A22" t="s">
        <v>299</v>
      </c>
      <c r="B22" t="s">
        <v>300</v>
      </c>
      <c r="C22" t="s">
        <v>82</v>
      </c>
      <c r="D22" t="s">
        <v>301</v>
      </c>
      <c r="E22" s="38">
        <f>SUMPRODUCT(ABS('Revenue Drivers'!C11:W11-('Revenue Drivers'!C8:W8*'Revenue Drivers'!C9:W9*'Revenue Drivers'!C10:W10)))</f>
        <v>0</v>
      </c>
      <c r="F22" s="38">
        <v>0</v>
      </c>
      <c r="G22" s="38">
        <f t="shared" ref="G22:G37" si="2">E22-F22</f>
        <v>0</v>
      </c>
      <c r="H22" s="38">
        <v>1</v>
      </c>
      <c r="I22" s="39" t="str">
        <f t="shared" ref="I22:I37" si="3">IF(ABS(G22)&lt;=H22,"OK","FAIL")</f>
        <v>OK</v>
      </c>
      <c r="J22" t="s">
        <v>302</v>
      </c>
    </row>
    <row r="23" spans="1:10" x14ac:dyDescent="0.3">
      <c r="A23" t="s">
        <v>299</v>
      </c>
      <c r="B23" t="s">
        <v>303</v>
      </c>
      <c r="C23" t="s">
        <v>82</v>
      </c>
      <c r="D23" t="s">
        <v>271</v>
      </c>
      <c r="E23" s="38">
        <f>SUMPRODUCT(ABS('Revenue Drivers'!C14:W14-('Revenue Drivers'!C11:W11)))</f>
        <v>0</v>
      </c>
      <c r="F23" s="38">
        <v>0</v>
      </c>
      <c r="G23" s="38">
        <f t="shared" si="2"/>
        <v>0</v>
      </c>
      <c r="H23" s="38">
        <v>1</v>
      </c>
      <c r="I23" s="39" t="str">
        <f t="shared" si="3"/>
        <v>OK</v>
      </c>
      <c r="J23" t="s">
        <v>304</v>
      </c>
    </row>
    <row r="24" spans="1:10" x14ac:dyDescent="0.3">
      <c r="A24" t="s">
        <v>299</v>
      </c>
      <c r="B24" t="s">
        <v>305</v>
      </c>
      <c r="C24" t="s">
        <v>82</v>
      </c>
      <c r="D24" t="s">
        <v>306</v>
      </c>
      <c r="E24" s="38">
        <f>SUMPRODUCT(ABS('Revenue Drivers'!C13:W13-('Revenue Drivers'!C8:W8)))</f>
        <v>0</v>
      </c>
      <c r="F24" s="38">
        <v>0</v>
      </c>
      <c r="G24" s="38">
        <f t="shared" si="2"/>
        <v>0</v>
      </c>
      <c r="H24" s="38">
        <v>0.01</v>
      </c>
      <c r="I24" s="39" t="str">
        <f t="shared" si="3"/>
        <v>OK</v>
      </c>
      <c r="J24" t="s">
        <v>307</v>
      </c>
    </row>
    <row r="25" spans="1:10" x14ac:dyDescent="0.3">
      <c r="A25" t="s">
        <v>299</v>
      </c>
      <c r="B25" t="s">
        <v>308</v>
      </c>
      <c r="C25" t="s">
        <v>154</v>
      </c>
      <c r="D25" t="s">
        <v>309</v>
      </c>
      <c r="E25" s="38">
        <f>SUMPRODUCT(ABS('Debt Schedule'!D7:W7-'Debt Schedule'!C11:V11))</f>
        <v>0</v>
      </c>
      <c r="F25" s="38">
        <v>0</v>
      </c>
      <c r="G25" s="38">
        <f t="shared" si="2"/>
        <v>0</v>
      </c>
      <c r="H25" s="38">
        <v>1</v>
      </c>
      <c r="I25" s="39" t="str">
        <f t="shared" si="3"/>
        <v>OK</v>
      </c>
      <c r="J25" t="s">
        <v>310</v>
      </c>
    </row>
    <row r="26" spans="1:10" x14ac:dyDescent="0.3">
      <c r="A26" t="s">
        <v>299</v>
      </c>
      <c r="B26" t="s">
        <v>311</v>
      </c>
      <c r="C26" t="s">
        <v>154</v>
      </c>
      <c r="D26" t="s">
        <v>277</v>
      </c>
      <c r="E26" s="38">
        <f>SUMPRODUCT(--(('Debt Schedule'!C10:W10-'Debt Schedule'!C9:W9)&gt;1))+SUMPRODUCT(--(('Debt Schedule'!C10:W10-('Debt Schedule'!C7:W7+'Debt Schedule'!C8:W8))&gt;1))</f>
        <v>0</v>
      </c>
      <c r="F26" s="38">
        <v>0</v>
      </c>
      <c r="G26" s="38">
        <f t="shared" si="2"/>
        <v>0</v>
      </c>
      <c r="H26" s="38">
        <v>0</v>
      </c>
      <c r="I26" s="39" t="str">
        <f t="shared" si="3"/>
        <v>OK</v>
      </c>
      <c r="J26" t="s">
        <v>312</v>
      </c>
    </row>
    <row r="27" spans="1:10" x14ac:dyDescent="0.3">
      <c r="A27" t="s">
        <v>299</v>
      </c>
      <c r="B27" t="s">
        <v>313</v>
      </c>
      <c r="C27" t="s">
        <v>154</v>
      </c>
      <c r="D27" t="s">
        <v>314</v>
      </c>
      <c r="E27" s="38">
        <f>SUMPRODUCT(ABS('Debt Schedule'!C11:W11-('Debt Schedule'!C7:W7+'Debt Schedule'!C8:W8-'Debt Schedule'!C10:W10)))</f>
        <v>0</v>
      </c>
      <c r="F27" s="38">
        <v>0</v>
      </c>
      <c r="G27" s="38">
        <f t="shared" si="2"/>
        <v>0</v>
      </c>
      <c r="H27" s="38">
        <v>1</v>
      </c>
      <c r="I27" s="39" t="str">
        <f t="shared" si="3"/>
        <v>OK</v>
      </c>
      <c r="J27" t="s">
        <v>315</v>
      </c>
    </row>
    <row r="28" spans="1:10" x14ac:dyDescent="0.3">
      <c r="A28" t="s">
        <v>299</v>
      </c>
      <c r="B28" t="s">
        <v>316</v>
      </c>
      <c r="C28" t="s">
        <v>154</v>
      </c>
      <c r="D28" t="s">
        <v>317</v>
      </c>
      <c r="E28" s="38">
        <f>SUMPRODUCT(ABS('Debt Schedule'!C13:W13-((('Debt Schedule'!C7:W7+'Debt Schedule'!C11:W11)/2)*'Debt Schedule'!C12:W12)))</f>
        <v>0</v>
      </c>
      <c r="F28" s="38">
        <v>0</v>
      </c>
      <c r="G28" s="38">
        <f t="shared" si="2"/>
        <v>0</v>
      </c>
      <c r="H28" s="38">
        <v>1</v>
      </c>
      <c r="I28" s="39" t="str">
        <f t="shared" si="3"/>
        <v>OK</v>
      </c>
      <c r="J28" t="s">
        <v>318</v>
      </c>
    </row>
    <row r="29" spans="1:10" x14ac:dyDescent="0.3">
      <c r="A29" t="s">
        <v>299</v>
      </c>
      <c r="B29" t="s">
        <v>319</v>
      </c>
      <c r="C29" t="s">
        <v>154</v>
      </c>
      <c r="D29" t="s">
        <v>320</v>
      </c>
      <c r="E29" s="38">
        <f>SUMPRODUCT(ABS('Debt Schedule'!C14:W14-('Debt Schedule'!C13:W13+'Debt Schedule'!C10:W10)))</f>
        <v>0</v>
      </c>
      <c r="F29" s="38">
        <v>0</v>
      </c>
      <c r="G29" s="38">
        <f t="shared" si="2"/>
        <v>0</v>
      </c>
      <c r="H29" s="38">
        <v>1</v>
      </c>
      <c r="I29" s="39" t="str">
        <f t="shared" si="3"/>
        <v>OK</v>
      </c>
      <c r="J29" t="s">
        <v>321</v>
      </c>
    </row>
    <row r="30" spans="1:10" x14ac:dyDescent="0.3">
      <c r="A30" t="s">
        <v>299</v>
      </c>
      <c r="B30" t="s">
        <v>322</v>
      </c>
      <c r="C30" t="s">
        <v>154</v>
      </c>
      <c r="D30" t="s">
        <v>323</v>
      </c>
      <c r="E30" s="38">
        <f>SUMPRODUCT(ABS('Debt Schedule'!D18:W18-'Debt Schedule'!C23:V23))</f>
        <v>0</v>
      </c>
      <c r="F30" s="38">
        <v>0</v>
      </c>
      <c r="G30" s="38">
        <f t="shared" si="2"/>
        <v>0</v>
      </c>
      <c r="H30" s="38">
        <v>1</v>
      </c>
      <c r="I30" s="39" t="str">
        <f t="shared" si="3"/>
        <v>OK</v>
      </c>
      <c r="J30" t="s">
        <v>324</v>
      </c>
    </row>
    <row r="31" spans="1:10" x14ac:dyDescent="0.3">
      <c r="A31" t="s">
        <v>299</v>
      </c>
      <c r="B31" t="s">
        <v>325</v>
      </c>
      <c r="C31" t="s">
        <v>154</v>
      </c>
      <c r="D31" t="s">
        <v>326</v>
      </c>
      <c r="E31" s="38">
        <f>SUMPRODUCT(--(('Debt Schedule'!C20:W20-'Debt Schedule'!C19:W19)&gt;1))+SUMPRODUCT(--(('Debt Schedule'!C20:W20-('Debt Schedule'!C18:W18+'Debt Schedule'!C21:W21))&gt;1))</f>
        <v>0</v>
      </c>
      <c r="F31" s="38">
        <v>0</v>
      </c>
      <c r="G31" s="38">
        <f t="shared" si="2"/>
        <v>0</v>
      </c>
      <c r="H31" s="38">
        <v>0</v>
      </c>
      <c r="I31" s="39" t="str">
        <f t="shared" si="3"/>
        <v>OK</v>
      </c>
      <c r="J31" t="s">
        <v>327</v>
      </c>
    </row>
    <row r="32" spans="1:10" x14ac:dyDescent="0.3">
      <c r="A32" t="s">
        <v>299</v>
      </c>
      <c r="B32" t="s">
        <v>328</v>
      </c>
      <c r="C32" t="s">
        <v>154</v>
      </c>
      <c r="D32" t="s">
        <v>329</v>
      </c>
      <c r="E32" s="38">
        <f>SUMPRODUCT(ABS('Debt Schedule'!C23:W23-('Debt Schedule'!C18:W18+'Debt Schedule'!C21:W21-'Debt Schedule'!C20:W20)))</f>
        <v>0</v>
      </c>
      <c r="F32" s="38">
        <v>0</v>
      </c>
      <c r="G32" s="38">
        <f t="shared" si="2"/>
        <v>0</v>
      </c>
      <c r="H32" s="38">
        <v>1</v>
      </c>
      <c r="I32" s="39" t="str">
        <f t="shared" si="3"/>
        <v>OK</v>
      </c>
      <c r="J32" t="s">
        <v>330</v>
      </c>
    </row>
    <row r="33" spans="1:10" x14ac:dyDescent="0.3">
      <c r="A33" t="s">
        <v>299</v>
      </c>
      <c r="B33" t="s">
        <v>331</v>
      </c>
      <c r="C33" t="s">
        <v>332</v>
      </c>
      <c r="D33" t="s">
        <v>333</v>
      </c>
      <c r="E33" s="38">
        <f>SUMPRODUCT(ABS('CapEx Depreciation'!D7:W7-'CapEx Depreciation'!C12:V12))</f>
        <v>0</v>
      </c>
      <c r="F33" s="38">
        <v>0</v>
      </c>
      <c r="G33" s="38">
        <f t="shared" si="2"/>
        <v>0</v>
      </c>
      <c r="H33" s="38">
        <v>1</v>
      </c>
      <c r="I33" s="39" t="str">
        <f t="shared" si="3"/>
        <v>OK</v>
      </c>
      <c r="J33" t="s">
        <v>334</v>
      </c>
    </row>
    <row r="34" spans="1:10" x14ac:dyDescent="0.3">
      <c r="A34" t="s">
        <v>299</v>
      </c>
      <c r="B34" t="s">
        <v>335</v>
      </c>
      <c r="C34" t="s">
        <v>332</v>
      </c>
      <c r="D34" t="s">
        <v>336</v>
      </c>
      <c r="E34" s="38">
        <f>SUMPRODUCT(ABS('CapEx Depreciation'!C11:W11-('CapEx Depreciation'!C7:W7*'CapEx Depreciation'!C10:W10)))</f>
        <v>0</v>
      </c>
      <c r="F34" s="38">
        <v>0</v>
      </c>
      <c r="G34" s="38">
        <f t="shared" si="2"/>
        <v>0</v>
      </c>
      <c r="H34" s="38">
        <v>1</v>
      </c>
      <c r="I34" s="39" t="str">
        <f t="shared" si="3"/>
        <v>OK</v>
      </c>
      <c r="J34" t="s">
        <v>337</v>
      </c>
    </row>
    <row r="35" spans="1:10" x14ac:dyDescent="0.3">
      <c r="A35" t="s">
        <v>299</v>
      </c>
      <c r="B35" t="s">
        <v>338</v>
      </c>
      <c r="C35" t="s">
        <v>332</v>
      </c>
      <c r="D35" t="s">
        <v>339</v>
      </c>
      <c r="E35" s="38">
        <f>SUMPRODUCT(ABS('CapEx Depreciation'!C12:W12-('CapEx Depreciation'!C7:W7+'CapEx Depreciation'!C8:W8+'CapEx Depreciation'!C9:W9-'CapEx Depreciation'!C11:W11)))</f>
        <v>0</v>
      </c>
      <c r="F35" s="38">
        <v>0</v>
      </c>
      <c r="G35" s="38">
        <f t="shared" si="2"/>
        <v>0</v>
      </c>
      <c r="H35" s="38">
        <v>1</v>
      </c>
      <c r="I35" s="39" t="str">
        <f t="shared" si="3"/>
        <v>OK</v>
      </c>
      <c r="J35" t="s">
        <v>340</v>
      </c>
    </row>
    <row r="36" spans="1:10" x14ac:dyDescent="0.3">
      <c r="A36" t="s">
        <v>299</v>
      </c>
      <c r="B36" t="s">
        <v>341</v>
      </c>
      <c r="C36" t="s">
        <v>332</v>
      </c>
      <c r="D36" t="s">
        <v>342</v>
      </c>
      <c r="E36" s="38">
        <f>SUMPRODUCT(ABS('CapEx Depreciation'!D13:W13-'CapEx Depreciation'!C14:V14))</f>
        <v>0</v>
      </c>
      <c r="F36" s="38">
        <v>0</v>
      </c>
      <c r="G36" s="38">
        <f t="shared" si="2"/>
        <v>0</v>
      </c>
      <c r="H36" s="38">
        <v>1</v>
      </c>
      <c r="I36" s="39" t="str">
        <f t="shared" si="3"/>
        <v>OK</v>
      </c>
      <c r="J36" t="s">
        <v>343</v>
      </c>
    </row>
    <row r="37" spans="1:10" x14ac:dyDescent="0.3">
      <c r="A37" t="s">
        <v>299</v>
      </c>
      <c r="B37" t="s">
        <v>344</v>
      </c>
      <c r="C37" t="s">
        <v>332</v>
      </c>
      <c r="D37" t="s">
        <v>345</v>
      </c>
      <c r="E37" s="38">
        <f>SUMPRODUCT(ABS('CapEx Depreciation'!C14:W14-('CapEx Depreciation'!C13:W13-'CapEx Depreciation'!C11:W11)))</f>
        <v>0</v>
      </c>
      <c r="F37" s="38">
        <v>0</v>
      </c>
      <c r="G37" s="38">
        <f t="shared" si="2"/>
        <v>0</v>
      </c>
      <c r="H37" s="38">
        <v>1</v>
      </c>
      <c r="I37" s="39" t="str">
        <f t="shared" si="3"/>
        <v>OK</v>
      </c>
      <c r="J37" t="s">
        <v>346</v>
      </c>
    </row>
    <row r="39" spans="1:10" x14ac:dyDescent="0.3">
      <c r="A39" s="53" t="s">
        <v>347</v>
      </c>
      <c r="B39" s="54"/>
      <c r="C39" s="54"/>
      <c r="D39" s="54"/>
      <c r="E39" s="54"/>
      <c r="F39" s="54"/>
      <c r="G39" s="54"/>
      <c r="H39" s="54"/>
      <c r="I39" s="54"/>
      <c r="J39" s="54"/>
    </row>
    <row r="40" spans="1:10" x14ac:dyDescent="0.3">
      <c r="A40" t="s">
        <v>348</v>
      </c>
      <c r="B40" t="s">
        <v>349</v>
      </c>
      <c r="C40" t="s">
        <v>82</v>
      </c>
      <c r="D40" t="s">
        <v>271</v>
      </c>
      <c r="E40" s="38">
        <f>21</f>
        <v>21</v>
      </c>
      <c r="F40" s="38">
        <v>21</v>
      </c>
      <c r="G40" s="38">
        <f t="shared" ref="G40:G71" si="4">E40-F40</f>
        <v>0</v>
      </c>
      <c r="H40" s="38">
        <v>0</v>
      </c>
      <c r="I40" s="39" t="str">
        <f t="shared" ref="I40:I71" si="5">IF(G40=0,"OK","FAIL")</f>
        <v>OK</v>
      </c>
      <c r="J40" t="s">
        <v>350</v>
      </c>
    </row>
    <row r="41" spans="1:10" x14ac:dyDescent="0.3">
      <c r="A41" t="s">
        <v>348</v>
      </c>
      <c r="B41" t="s">
        <v>351</v>
      </c>
      <c r="C41" t="s">
        <v>82</v>
      </c>
      <c r="D41" t="s">
        <v>306</v>
      </c>
      <c r="E41" s="38">
        <f>21</f>
        <v>21</v>
      </c>
      <c r="F41" s="38">
        <v>21</v>
      </c>
      <c r="G41" s="38">
        <f t="shared" si="4"/>
        <v>0</v>
      </c>
      <c r="H41" s="38">
        <v>0</v>
      </c>
      <c r="I41" s="39" t="str">
        <f t="shared" si="5"/>
        <v>OK</v>
      </c>
      <c r="J41" t="s">
        <v>350</v>
      </c>
    </row>
    <row r="42" spans="1:10" x14ac:dyDescent="0.3">
      <c r="A42" t="s">
        <v>348</v>
      </c>
      <c r="B42" t="s">
        <v>352</v>
      </c>
      <c r="C42" t="s">
        <v>82</v>
      </c>
      <c r="D42" t="s">
        <v>353</v>
      </c>
      <c r="E42" s="38">
        <f>21</f>
        <v>21</v>
      </c>
      <c r="F42" s="38">
        <v>21</v>
      </c>
      <c r="G42" s="38">
        <f t="shared" si="4"/>
        <v>0</v>
      </c>
      <c r="H42" s="38">
        <v>0</v>
      </c>
      <c r="I42" s="39" t="str">
        <f t="shared" si="5"/>
        <v>OK</v>
      </c>
      <c r="J42" t="s">
        <v>350</v>
      </c>
    </row>
    <row r="43" spans="1:10" x14ac:dyDescent="0.3">
      <c r="A43" t="s">
        <v>348</v>
      </c>
      <c r="B43" t="s">
        <v>354</v>
      </c>
      <c r="C43" t="s">
        <v>111</v>
      </c>
      <c r="D43" t="s">
        <v>355</v>
      </c>
      <c r="E43" s="38">
        <f>21</f>
        <v>21</v>
      </c>
      <c r="F43" s="38">
        <v>21</v>
      </c>
      <c r="G43" s="38">
        <f t="shared" si="4"/>
        <v>0</v>
      </c>
      <c r="H43" s="38">
        <v>0</v>
      </c>
      <c r="I43" s="39" t="str">
        <f t="shared" si="5"/>
        <v>OK</v>
      </c>
      <c r="J43" t="s">
        <v>350</v>
      </c>
    </row>
    <row r="44" spans="1:10" x14ac:dyDescent="0.3">
      <c r="A44" t="s">
        <v>348</v>
      </c>
      <c r="B44" t="s">
        <v>356</v>
      </c>
      <c r="C44" t="s">
        <v>111</v>
      </c>
      <c r="D44" t="s">
        <v>357</v>
      </c>
      <c r="E44" s="38">
        <f>21</f>
        <v>21</v>
      </c>
      <c r="F44" s="38">
        <v>21</v>
      </c>
      <c r="G44" s="38">
        <f t="shared" si="4"/>
        <v>0</v>
      </c>
      <c r="H44" s="38">
        <v>0</v>
      </c>
      <c r="I44" s="39" t="str">
        <f t="shared" si="5"/>
        <v>OK</v>
      </c>
      <c r="J44" t="s">
        <v>350</v>
      </c>
    </row>
    <row r="45" spans="1:10" x14ac:dyDescent="0.3">
      <c r="A45" t="s">
        <v>348</v>
      </c>
      <c r="B45" t="s">
        <v>358</v>
      </c>
      <c r="C45" t="s">
        <v>111</v>
      </c>
      <c r="D45" t="s">
        <v>359</v>
      </c>
      <c r="E45" s="38">
        <f>21</f>
        <v>21</v>
      </c>
      <c r="F45" s="38">
        <v>21</v>
      </c>
      <c r="G45" s="38">
        <f t="shared" si="4"/>
        <v>0</v>
      </c>
      <c r="H45" s="38">
        <v>0</v>
      </c>
      <c r="I45" s="39" t="str">
        <f t="shared" si="5"/>
        <v>OK</v>
      </c>
      <c r="J45" t="s">
        <v>350</v>
      </c>
    </row>
    <row r="46" spans="1:10" x14ac:dyDescent="0.3">
      <c r="A46" t="s">
        <v>348</v>
      </c>
      <c r="B46" t="s">
        <v>360</v>
      </c>
      <c r="C46" t="s">
        <v>111</v>
      </c>
      <c r="D46" t="s">
        <v>361</v>
      </c>
      <c r="E46" s="38">
        <f>21</f>
        <v>21</v>
      </c>
      <c r="F46" s="38">
        <v>21</v>
      </c>
      <c r="G46" s="38">
        <f t="shared" si="4"/>
        <v>0</v>
      </c>
      <c r="H46" s="38">
        <v>0</v>
      </c>
      <c r="I46" s="39" t="str">
        <f t="shared" si="5"/>
        <v>OK</v>
      </c>
      <c r="J46" t="s">
        <v>350</v>
      </c>
    </row>
    <row r="47" spans="1:10" x14ac:dyDescent="0.3">
      <c r="A47" t="s">
        <v>348</v>
      </c>
      <c r="B47" t="s">
        <v>362</v>
      </c>
      <c r="C47" t="s">
        <v>111</v>
      </c>
      <c r="D47" t="s">
        <v>363</v>
      </c>
      <c r="E47" s="38">
        <f>21</f>
        <v>21</v>
      </c>
      <c r="F47" s="38">
        <v>21</v>
      </c>
      <c r="G47" s="38">
        <f t="shared" si="4"/>
        <v>0</v>
      </c>
      <c r="H47" s="38">
        <v>0</v>
      </c>
      <c r="I47" s="39" t="str">
        <f t="shared" si="5"/>
        <v>OK</v>
      </c>
      <c r="J47" t="s">
        <v>350</v>
      </c>
    </row>
    <row r="48" spans="1:10" x14ac:dyDescent="0.3">
      <c r="A48" t="s">
        <v>348</v>
      </c>
      <c r="B48" t="s">
        <v>364</v>
      </c>
      <c r="C48" t="s">
        <v>111</v>
      </c>
      <c r="D48" t="s">
        <v>365</v>
      </c>
      <c r="E48" s="38">
        <f>21</f>
        <v>21</v>
      </c>
      <c r="F48" s="38">
        <v>21</v>
      </c>
      <c r="G48" s="38">
        <f t="shared" si="4"/>
        <v>0</v>
      </c>
      <c r="H48" s="38">
        <v>0</v>
      </c>
      <c r="I48" s="39" t="str">
        <f t="shared" si="5"/>
        <v>OK</v>
      </c>
      <c r="J48" t="s">
        <v>350</v>
      </c>
    </row>
    <row r="49" spans="1:10" x14ac:dyDescent="0.3">
      <c r="A49" t="s">
        <v>348</v>
      </c>
      <c r="B49" t="s">
        <v>366</v>
      </c>
      <c r="C49" t="s">
        <v>111</v>
      </c>
      <c r="D49" t="s">
        <v>367</v>
      </c>
      <c r="E49" s="38">
        <f>21</f>
        <v>21</v>
      </c>
      <c r="F49" s="38">
        <v>21</v>
      </c>
      <c r="G49" s="38">
        <f t="shared" si="4"/>
        <v>0</v>
      </c>
      <c r="H49" s="38">
        <v>0</v>
      </c>
      <c r="I49" s="39" t="str">
        <f t="shared" si="5"/>
        <v>OK</v>
      </c>
      <c r="J49" t="s">
        <v>350</v>
      </c>
    </row>
    <row r="50" spans="1:10" x14ac:dyDescent="0.3">
      <c r="A50" t="s">
        <v>348</v>
      </c>
      <c r="B50" t="s">
        <v>368</v>
      </c>
      <c r="C50" t="s">
        <v>111</v>
      </c>
      <c r="D50" t="s">
        <v>369</v>
      </c>
      <c r="E50" s="38">
        <f>21</f>
        <v>21</v>
      </c>
      <c r="F50" s="38">
        <v>21</v>
      </c>
      <c r="G50" s="38">
        <f t="shared" si="4"/>
        <v>0</v>
      </c>
      <c r="H50" s="38">
        <v>0</v>
      </c>
      <c r="I50" s="39" t="str">
        <f t="shared" si="5"/>
        <v>OK</v>
      </c>
      <c r="J50" t="s">
        <v>350</v>
      </c>
    </row>
    <row r="51" spans="1:10" x14ac:dyDescent="0.3">
      <c r="A51" t="s">
        <v>348</v>
      </c>
      <c r="B51" t="s">
        <v>370</v>
      </c>
      <c r="C51" t="s">
        <v>332</v>
      </c>
      <c r="D51" t="s">
        <v>371</v>
      </c>
      <c r="E51" s="38">
        <f>20</f>
        <v>20</v>
      </c>
      <c r="F51" s="38">
        <v>20</v>
      </c>
      <c r="G51" s="38">
        <f t="shared" si="4"/>
        <v>0</v>
      </c>
      <c r="H51" s="38">
        <v>0</v>
      </c>
      <c r="I51" s="39" t="str">
        <f t="shared" si="5"/>
        <v>OK</v>
      </c>
      <c r="J51" t="s">
        <v>350</v>
      </c>
    </row>
    <row r="52" spans="1:10" x14ac:dyDescent="0.3">
      <c r="A52" t="s">
        <v>348</v>
      </c>
      <c r="B52" t="s">
        <v>372</v>
      </c>
      <c r="C52" t="s">
        <v>332</v>
      </c>
      <c r="D52" t="s">
        <v>339</v>
      </c>
      <c r="E52" s="38">
        <f>21</f>
        <v>21</v>
      </c>
      <c r="F52" s="38">
        <v>21</v>
      </c>
      <c r="G52" s="38">
        <f t="shared" si="4"/>
        <v>0</v>
      </c>
      <c r="H52" s="38">
        <v>0</v>
      </c>
      <c r="I52" s="39" t="str">
        <f t="shared" si="5"/>
        <v>OK</v>
      </c>
      <c r="J52" t="s">
        <v>350</v>
      </c>
    </row>
    <row r="53" spans="1:10" x14ac:dyDescent="0.3">
      <c r="A53" t="s">
        <v>348</v>
      </c>
      <c r="B53" t="s">
        <v>373</v>
      </c>
      <c r="C53" t="s">
        <v>154</v>
      </c>
      <c r="D53" t="s">
        <v>309</v>
      </c>
      <c r="E53" s="38">
        <f>20</f>
        <v>20</v>
      </c>
      <c r="F53" s="38">
        <v>20</v>
      </c>
      <c r="G53" s="38">
        <f t="shared" si="4"/>
        <v>0</v>
      </c>
      <c r="H53" s="38">
        <v>0</v>
      </c>
      <c r="I53" s="39" t="str">
        <f t="shared" si="5"/>
        <v>OK</v>
      </c>
      <c r="J53" t="s">
        <v>374</v>
      </c>
    </row>
    <row r="54" spans="1:10" x14ac:dyDescent="0.3">
      <c r="A54" t="s">
        <v>348</v>
      </c>
      <c r="B54" t="s">
        <v>375</v>
      </c>
      <c r="C54" t="s">
        <v>154</v>
      </c>
      <c r="D54" t="s">
        <v>277</v>
      </c>
      <c r="E54" s="38">
        <f>21</f>
        <v>21</v>
      </c>
      <c r="F54" s="38">
        <v>21</v>
      </c>
      <c r="G54" s="38">
        <f t="shared" si="4"/>
        <v>0</v>
      </c>
      <c r="H54" s="38">
        <v>0</v>
      </c>
      <c r="I54" s="39" t="str">
        <f t="shared" si="5"/>
        <v>OK</v>
      </c>
      <c r="J54" t="s">
        <v>374</v>
      </c>
    </row>
    <row r="55" spans="1:10" x14ac:dyDescent="0.3">
      <c r="A55" t="s">
        <v>348</v>
      </c>
      <c r="B55" t="s">
        <v>376</v>
      </c>
      <c r="C55" t="s">
        <v>154</v>
      </c>
      <c r="D55" t="s">
        <v>314</v>
      </c>
      <c r="E55" s="38">
        <f>21</f>
        <v>21</v>
      </c>
      <c r="F55" s="38">
        <v>21</v>
      </c>
      <c r="G55" s="38">
        <f t="shared" si="4"/>
        <v>0</v>
      </c>
      <c r="H55" s="38">
        <v>0</v>
      </c>
      <c r="I55" s="39" t="str">
        <f t="shared" si="5"/>
        <v>OK</v>
      </c>
      <c r="J55" t="s">
        <v>374</v>
      </c>
    </row>
    <row r="56" spans="1:10" x14ac:dyDescent="0.3">
      <c r="A56" t="s">
        <v>348</v>
      </c>
      <c r="B56" t="s">
        <v>377</v>
      </c>
      <c r="C56" t="s">
        <v>154</v>
      </c>
      <c r="D56" t="s">
        <v>317</v>
      </c>
      <c r="E56" s="38">
        <f>21</f>
        <v>21</v>
      </c>
      <c r="F56" s="38">
        <v>21</v>
      </c>
      <c r="G56" s="38">
        <f t="shared" si="4"/>
        <v>0</v>
      </c>
      <c r="H56" s="38">
        <v>0</v>
      </c>
      <c r="I56" s="39" t="str">
        <f t="shared" si="5"/>
        <v>OK</v>
      </c>
      <c r="J56" t="s">
        <v>374</v>
      </c>
    </row>
    <row r="57" spans="1:10" x14ac:dyDescent="0.3">
      <c r="A57" t="s">
        <v>348</v>
      </c>
      <c r="B57" t="s">
        <v>378</v>
      </c>
      <c r="C57" t="s">
        <v>154</v>
      </c>
      <c r="D57" t="s">
        <v>320</v>
      </c>
      <c r="E57" s="38">
        <f>21</f>
        <v>21</v>
      </c>
      <c r="F57" s="38">
        <v>21</v>
      </c>
      <c r="G57" s="38">
        <f t="shared" si="4"/>
        <v>0</v>
      </c>
      <c r="H57" s="38">
        <v>0</v>
      </c>
      <c r="I57" s="39" t="str">
        <f t="shared" si="5"/>
        <v>OK</v>
      </c>
      <c r="J57" t="s">
        <v>374</v>
      </c>
    </row>
    <row r="58" spans="1:10" x14ac:dyDescent="0.3">
      <c r="A58" t="s">
        <v>348</v>
      </c>
      <c r="B58" t="s">
        <v>379</v>
      </c>
      <c r="C58" t="s">
        <v>154</v>
      </c>
      <c r="D58" t="s">
        <v>323</v>
      </c>
      <c r="E58" s="38">
        <f>20</f>
        <v>20</v>
      </c>
      <c r="F58" s="38">
        <v>20</v>
      </c>
      <c r="G58" s="38">
        <f t="shared" si="4"/>
        <v>0</v>
      </c>
      <c r="H58" s="38">
        <v>0</v>
      </c>
      <c r="I58" s="39" t="str">
        <f t="shared" si="5"/>
        <v>OK</v>
      </c>
      <c r="J58" t="s">
        <v>374</v>
      </c>
    </row>
    <row r="59" spans="1:10" x14ac:dyDescent="0.3">
      <c r="A59" t="s">
        <v>348</v>
      </c>
      <c r="B59" t="s">
        <v>380</v>
      </c>
      <c r="C59" t="s">
        <v>154</v>
      </c>
      <c r="D59" t="s">
        <v>326</v>
      </c>
      <c r="E59" s="38">
        <f>21</f>
        <v>21</v>
      </c>
      <c r="F59" s="38">
        <v>21</v>
      </c>
      <c r="G59" s="38">
        <f t="shared" si="4"/>
        <v>0</v>
      </c>
      <c r="H59" s="38">
        <v>0</v>
      </c>
      <c r="I59" s="39" t="str">
        <f t="shared" si="5"/>
        <v>OK</v>
      </c>
      <c r="J59" t="s">
        <v>374</v>
      </c>
    </row>
    <row r="60" spans="1:10" x14ac:dyDescent="0.3">
      <c r="A60" t="s">
        <v>348</v>
      </c>
      <c r="B60" t="s">
        <v>381</v>
      </c>
      <c r="C60" t="s">
        <v>154</v>
      </c>
      <c r="D60" t="s">
        <v>329</v>
      </c>
      <c r="E60" s="38">
        <f>21</f>
        <v>21</v>
      </c>
      <c r="F60" s="38">
        <v>21</v>
      </c>
      <c r="G60" s="38">
        <f t="shared" si="4"/>
        <v>0</v>
      </c>
      <c r="H60" s="38">
        <v>0</v>
      </c>
      <c r="I60" s="39" t="str">
        <f t="shared" si="5"/>
        <v>OK</v>
      </c>
      <c r="J60" t="s">
        <v>374</v>
      </c>
    </row>
    <row r="61" spans="1:10" x14ac:dyDescent="0.3">
      <c r="A61" t="s">
        <v>348</v>
      </c>
      <c r="B61" t="s">
        <v>382</v>
      </c>
      <c r="C61" t="s">
        <v>111</v>
      </c>
      <c r="D61" t="s">
        <v>383</v>
      </c>
      <c r="E61" s="38">
        <f>60</f>
        <v>60</v>
      </c>
      <c r="F61" s="38">
        <v>60</v>
      </c>
      <c r="G61" s="38">
        <f t="shared" si="4"/>
        <v>0</v>
      </c>
      <c r="H61" s="38">
        <v>0</v>
      </c>
      <c r="I61" s="39" t="str">
        <f t="shared" si="5"/>
        <v>OK</v>
      </c>
      <c r="J61" t="s">
        <v>384</v>
      </c>
    </row>
    <row r="62" spans="1:10" x14ac:dyDescent="0.3">
      <c r="A62" t="s">
        <v>348</v>
      </c>
      <c r="B62" t="s">
        <v>385</v>
      </c>
      <c r="C62" t="s">
        <v>111</v>
      </c>
      <c r="D62" t="s">
        <v>386</v>
      </c>
      <c r="E62" s="38">
        <f>60</f>
        <v>60</v>
      </c>
      <c r="F62" s="38">
        <v>60</v>
      </c>
      <c r="G62" s="38">
        <f t="shared" si="4"/>
        <v>0</v>
      </c>
      <c r="H62" s="38">
        <v>0</v>
      </c>
      <c r="I62" s="39" t="str">
        <f t="shared" si="5"/>
        <v>OK</v>
      </c>
      <c r="J62" t="s">
        <v>384</v>
      </c>
    </row>
    <row r="63" spans="1:10" x14ac:dyDescent="0.3">
      <c r="A63" t="s">
        <v>348</v>
      </c>
      <c r="B63" t="s">
        <v>387</v>
      </c>
      <c r="C63" t="s">
        <v>111</v>
      </c>
      <c r="D63" t="s">
        <v>388</v>
      </c>
      <c r="E63" s="38">
        <f>60</f>
        <v>60</v>
      </c>
      <c r="F63" s="38">
        <v>60</v>
      </c>
      <c r="G63" s="38">
        <f t="shared" si="4"/>
        <v>0</v>
      </c>
      <c r="H63" s="38">
        <v>0</v>
      </c>
      <c r="I63" s="39" t="str">
        <f t="shared" si="5"/>
        <v>OK</v>
      </c>
      <c r="J63" t="s">
        <v>384</v>
      </c>
    </row>
    <row r="64" spans="1:10" x14ac:dyDescent="0.3">
      <c r="A64" t="s">
        <v>348</v>
      </c>
      <c r="B64" t="s">
        <v>389</v>
      </c>
      <c r="C64" t="s">
        <v>111</v>
      </c>
      <c r="D64" t="s">
        <v>390</v>
      </c>
      <c r="E64" s="38">
        <f>60</f>
        <v>60</v>
      </c>
      <c r="F64" s="38">
        <v>60</v>
      </c>
      <c r="G64" s="38">
        <f t="shared" si="4"/>
        <v>0</v>
      </c>
      <c r="H64" s="38">
        <v>0</v>
      </c>
      <c r="I64" s="39" t="str">
        <f t="shared" si="5"/>
        <v>OK</v>
      </c>
      <c r="J64" t="s">
        <v>384</v>
      </c>
    </row>
    <row r="65" spans="1:10" x14ac:dyDescent="0.3">
      <c r="A65" t="s">
        <v>348</v>
      </c>
      <c r="B65" t="s">
        <v>391</v>
      </c>
      <c r="C65" t="s">
        <v>111</v>
      </c>
      <c r="D65" t="s">
        <v>392</v>
      </c>
      <c r="E65" s="38">
        <f>60</f>
        <v>60</v>
      </c>
      <c r="F65" s="38">
        <v>60</v>
      </c>
      <c r="G65" s="38">
        <f t="shared" si="4"/>
        <v>0</v>
      </c>
      <c r="H65" s="38">
        <v>0</v>
      </c>
      <c r="I65" s="39" t="str">
        <f t="shared" si="5"/>
        <v>OK</v>
      </c>
      <c r="J65" t="s">
        <v>384</v>
      </c>
    </row>
    <row r="66" spans="1:10" x14ac:dyDescent="0.3">
      <c r="A66" t="s">
        <v>348</v>
      </c>
      <c r="B66" t="s">
        <v>393</v>
      </c>
      <c r="C66" t="s">
        <v>217</v>
      </c>
      <c r="D66" t="s">
        <v>394</v>
      </c>
      <c r="E66" s="38">
        <f>21</f>
        <v>21</v>
      </c>
      <c r="F66" s="38">
        <v>21</v>
      </c>
      <c r="G66" s="38">
        <f t="shared" si="4"/>
        <v>0</v>
      </c>
      <c r="H66" s="38">
        <v>0</v>
      </c>
      <c r="I66" s="39" t="str">
        <f t="shared" si="5"/>
        <v>OK</v>
      </c>
      <c r="J66" t="s">
        <v>395</v>
      </c>
    </row>
    <row r="67" spans="1:10" x14ac:dyDescent="0.3">
      <c r="A67" t="s">
        <v>348</v>
      </c>
      <c r="B67" t="s">
        <v>396</v>
      </c>
      <c r="C67" t="s">
        <v>217</v>
      </c>
      <c r="D67" t="s">
        <v>397</v>
      </c>
      <c r="E67" s="38">
        <f>21</f>
        <v>21</v>
      </c>
      <c r="F67" s="38">
        <v>21</v>
      </c>
      <c r="G67" s="38">
        <f t="shared" si="4"/>
        <v>0</v>
      </c>
      <c r="H67" s="38">
        <v>0</v>
      </c>
      <c r="I67" s="39" t="str">
        <f t="shared" si="5"/>
        <v>OK</v>
      </c>
      <c r="J67" t="s">
        <v>395</v>
      </c>
    </row>
    <row r="68" spans="1:10" x14ac:dyDescent="0.3">
      <c r="A68" t="s">
        <v>348</v>
      </c>
      <c r="B68" t="s">
        <v>398</v>
      </c>
      <c r="C68" t="s">
        <v>217</v>
      </c>
      <c r="D68" t="s">
        <v>399</v>
      </c>
      <c r="E68" s="38">
        <f>21</f>
        <v>21</v>
      </c>
      <c r="F68" s="38">
        <v>21</v>
      </c>
      <c r="G68" s="38">
        <f t="shared" si="4"/>
        <v>0</v>
      </c>
      <c r="H68" s="38">
        <v>0</v>
      </c>
      <c r="I68" s="39" t="str">
        <f t="shared" si="5"/>
        <v>OK</v>
      </c>
      <c r="J68" t="s">
        <v>395</v>
      </c>
    </row>
    <row r="69" spans="1:10" x14ac:dyDescent="0.3">
      <c r="A69" t="s">
        <v>348</v>
      </c>
      <c r="B69" t="s">
        <v>400</v>
      </c>
      <c r="C69" t="s">
        <v>217</v>
      </c>
      <c r="D69" t="s">
        <v>401</v>
      </c>
      <c r="E69" s="38">
        <f>21</f>
        <v>21</v>
      </c>
      <c r="F69" s="38">
        <v>21</v>
      </c>
      <c r="G69" s="38">
        <f t="shared" si="4"/>
        <v>0</v>
      </c>
      <c r="H69" s="38">
        <v>0</v>
      </c>
      <c r="I69" s="39" t="str">
        <f t="shared" si="5"/>
        <v>OK</v>
      </c>
      <c r="J69" t="s">
        <v>395</v>
      </c>
    </row>
    <row r="70" spans="1:10" x14ac:dyDescent="0.3">
      <c r="A70" t="s">
        <v>348</v>
      </c>
      <c r="B70" t="s">
        <v>402</v>
      </c>
      <c r="C70" t="s">
        <v>217</v>
      </c>
      <c r="D70" t="s">
        <v>403</v>
      </c>
      <c r="E70" s="38">
        <f>21</f>
        <v>21</v>
      </c>
      <c r="F70" s="38">
        <v>21</v>
      </c>
      <c r="G70" s="38">
        <f t="shared" si="4"/>
        <v>0</v>
      </c>
      <c r="H70" s="38">
        <v>0</v>
      </c>
      <c r="I70" s="39" t="str">
        <f t="shared" si="5"/>
        <v>OK</v>
      </c>
      <c r="J70" t="s">
        <v>395</v>
      </c>
    </row>
    <row r="71" spans="1:10" x14ac:dyDescent="0.3">
      <c r="A71" t="s">
        <v>348</v>
      </c>
      <c r="B71" t="s">
        <v>404</v>
      </c>
      <c r="C71" t="s">
        <v>217</v>
      </c>
      <c r="D71" t="s">
        <v>405</v>
      </c>
      <c r="E71" s="38">
        <f>21</f>
        <v>21</v>
      </c>
      <c r="F71" s="38">
        <v>21</v>
      </c>
      <c r="G71" s="38">
        <f t="shared" si="4"/>
        <v>0</v>
      </c>
      <c r="H71" s="38">
        <v>0</v>
      </c>
      <c r="I71" s="39" t="str">
        <f t="shared" si="5"/>
        <v>OK</v>
      </c>
      <c r="J71" t="s">
        <v>395</v>
      </c>
    </row>
    <row r="72" spans="1:10" x14ac:dyDescent="0.3">
      <c r="A72" t="s">
        <v>348</v>
      </c>
      <c r="B72" t="s">
        <v>406</v>
      </c>
      <c r="C72" t="s">
        <v>217</v>
      </c>
      <c r="D72" t="s">
        <v>407</v>
      </c>
      <c r="E72" s="38">
        <f>20</f>
        <v>20</v>
      </c>
      <c r="F72" s="38">
        <v>20</v>
      </c>
      <c r="G72" s="38">
        <f t="shared" ref="G72:G103" si="6">E72-F72</f>
        <v>0</v>
      </c>
      <c r="H72" s="38">
        <v>0</v>
      </c>
      <c r="I72" s="39" t="str">
        <f t="shared" ref="I72:I103" si="7">IF(G72=0,"OK","FAIL")</f>
        <v>OK</v>
      </c>
      <c r="J72" t="s">
        <v>395</v>
      </c>
    </row>
    <row r="73" spans="1:10" x14ac:dyDescent="0.3">
      <c r="A73" t="s">
        <v>348</v>
      </c>
      <c r="B73" t="s">
        <v>408</v>
      </c>
      <c r="C73" t="s">
        <v>217</v>
      </c>
      <c r="D73" t="s">
        <v>409</v>
      </c>
      <c r="E73" s="38">
        <f>21</f>
        <v>21</v>
      </c>
      <c r="F73" s="38">
        <v>21</v>
      </c>
      <c r="G73" s="38">
        <f t="shared" si="6"/>
        <v>0</v>
      </c>
      <c r="H73" s="38">
        <v>0</v>
      </c>
      <c r="I73" s="39" t="str">
        <f t="shared" si="7"/>
        <v>OK</v>
      </c>
      <c r="J73" t="s">
        <v>395</v>
      </c>
    </row>
    <row r="74" spans="1:10" x14ac:dyDescent="0.3">
      <c r="A74" t="s">
        <v>348</v>
      </c>
      <c r="B74" t="s">
        <v>410</v>
      </c>
      <c r="C74" t="s">
        <v>217</v>
      </c>
      <c r="D74" t="s">
        <v>411</v>
      </c>
      <c r="E74" s="38">
        <f>20</f>
        <v>20</v>
      </c>
      <c r="F74" s="38">
        <v>20</v>
      </c>
      <c r="G74" s="38">
        <f t="shared" si="6"/>
        <v>0</v>
      </c>
      <c r="H74" s="38">
        <v>0</v>
      </c>
      <c r="I74" s="39" t="str">
        <f t="shared" si="7"/>
        <v>OK</v>
      </c>
      <c r="J74" t="s">
        <v>395</v>
      </c>
    </row>
    <row r="75" spans="1:10" x14ac:dyDescent="0.3">
      <c r="A75" t="s">
        <v>348</v>
      </c>
      <c r="B75" t="s">
        <v>412</v>
      </c>
      <c r="C75" t="s">
        <v>217</v>
      </c>
      <c r="D75" t="s">
        <v>413</v>
      </c>
      <c r="E75" s="38">
        <f>21</f>
        <v>21</v>
      </c>
      <c r="F75" s="38">
        <v>21</v>
      </c>
      <c r="G75" s="38">
        <f t="shared" si="6"/>
        <v>0</v>
      </c>
      <c r="H75" s="38">
        <v>0</v>
      </c>
      <c r="I75" s="39" t="str">
        <f t="shared" si="7"/>
        <v>OK</v>
      </c>
      <c r="J75" t="s">
        <v>395</v>
      </c>
    </row>
    <row r="76" spans="1:10" x14ac:dyDescent="0.3">
      <c r="A76" t="s">
        <v>348</v>
      </c>
      <c r="B76" t="s">
        <v>414</v>
      </c>
      <c r="C76" t="s">
        <v>217</v>
      </c>
      <c r="D76" t="s">
        <v>415</v>
      </c>
      <c r="E76" s="38">
        <f>21</f>
        <v>21</v>
      </c>
      <c r="F76" s="38">
        <v>21</v>
      </c>
      <c r="G76" s="38">
        <f t="shared" si="6"/>
        <v>0</v>
      </c>
      <c r="H76" s="38">
        <v>0</v>
      </c>
      <c r="I76" s="39" t="str">
        <f t="shared" si="7"/>
        <v>OK</v>
      </c>
      <c r="J76" t="s">
        <v>395</v>
      </c>
    </row>
    <row r="77" spans="1:10" x14ac:dyDescent="0.3">
      <c r="A77" t="s">
        <v>348</v>
      </c>
      <c r="B77" t="s">
        <v>416</v>
      </c>
      <c r="C77" t="s">
        <v>217</v>
      </c>
      <c r="D77" t="s">
        <v>417</v>
      </c>
      <c r="E77" s="38">
        <f>21</f>
        <v>21</v>
      </c>
      <c r="F77" s="38">
        <v>21</v>
      </c>
      <c r="G77" s="38">
        <f t="shared" si="6"/>
        <v>0</v>
      </c>
      <c r="H77" s="38">
        <v>0</v>
      </c>
      <c r="I77" s="39" t="str">
        <f t="shared" si="7"/>
        <v>OK</v>
      </c>
      <c r="J77" t="s">
        <v>395</v>
      </c>
    </row>
    <row r="78" spans="1:10" x14ac:dyDescent="0.3">
      <c r="A78" t="s">
        <v>348</v>
      </c>
      <c r="B78" t="s">
        <v>418</v>
      </c>
      <c r="C78" t="s">
        <v>217</v>
      </c>
      <c r="D78" t="s">
        <v>419</v>
      </c>
      <c r="E78" s="38">
        <f>21</f>
        <v>21</v>
      </c>
      <c r="F78" s="38">
        <v>21</v>
      </c>
      <c r="G78" s="38">
        <f t="shared" si="6"/>
        <v>0</v>
      </c>
      <c r="H78" s="38">
        <v>0</v>
      </c>
      <c r="I78" s="39" t="str">
        <f t="shared" si="7"/>
        <v>OK</v>
      </c>
      <c r="J78" t="s">
        <v>395</v>
      </c>
    </row>
    <row r="79" spans="1:10" x14ac:dyDescent="0.3">
      <c r="A79" t="s">
        <v>348</v>
      </c>
      <c r="B79" t="s">
        <v>420</v>
      </c>
      <c r="C79" t="s">
        <v>217</v>
      </c>
      <c r="D79" t="s">
        <v>421</v>
      </c>
      <c r="E79" s="38">
        <f>21</f>
        <v>21</v>
      </c>
      <c r="F79" s="38">
        <v>21</v>
      </c>
      <c r="G79" s="38">
        <f t="shared" si="6"/>
        <v>0</v>
      </c>
      <c r="H79" s="38">
        <v>0</v>
      </c>
      <c r="I79" s="39" t="str">
        <f t="shared" si="7"/>
        <v>OK</v>
      </c>
      <c r="J79" t="s">
        <v>395</v>
      </c>
    </row>
    <row r="80" spans="1:10" x14ac:dyDescent="0.3">
      <c r="A80" t="s">
        <v>348</v>
      </c>
      <c r="B80" t="s">
        <v>422</v>
      </c>
      <c r="C80" t="s">
        <v>217</v>
      </c>
      <c r="D80" t="s">
        <v>423</v>
      </c>
      <c r="E80" s="38">
        <f>21</f>
        <v>21</v>
      </c>
      <c r="F80" s="38">
        <v>21</v>
      </c>
      <c r="G80" s="38">
        <f t="shared" si="6"/>
        <v>0</v>
      </c>
      <c r="H80" s="38">
        <v>0</v>
      </c>
      <c r="I80" s="39" t="str">
        <f t="shared" si="7"/>
        <v>OK</v>
      </c>
      <c r="J80" t="s">
        <v>395</v>
      </c>
    </row>
    <row r="81" spans="1:10" x14ac:dyDescent="0.3">
      <c r="A81" t="s">
        <v>348</v>
      </c>
      <c r="B81" t="s">
        <v>424</v>
      </c>
      <c r="C81" t="s">
        <v>217</v>
      </c>
      <c r="D81" t="s">
        <v>425</v>
      </c>
      <c r="E81" s="38">
        <f>21</f>
        <v>21</v>
      </c>
      <c r="F81" s="38">
        <v>21</v>
      </c>
      <c r="G81" s="38">
        <f t="shared" si="6"/>
        <v>0</v>
      </c>
      <c r="H81" s="38">
        <v>0</v>
      </c>
      <c r="I81" s="39" t="str">
        <f t="shared" si="7"/>
        <v>OK</v>
      </c>
      <c r="J81" t="s">
        <v>395</v>
      </c>
    </row>
    <row r="82" spans="1:10" x14ac:dyDescent="0.3">
      <c r="A82" t="s">
        <v>348</v>
      </c>
      <c r="B82" t="s">
        <v>426</v>
      </c>
      <c r="C82" t="s">
        <v>217</v>
      </c>
      <c r="D82" t="s">
        <v>427</v>
      </c>
      <c r="E82" s="38">
        <f>21</f>
        <v>21</v>
      </c>
      <c r="F82" s="38">
        <v>21</v>
      </c>
      <c r="G82" s="38">
        <f t="shared" si="6"/>
        <v>0</v>
      </c>
      <c r="H82" s="38">
        <v>0</v>
      </c>
      <c r="I82" s="39" t="str">
        <f t="shared" si="7"/>
        <v>OK</v>
      </c>
      <c r="J82" t="s">
        <v>395</v>
      </c>
    </row>
    <row r="83" spans="1:10" x14ac:dyDescent="0.3">
      <c r="A83" t="s">
        <v>348</v>
      </c>
      <c r="B83" t="s">
        <v>428</v>
      </c>
      <c r="C83" t="s">
        <v>217</v>
      </c>
      <c r="D83" t="s">
        <v>429</v>
      </c>
      <c r="E83" s="38">
        <f>21</f>
        <v>21</v>
      </c>
      <c r="F83" s="38">
        <v>21</v>
      </c>
      <c r="G83" s="38">
        <f t="shared" si="6"/>
        <v>0</v>
      </c>
      <c r="H83" s="38">
        <v>0</v>
      </c>
      <c r="I83" s="39" t="str">
        <f t="shared" si="7"/>
        <v>OK</v>
      </c>
      <c r="J83" t="s">
        <v>395</v>
      </c>
    </row>
    <row r="84" spans="1:10" x14ac:dyDescent="0.3">
      <c r="A84" t="s">
        <v>348</v>
      </c>
      <c r="B84" t="s">
        <v>430</v>
      </c>
      <c r="C84" t="s">
        <v>217</v>
      </c>
      <c r="D84" t="s">
        <v>431</v>
      </c>
      <c r="E84" s="38">
        <f>21</f>
        <v>21</v>
      </c>
      <c r="F84" s="38">
        <v>21</v>
      </c>
      <c r="G84" s="38">
        <f t="shared" si="6"/>
        <v>0</v>
      </c>
      <c r="H84" s="38">
        <v>0</v>
      </c>
      <c r="I84" s="39" t="str">
        <f t="shared" si="7"/>
        <v>OK</v>
      </c>
      <c r="J84" t="s">
        <v>395</v>
      </c>
    </row>
    <row r="85" spans="1:10" x14ac:dyDescent="0.3">
      <c r="A85" t="s">
        <v>348</v>
      </c>
      <c r="B85" t="s">
        <v>432</v>
      </c>
      <c r="C85" t="s">
        <v>217</v>
      </c>
      <c r="D85" t="s">
        <v>433</v>
      </c>
      <c r="E85" s="38">
        <f>21</f>
        <v>21</v>
      </c>
      <c r="F85" s="38">
        <v>21</v>
      </c>
      <c r="G85" s="38">
        <f t="shared" si="6"/>
        <v>0</v>
      </c>
      <c r="H85" s="38">
        <v>0</v>
      </c>
      <c r="I85" s="39" t="str">
        <f t="shared" si="7"/>
        <v>OK</v>
      </c>
      <c r="J85" t="s">
        <v>395</v>
      </c>
    </row>
    <row r="86" spans="1:10" x14ac:dyDescent="0.3">
      <c r="A86" t="s">
        <v>348</v>
      </c>
      <c r="B86" t="s">
        <v>434</v>
      </c>
      <c r="C86" t="s">
        <v>217</v>
      </c>
      <c r="D86" t="s">
        <v>435</v>
      </c>
      <c r="E86" s="38">
        <f>21</f>
        <v>21</v>
      </c>
      <c r="F86" s="38">
        <v>21</v>
      </c>
      <c r="G86" s="38">
        <f t="shared" si="6"/>
        <v>0</v>
      </c>
      <c r="H86" s="38">
        <v>0</v>
      </c>
      <c r="I86" s="39" t="str">
        <f t="shared" si="7"/>
        <v>OK</v>
      </c>
      <c r="J86" t="s">
        <v>395</v>
      </c>
    </row>
    <row r="87" spans="1:10" x14ac:dyDescent="0.3">
      <c r="A87" t="s">
        <v>348</v>
      </c>
      <c r="B87" t="s">
        <v>436</v>
      </c>
      <c r="C87" t="s">
        <v>217</v>
      </c>
      <c r="D87" t="s">
        <v>437</v>
      </c>
      <c r="E87" s="38">
        <f>21</f>
        <v>21</v>
      </c>
      <c r="F87" s="38">
        <v>21</v>
      </c>
      <c r="G87" s="38">
        <f t="shared" si="6"/>
        <v>0</v>
      </c>
      <c r="H87" s="38">
        <v>0</v>
      </c>
      <c r="I87" s="39" t="str">
        <f t="shared" si="7"/>
        <v>OK</v>
      </c>
      <c r="J87" t="s">
        <v>395</v>
      </c>
    </row>
    <row r="88" spans="1:10" x14ac:dyDescent="0.3">
      <c r="A88" t="s">
        <v>348</v>
      </c>
      <c r="B88" t="s">
        <v>438</v>
      </c>
      <c r="C88" t="s">
        <v>217</v>
      </c>
      <c r="D88" t="s">
        <v>439</v>
      </c>
      <c r="E88" s="38">
        <f>21</f>
        <v>21</v>
      </c>
      <c r="F88" s="38">
        <v>21</v>
      </c>
      <c r="G88" s="38">
        <f t="shared" si="6"/>
        <v>0</v>
      </c>
      <c r="H88" s="38">
        <v>0</v>
      </c>
      <c r="I88" s="39" t="str">
        <f t="shared" si="7"/>
        <v>OK</v>
      </c>
      <c r="J88" t="s">
        <v>395</v>
      </c>
    </row>
    <row r="89" spans="1:10" x14ac:dyDescent="0.3">
      <c r="A89" t="s">
        <v>348</v>
      </c>
      <c r="B89" t="s">
        <v>440</v>
      </c>
      <c r="C89" t="s">
        <v>217</v>
      </c>
      <c r="D89" t="s">
        <v>441</v>
      </c>
      <c r="E89" s="38">
        <f>21</f>
        <v>21</v>
      </c>
      <c r="F89" s="38">
        <v>21</v>
      </c>
      <c r="G89" s="38">
        <f t="shared" si="6"/>
        <v>0</v>
      </c>
      <c r="H89" s="38">
        <v>0</v>
      </c>
      <c r="I89" s="39" t="str">
        <f t="shared" si="7"/>
        <v>OK</v>
      </c>
      <c r="J89" t="s">
        <v>395</v>
      </c>
    </row>
    <row r="90" spans="1:10" x14ac:dyDescent="0.3">
      <c r="A90" t="s">
        <v>348</v>
      </c>
      <c r="B90" t="s">
        <v>442</v>
      </c>
      <c r="C90" t="s">
        <v>217</v>
      </c>
      <c r="D90" t="s">
        <v>443</v>
      </c>
      <c r="E90" s="38">
        <f>21</f>
        <v>21</v>
      </c>
      <c r="F90" s="38">
        <v>21</v>
      </c>
      <c r="G90" s="38">
        <f t="shared" si="6"/>
        <v>0</v>
      </c>
      <c r="H90" s="38">
        <v>0</v>
      </c>
      <c r="I90" s="39" t="str">
        <f t="shared" si="7"/>
        <v>OK</v>
      </c>
      <c r="J90" t="s">
        <v>395</v>
      </c>
    </row>
    <row r="91" spans="1:10" x14ac:dyDescent="0.3">
      <c r="A91" t="s">
        <v>348</v>
      </c>
      <c r="B91" t="s">
        <v>444</v>
      </c>
      <c r="C91" t="s">
        <v>217</v>
      </c>
      <c r="D91" t="s">
        <v>445</v>
      </c>
      <c r="E91" s="38">
        <f>21</f>
        <v>21</v>
      </c>
      <c r="F91" s="38">
        <v>21</v>
      </c>
      <c r="G91" s="38">
        <f t="shared" si="6"/>
        <v>0</v>
      </c>
      <c r="H91" s="38">
        <v>0</v>
      </c>
      <c r="I91" s="39" t="str">
        <f t="shared" si="7"/>
        <v>OK</v>
      </c>
      <c r="J91" t="s">
        <v>395</v>
      </c>
    </row>
    <row r="92" spans="1:10" x14ac:dyDescent="0.3">
      <c r="A92" t="s">
        <v>348</v>
      </c>
      <c r="B92" t="s">
        <v>446</v>
      </c>
      <c r="C92" t="s">
        <v>217</v>
      </c>
      <c r="D92" t="s">
        <v>447</v>
      </c>
      <c r="E92" s="38">
        <f>21</f>
        <v>21</v>
      </c>
      <c r="F92" s="38">
        <v>21</v>
      </c>
      <c r="G92" s="38">
        <f t="shared" si="6"/>
        <v>0</v>
      </c>
      <c r="H92" s="38">
        <v>0</v>
      </c>
      <c r="I92" s="39" t="str">
        <f t="shared" si="7"/>
        <v>OK</v>
      </c>
      <c r="J92" t="s">
        <v>395</v>
      </c>
    </row>
    <row r="93" spans="1:10" x14ac:dyDescent="0.3">
      <c r="A93" t="s">
        <v>348</v>
      </c>
      <c r="B93" t="s">
        <v>448</v>
      </c>
      <c r="C93" t="s">
        <v>217</v>
      </c>
      <c r="D93" t="s">
        <v>449</v>
      </c>
      <c r="E93" s="38">
        <f>21</f>
        <v>21</v>
      </c>
      <c r="F93" s="38">
        <v>21</v>
      </c>
      <c r="G93" s="38">
        <f t="shared" si="6"/>
        <v>0</v>
      </c>
      <c r="H93" s="38">
        <v>0</v>
      </c>
      <c r="I93" s="39" t="str">
        <f t="shared" si="7"/>
        <v>OK</v>
      </c>
      <c r="J93" t="s">
        <v>395</v>
      </c>
    </row>
    <row r="94" spans="1:10" x14ac:dyDescent="0.3">
      <c r="A94" t="s">
        <v>348</v>
      </c>
      <c r="B94" t="s">
        <v>450</v>
      </c>
      <c r="C94" t="s">
        <v>217</v>
      </c>
      <c r="D94" t="s">
        <v>451</v>
      </c>
      <c r="E94" s="38">
        <f>21</f>
        <v>21</v>
      </c>
      <c r="F94" s="38">
        <v>21</v>
      </c>
      <c r="G94" s="38">
        <f t="shared" si="6"/>
        <v>0</v>
      </c>
      <c r="H94" s="38">
        <v>0</v>
      </c>
      <c r="I94" s="39" t="str">
        <f t="shared" si="7"/>
        <v>OK</v>
      </c>
      <c r="J94" t="s">
        <v>395</v>
      </c>
    </row>
    <row r="95" spans="1:10" x14ac:dyDescent="0.3">
      <c r="A95" t="s">
        <v>348</v>
      </c>
      <c r="B95" t="s">
        <v>452</v>
      </c>
      <c r="C95" t="s">
        <v>217</v>
      </c>
      <c r="D95" t="s">
        <v>453</v>
      </c>
      <c r="E95" s="38">
        <f>21</f>
        <v>21</v>
      </c>
      <c r="F95" s="38">
        <v>21</v>
      </c>
      <c r="G95" s="38">
        <f t="shared" si="6"/>
        <v>0</v>
      </c>
      <c r="H95" s="38">
        <v>0</v>
      </c>
      <c r="I95" s="39" t="str">
        <f t="shared" si="7"/>
        <v>OK</v>
      </c>
      <c r="J95" t="s">
        <v>395</v>
      </c>
    </row>
    <row r="96" spans="1:10" x14ac:dyDescent="0.3">
      <c r="A96" t="s">
        <v>348</v>
      </c>
      <c r="B96" t="s">
        <v>454</v>
      </c>
      <c r="C96" t="s">
        <v>217</v>
      </c>
      <c r="D96" t="s">
        <v>455</v>
      </c>
      <c r="E96" s="38">
        <f>21</f>
        <v>21</v>
      </c>
      <c r="F96" s="38">
        <v>21</v>
      </c>
      <c r="G96" s="38">
        <f t="shared" si="6"/>
        <v>0</v>
      </c>
      <c r="H96" s="38">
        <v>0</v>
      </c>
      <c r="I96" s="39" t="str">
        <f t="shared" si="7"/>
        <v>OK</v>
      </c>
      <c r="J96" t="s">
        <v>395</v>
      </c>
    </row>
    <row r="97" spans="1:10" x14ac:dyDescent="0.3">
      <c r="A97" t="s">
        <v>348</v>
      </c>
      <c r="B97" t="s">
        <v>456</v>
      </c>
      <c r="C97" t="s">
        <v>217</v>
      </c>
      <c r="D97" t="s">
        <v>457</v>
      </c>
      <c r="E97" s="38">
        <f>21</f>
        <v>21</v>
      </c>
      <c r="F97" s="38">
        <v>21</v>
      </c>
      <c r="G97" s="38">
        <f t="shared" si="6"/>
        <v>0</v>
      </c>
      <c r="H97" s="38">
        <v>0</v>
      </c>
      <c r="I97" s="39" t="str">
        <f t="shared" si="7"/>
        <v>OK</v>
      </c>
      <c r="J97" t="s">
        <v>395</v>
      </c>
    </row>
    <row r="98" spans="1:10" x14ac:dyDescent="0.3">
      <c r="A98" t="s">
        <v>348</v>
      </c>
      <c r="B98" t="s">
        <v>458</v>
      </c>
      <c r="C98" t="s">
        <v>217</v>
      </c>
      <c r="D98" t="s">
        <v>459</v>
      </c>
      <c r="E98" s="38">
        <f>21</f>
        <v>21</v>
      </c>
      <c r="F98" s="38">
        <v>21</v>
      </c>
      <c r="G98" s="38">
        <f t="shared" si="6"/>
        <v>0</v>
      </c>
      <c r="H98" s="38">
        <v>0</v>
      </c>
      <c r="I98" s="39" t="str">
        <f t="shared" si="7"/>
        <v>OK</v>
      </c>
      <c r="J98" t="s">
        <v>395</v>
      </c>
    </row>
    <row r="99" spans="1:10" x14ac:dyDescent="0.3">
      <c r="A99" t="s">
        <v>348</v>
      </c>
      <c r="B99" t="s">
        <v>460</v>
      </c>
      <c r="C99" t="s">
        <v>217</v>
      </c>
      <c r="D99" t="s">
        <v>461</v>
      </c>
      <c r="E99" s="38">
        <f>21</f>
        <v>21</v>
      </c>
      <c r="F99" s="38">
        <v>21</v>
      </c>
      <c r="G99" s="38">
        <f t="shared" si="6"/>
        <v>0</v>
      </c>
      <c r="H99" s="38">
        <v>0</v>
      </c>
      <c r="I99" s="39" t="str">
        <f t="shared" si="7"/>
        <v>OK</v>
      </c>
      <c r="J99" t="s">
        <v>395</v>
      </c>
    </row>
    <row r="100" spans="1:10" x14ac:dyDescent="0.3">
      <c r="A100" t="s">
        <v>348</v>
      </c>
      <c r="B100" t="s">
        <v>462</v>
      </c>
      <c r="C100" t="s">
        <v>217</v>
      </c>
      <c r="D100" t="s">
        <v>463</v>
      </c>
      <c r="E100" s="38">
        <f>21</f>
        <v>21</v>
      </c>
      <c r="F100" s="38">
        <v>21</v>
      </c>
      <c r="G100" s="38">
        <f t="shared" si="6"/>
        <v>0</v>
      </c>
      <c r="H100" s="38">
        <v>0</v>
      </c>
      <c r="I100" s="39" t="str">
        <f t="shared" si="7"/>
        <v>OK</v>
      </c>
      <c r="J100" t="s">
        <v>395</v>
      </c>
    </row>
    <row r="101" spans="1:10" x14ac:dyDescent="0.3">
      <c r="A101" t="s">
        <v>348</v>
      </c>
      <c r="B101" t="s">
        <v>464</v>
      </c>
      <c r="C101" t="s">
        <v>217</v>
      </c>
      <c r="D101" t="s">
        <v>465</v>
      </c>
      <c r="E101" s="38">
        <f>21</f>
        <v>21</v>
      </c>
      <c r="F101" s="38">
        <v>21</v>
      </c>
      <c r="G101" s="38">
        <f t="shared" si="6"/>
        <v>0</v>
      </c>
      <c r="H101" s="38">
        <v>0</v>
      </c>
      <c r="I101" s="39" t="str">
        <f t="shared" si="7"/>
        <v>OK</v>
      </c>
      <c r="J101" t="s">
        <v>395</v>
      </c>
    </row>
    <row r="102" spans="1:10" x14ac:dyDescent="0.3">
      <c r="A102" t="s">
        <v>348</v>
      </c>
      <c r="B102" t="s">
        <v>466</v>
      </c>
      <c r="C102" t="s">
        <v>217</v>
      </c>
      <c r="D102" t="s">
        <v>467</v>
      </c>
      <c r="E102" s="38">
        <f>21</f>
        <v>21</v>
      </c>
      <c r="F102" s="38">
        <v>21</v>
      </c>
      <c r="G102" s="38">
        <f t="shared" si="6"/>
        <v>0</v>
      </c>
      <c r="H102" s="38">
        <v>0</v>
      </c>
      <c r="I102" s="39" t="str">
        <f t="shared" si="7"/>
        <v>OK</v>
      </c>
      <c r="J102" t="s">
        <v>395</v>
      </c>
    </row>
    <row r="103" spans="1:10" x14ac:dyDescent="0.3">
      <c r="A103" t="s">
        <v>348</v>
      </c>
      <c r="B103" t="s">
        <v>468</v>
      </c>
      <c r="C103" t="s">
        <v>217</v>
      </c>
      <c r="D103" t="s">
        <v>469</v>
      </c>
      <c r="E103" s="38">
        <f>21</f>
        <v>21</v>
      </c>
      <c r="F103" s="38">
        <v>21</v>
      </c>
      <c r="G103" s="38">
        <f t="shared" si="6"/>
        <v>0</v>
      </c>
      <c r="H103" s="38">
        <v>0</v>
      </c>
      <c r="I103" s="39" t="str">
        <f t="shared" si="7"/>
        <v>OK</v>
      </c>
      <c r="J103" t="s">
        <v>395</v>
      </c>
    </row>
    <row r="104" spans="1:10" x14ac:dyDescent="0.3">
      <c r="A104" t="s">
        <v>348</v>
      </c>
      <c r="B104" t="s">
        <v>470</v>
      </c>
      <c r="C104" t="s">
        <v>217</v>
      </c>
      <c r="D104" t="s">
        <v>471</v>
      </c>
      <c r="E104" s="38">
        <f>21</f>
        <v>21</v>
      </c>
      <c r="F104" s="38">
        <v>21</v>
      </c>
      <c r="G104" s="38">
        <f t="shared" ref="G104:G135" si="8">E104-F104</f>
        <v>0</v>
      </c>
      <c r="H104" s="38">
        <v>0</v>
      </c>
      <c r="I104" s="39" t="str">
        <f t="shared" ref="I104:I135" si="9">IF(G104=0,"OK","FAIL")</f>
        <v>OK</v>
      </c>
      <c r="J104" t="s">
        <v>395</v>
      </c>
    </row>
    <row r="105" spans="1:10" x14ac:dyDescent="0.3">
      <c r="A105" t="s">
        <v>348</v>
      </c>
      <c r="B105" t="s">
        <v>472</v>
      </c>
      <c r="C105" t="s">
        <v>0</v>
      </c>
      <c r="D105" t="s">
        <v>473</v>
      </c>
      <c r="E105" s="38">
        <f>21</f>
        <v>21</v>
      </c>
      <c r="F105" s="38">
        <v>21</v>
      </c>
      <c r="G105" s="38">
        <f t="shared" si="8"/>
        <v>0</v>
      </c>
      <c r="H105" s="38">
        <v>0</v>
      </c>
      <c r="I105" s="39" t="str">
        <f t="shared" si="9"/>
        <v>OK</v>
      </c>
      <c r="J105" t="s">
        <v>474</v>
      </c>
    </row>
    <row r="106" spans="1:10" x14ac:dyDescent="0.3">
      <c r="A106" t="s">
        <v>348</v>
      </c>
      <c r="B106" t="s">
        <v>475</v>
      </c>
      <c r="C106" t="s">
        <v>0</v>
      </c>
      <c r="D106" t="s">
        <v>476</v>
      </c>
      <c r="E106" s="38">
        <f>21</f>
        <v>21</v>
      </c>
      <c r="F106" s="38">
        <v>21</v>
      </c>
      <c r="G106" s="38">
        <f t="shared" si="8"/>
        <v>0</v>
      </c>
      <c r="H106" s="38">
        <v>0</v>
      </c>
      <c r="I106" s="39" t="str">
        <f t="shared" si="9"/>
        <v>OK</v>
      </c>
      <c r="J106" t="s">
        <v>474</v>
      </c>
    </row>
    <row r="107" spans="1:10" x14ac:dyDescent="0.3">
      <c r="A107" t="s">
        <v>348</v>
      </c>
      <c r="B107" t="s">
        <v>477</v>
      </c>
      <c r="C107" t="s">
        <v>0</v>
      </c>
      <c r="D107" t="s">
        <v>478</v>
      </c>
      <c r="E107" s="38">
        <f>21</f>
        <v>21</v>
      </c>
      <c r="F107" s="38">
        <v>21</v>
      </c>
      <c r="G107" s="38">
        <f t="shared" si="8"/>
        <v>0</v>
      </c>
      <c r="H107" s="38">
        <v>0</v>
      </c>
      <c r="I107" s="39" t="str">
        <f t="shared" si="9"/>
        <v>OK</v>
      </c>
      <c r="J107" t="s">
        <v>474</v>
      </c>
    </row>
    <row r="108" spans="1:10" x14ac:dyDescent="0.3">
      <c r="A108" t="s">
        <v>348</v>
      </c>
      <c r="B108" t="s">
        <v>479</v>
      </c>
      <c r="C108" t="s">
        <v>0</v>
      </c>
      <c r="D108" t="s">
        <v>480</v>
      </c>
      <c r="E108" s="38">
        <f>21</f>
        <v>21</v>
      </c>
      <c r="F108" s="38">
        <v>21</v>
      </c>
      <c r="G108" s="38">
        <f t="shared" si="8"/>
        <v>0</v>
      </c>
      <c r="H108" s="38">
        <v>0</v>
      </c>
      <c r="I108" s="39" t="str">
        <f t="shared" si="9"/>
        <v>OK</v>
      </c>
      <c r="J108" t="s">
        <v>474</v>
      </c>
    </row>
    <row r="109" spans="1:10" x14ac:dyDescent="0.3">
      <c r="A109" t="s">
        <v>348</v>
      </c>
      <c r="B109" t="s">
        <v>481</v>
      </c>
      <c r="C109" t="s">
        <v>0</v>
      </c>
      <c r="D109" t="s">
        <v>482</v>
      </c>
      <c r="E109" s="38">
        <f>21</f>
        <v>21</v>
      </c>
      <c r="F109" s="38">
        <v>21</v>
      </c>
      <c r="G109" s="38">
        <f t="shared" si="8"/>
        <v>0</v>
      </c>
      <c r="H109" s="38">
        <v>0</v>
      </c>
      <c r="I109" s="39" t="str">
        <f t="shared" si="9"/>
        <v>OK</v>
      </c>
      <c r="J109" t="s">
        <v>474</v>
      </c>
    </row>
    <row r="110" spans="1:10" x14ac:dyDescent="0.3">
      <c r="A110" t="s">
        <v>348</v>
      </c>
      <c r="B110" t="s">
        <v>483</v>
      </c>
      <c r="C110" t="s">
        <v>0</v>
      </c>
      <c r="D110" t="s">
        <v>484</v>
      </c>
      <c r="E110" s="38">
        <f>21</f>
        <v>21</v>
      </c>
      <c r="F110" s="38">
        <v>21</v>
      </c>
      <c r="G110" s="38">
        <f t="shared" si="8"/>
        <v>0</v>
      </c>
      <c r="H110" s="38">
        <v>0</v>
      </c>
      <c r="I110" s="39" t="str">
        <f t="shared" si="9"/>
        <v>OK</v>
      </c>
      <c r="J110" t="s">
        <v>474</v>
      </c>
    </row>
    <row r="111" spans="1:10" x14ac:dyDescent="0.3">
      <c r="A111" t="s">
        <v>348</v>
      </c>
      <c r="B111" t="s">
        <v>485</v>
      </c>
      <c r="C111" t="s">
        <v>0</v>
      </c>
      <c r="D111" t="s">
        <v>486</v>
      </c>
      <c r="E111" s="38">
        <f>21</f>
        <v>21</v>
      </c>
      <c r="F111" s="38">
        <v>21</v>
      </c>
      <c r="G111" s="38">
        <f t="shared" si="8"/>
        <v>0</v>
      </c>
      <c r="H111" s="38">
        <v>0</v>
      </c>
      <c r="I111" s="39" t="str">
        <f t="shared" si="9"/>
        <v>OK</v>
      </c>
      <c r="J111" t="s">
        <v>474</v>
      </c>
    </row>
    <row r="112" spans="1:10" x14ac:dyDescent="0.3">
      <c r="A112" t="s">
        <v>348</v>
      </c>
      <c r="B112" t="s">
        <v>487</v>
      </c>
      <c r="C112" t="s">
        <v>0</v>
      </c>
      <c r="D112" t="s">
        <v>488</v>
      </c>
      <c r="E112" s="38">
        <f>21</f>
        <v>21</v>
      </c>
      <c r="F112" s="38">
        <v>21</v>
      </c>
      <c r="G112" s="38">
        <f t="shared" si="8"/>
        <v>0</v>
      </c>
      <c r="H112" s="38">
        <v>0</v>
      </c>
      <c r="I112" s="39" t="str">
        <f t="shared" si="9"/>
        <v>OK</v>
      </c>
      <c r="J112" t="s">
        <v>474</v>
      </c>
    </row>
    <row r="113" spans="1:10" x14ac:dyDescent="0.3">
      <c r="A113" t="s">
        <v>348</v>
      </c>
      <c r="B113" t="s">
        <v>489</v>
      </c>
      <c r="C113" t="s">
        <v>0</v>
      </c>
      <c r="D113" t="s">
        <v>490</v>
      </c>
      <c r="E113" s="38">
        <f>21</f>
        <v>21</v>
      </c>
      <c r="F113" s="38">
        <v>21</v>
      </c>
      <c r="G113" s="38">
        <f t="shared" si="8"/>
        <v>0</v>
      </c>
      <c r="H113" s="38">
        <v>0</v>
      </c>
      <c r="I113" s="39" t="str">
        <f t="shared" si="9"/>
        <v>OK</v>
      </c>
      <c r="J113" t="s">
        <v>474</v>
      </c>
    </row>
    <row r="114" spans="1:10" x14ac:dyDescent="0.3">
      <c r="A114" t="s">
        <v>348</v>
      </c>
      <c r="B114" t="s">
        <v>491</v>
      </c>
      <c r="C114" t="s">
        <v>0</v>
      </c>
      <c r="D114" t="s">
        <v>492</v>
      </c>
      <c r="E114" s="38">
        <f>21</f>
        <v>21</v>
      </c>
      <c r="F114" s="38">
        <v>21</v>
      </c>
      <c r="G114" s="38">
        <f t="shared" si="8"/>
        <v>0</v>
      </c>
      <c r="H114" s="38">
        <v>0</v>
      </c>
      <c r="I114" s="39" t="str">
        <f t="shared" si="9"/>
        <v>OK</v>
      </c>
      <c r="J114" t="s">
        <v>474</v>
      </c>
    </row>
    <row r="115" spans="1:10" x14ac:dyDescent="0.3">
      <c r="A115" t="s">
        <v>348</v>
      </c>
      <c r="B115" t="s">
        <v>493</v>
      </c>
      <c r="C115" t="s">
        <v>0</v>
      </c>
      <c r="D115" t="s">
        <v>494</v>
      </c>
      <c r="E115" s="38">
        <f>21</f>
        <v>21</v>
      </c>
      <c r="F115" s="38">
        <v>21</v>
      </c>
      <c r="G115" s="38">
        <f t="shared" si="8"/>
        <v>0</v>
      </c>
      <c r="H115" s="38">
        <v>0</v>
      </c>
      <c r="I115" s="39" t="str">
        <f t="shared" si="9"/>
        <v>OK</v>
      </c>
      <c r="J115" t="s">
        <v>474</v>
      </c>
    </row>
    <row r="116" spans="1:10" x14ac:dyDescent="0.3">
      <c r="A116" t="s">
        <v>348</v>
      </c>
      <c r="B116" t="s">
        <v>495</v>
      </c>
      <c r="C116" t="s">
        <v>0</v>
      </c>
      <c r="D116" t="s">
        <v>496</v>
      </c>
      <c r="E116" s="38">
        <f>21</f>
        <v>21</v>
      </c>
      <c r="F116" s="38">
        <v>21</v>
      </c>
      <c r="G116" s="38">
        <f t="shared" si="8"/>
        <v>0</v>
      </c>
      <c r="H116" s="38">
        <v>0</v>
      </c>
      <c r="I116" s="39" t="str">
        <f t="shared" si="9"/>
        <v>OK</v>
      </c>
      <c r="J116" t="s">
        <v>474</v>
      </c>
    </row>
    <row r="117" spans="1:10" x14ac:dyDescent="0.3">
      <c r="A117" t="s">
        <v>348</v>
      </c>
      <c r="B117" t="s">
        <v>497</v>
      </c>
      <c r="C117" t="s">
        <v>0</v>
      </c>
      <c r="D117" t="s">
        <v>498</v>
      </c>
      <c r="E117" s="38">
        <f>21</f>
        <v>21</v>
      </c>
      <c r="F117" s="38">
        <v>21</v>
      </c>
      <c r="G117" s="38">
        <f t="shared" si="8"/>
        <v>0</v>
      </c>
      <c r="H117" s="38">
        <v>0</v>
      </c>
      <c r="I117" s="39" t="str">
        <f t="shared" si="9"/>
        <v>OK</v>
      </c>
      <c r="J117" t="s">
        <v>474</v>
      </c>
    </row>
    <row r="118" spans="1:10" x14ac:dyDescent="0.3">
      <c r="A118" t="s">
        <v>348</v>
      </c>
      <c r="B118" t="s">
        <v>499</v>
      </c>
      <c r="C118" t="s">
        <v>0</v>
      </c>
      <c r="D118" t="s">
        <v>500</v>
      </c>
      <c r="E118" s="38">
        <f>21</f>
        <v>21</v>
      </c>
      <c r="F118" s="38">
        <v>21</v>
      </c>
      <c r="G118" s="38">
        <f t="shared" si="8"/>
        <v>0</v>
      </c>
      <c r="H118" s="38">
        <v>0</v>
      </c>
      <c r="I118" s="39" t="str">
        <f t="shared" si="9"/>
        <v>OK</v>
      </c>
      <c r="J118" t="s">
        <v>474</v>
      </c>
    </row>
    <row r="119" spans="1:10" x14ac:dyDescent="0.3">
      <c r="A119" t="s">
        <v>348</v>
      </c>
      <c r="B119" t="s">
        <v>501</v>
      </c>
      <c r="C119" t="s">
        <v>0</v>
      </c>
      <c r="D119" t="s">
        <v>502</v>
      </c>
      <c r="E119" s="38">
        <f>21</f>
        <v>21</v>
      </c>
      <c r="F119" s="38">
        <v>21</v>
      </c>
      <c r="G119" s="38">
        <f t="shared" si="8"/>
        <v>0</v>
      </c>
      <c r="H119" s="38">
        <v>0</v>
      </c>
      <c r="I119" s="39" t="str">
        <f t="shared" si="9"/>
        <v>OK</v>
      </c>
      <c r="J119" t="s">
        <v>474</v>
      </c>
    </row>
    <row r="120" spans="1:10" x14ac:dyDescent="0.3">
      <c r="A120" t="s">
        <v>348</v>
      </c>
      <c r="B120" t="s">
        <v>503</v>
      </c>
      <c r="C120" t="s">
        <v>0</v>
      </c>
      <c r="D120" t="s">
        <v>504</v>
      </c>
      <c r="E120" s="38">
        <f>21</f>
        <v>21</v>
      </c>
      <c r="F120" s="38">
        <v>21</v>
      </c>
      <c r="G120" s="38">
        <f t="shared" si="8"/>
        <v>0</v>
      </c>
      <c r="H120" s="38">
        <v>0</v>
      </c>
      <c r="I120" s="39" t="str">
        <f t="shared" si="9"/>
        <v>OK</v>
      </c>
      <c r="J120" t="s">
        <v>474</v>
      </c>
    </row>
    <row r="121" spans="1:10" x14ac:dyDescent="0.3">
      <c r="A121" t="s">
        <v>348</v>
      </c>
      <c r="B121" t="s">
        <v>505</v>
      </c>
      <c r="C121" t="s">
        <v>0</v>
      </c>
      <c r="D121" t="s">
        <v>506</v>
      </c>
      <c r="E121" s="38">
        <f>21</f>
        <v>21</v>
      </c>
      <c r="F121" s="38">
        <v>21</v>
      </c>
      <c r="G121" s="38">
        <f t="shared" si="8"/>
        <v>0</v>
      </c>
      <c r="H121" s="38">
        <v>0</v>
      </c>
      <c r="I121" s="39" t="str">
        <f t="shared" si="9"/>
        <v>OK</v>
      </c>
      <c r="J121" t="s">
        <v>474</v>
      </c>
    </row>
    <row r="122" spans="1:10" x14ac:dyDescent="0.3">
      <c r="A122" t="s">
        <v>348</v>
      </c>
      <c r="B122" t="s">
        <v>507</v>
      </c>
      <c r="C122" t="s">
        <v>0</v>
      </c>
      <c r="D122" t="s">
        <v>508</v>
      </c>
      <c r="E122" s="38">
        <f>21</f>
        <v>21</v>
      </c>
      <c r="F122" s="38">
        <v>21</v>
      </c>
      <c r="G122" s="38">
        <f t="shared" si="8"/>
        <v>0</v>
      </c>
      <c r="H122" s="38">
        <v>0</v>
      </c>
      <c r="I122" s="39" t="str">
        <f t="shared" si="9"/>
        <v>OK</v>
      </c>
      <c r="J122" t="s">
        <v>474</v>
      </c>
    </row>
    <row r="123" spans="1:10" x14ac:dyDescent="0.3">
      <c r="A123" t="s">
        <v>348</v>
      </c>
      <c r="B123" t="s">
        <v>509</v>
      </c>
      <c r="C123" t="s">
        <v>0</v>
      </c>
      <c r="D123" t="s">
        <v>510</v>
      </c>
      <c r="E123" s="38">
        <f>21</f>
        <v>21</v>
      </c>
      <c r="F123" s="38">
        <v>21</v>
      </c>
      <c r="G123" s="38">
        <f t="shared" si="8"/>
        <v>0</v>
      </c>
      <c r="H123" s="38">
        <v>0</v>
      </c>
      <c r="I123" s="39" t="str">
        <f t="shared" si="9"/>
        <v>OK</v>
      </c>
      <c r="J123" t="s">
        <v>474</v>
      </c>
    </row>
    <row r="124" spans="1:10" x14ac:dyDescent="0.3">
      <c r="A124" t="s">
        <v>348</v>
      </c>
      <c r="B124" t="s">
        <v>511</v>
      </c>
      <c r="C124" t="s">
        <v>0</v>
      </c>
      <c r="D124" t="s">
        <v>512</v>
      </c>
      <c r="E124" s="38">
        <f>21</f>
        <v>21</v>
      </c>
      <c r="F124" s="38">
        <v>21</v>
      </c>
      <c r="G124" s="38">
        <f t="shared" si="8"/>
        <v>0</v>
      </c>
      <c r="H124" s="38">
        <v>0</v>
      </c>
      <c r="I124" s="39" t="str">
        <f t="shared" si="9"/>
        <v>OK</v>
      </c>
      <c r="J124" t="s">
        <v>474</v>
      </c>
    </row>
    <row r="125" spans="1:10" x14ac:dyDescent="0.3">
      <c r="A125" t="s">
        <v>348</v>
      </c>
      <c r="B125" t="s">
        <v>513</v>
      </c>
      <c r="C125" t="s">
        <v>0</v>
      </c>
      <c r="D125" t="s">
        <v>514</v>
      </c>
      <c r="E125" s="38">
        <f>21</f>
        <v>21</v>
      </c>
      <c r="F125" s="38">
        <v>21</v>
      </c>
      <c r="G125" s="38">
        <f t="shared" si="8"/>
        <v>0</v>
      </c>
      <c r="H125" s="38">
        <v>0</v>
      </c>
      <c r="I125" s="39" t="str">
        <f t="shared" si="9"/>
        <v>OK</v>
      </c>
      <c r="J125" t="s">
        <v>474</v>
      </c>
    </row>
    <row r="126" spans="1:10" x14ac:dyDescent="0.3">
      <c r="A126" t="s">
        <v>348</v>
      </c>
      <c r="B126" t="s">
        <v>515</v>
      </c>
      <c r="C126" t="s">
        <v>0</v>
      </c>
      <c r="D126" t="s">
        <v>516</v>
      </c>
      <c r="E126" s="38">
        <f>21</f>
        <v>21</v>
      </c>
      <c r="F126" s="38">
        <v>21</v>
      </c>
      <c r="G126" s="38">
        <f t="shared" si="8"/>
        <v>0</v>
      </c>
      <c r="H126" s="38">
        <v>0</v>
      </c>
      <c r="I126" s="39" t="str">
        <f t="shared" si="9"/>
        <v>OK</v>
      </c>
      <c r="J126" t="s">
        <v>474</v>
      </c>
    </row>
    <row r="127" spans="1:10" x14ac:dyDescent="0.3">
      <c r="A127" t="s">
        <v>348</v>
      </c>
      <c r="B127" t="s">
        <v>517</v>
      </c>
      <c r="C127" t="s">
        <v>0</v>
      </c>
      <c r="D127" t="s">
        <v>518</v>
      </c>
      <c r="E127" s="38">
        <f>21</f>
        <v>21</v>
      </c>
      <c r="F127" s="38">
        <v>21</v>
      </c>
      <c r="G127" s="38">
        <f t="shared" si="8"/>
        <v>0</v>
      </c>
      <c r="H127" s="38">
        <v>0</v>
      </c>
      <c r="I127" s="39" t="str">
        <f t="shared" si="9"/>
        <v>OK</v>
      </c>
      <c r="J127" t="s">
        <v>474</v>
      </c>
    </row>
    <row r="128" spans="1:10" x14ac:dyDescent="0.3">
      <c r="A128" t="s">
        <v>348</v>
      </c>
      <c r="B128" t="s">
        <v>519</v>
      </c>
      <c r="C128" t="s">
        <v>0</v>
      </c>
      <c r="D128" t="s">
        <v>520</v>
      </c>
      <c r="E128" s="38">
        <f>21</f>
        <v>21</v>
      </c>
      <c r="F128" s="38">
        <v>21</v>
      </c>
      <c r="G128" s="38">
        <f t="shared" si="8"/>
        <v>0</v>
      </c>
      <c r="H128" s="38">
        <v>0</v>
      </c>
      <c r="I128" s="39" t="str">
        <f t="shared" si="9"/>
        <v>OK</v>
      </c>
      <c r="J128" t="s">
        <v>474</v>
      </c>
    </row>
    <row r="129" spans="1:10" x14ac:dyDescent="0.3">
      <c r="A129" t="s">
        <v>348</v>
      </c>
      <c r="B129" t="s">
        <v>521</v>
      </c>
      <c r="C129" t="s">
        <v>0</v>
      </c>
      <c r="D129" t="s">
        <v>522</v>
      </c>
      <c r="E129" s="38">
        <f>21</f>
        <v>21</v>
      </c>
      <c r="F129" s="38">
        <v>21</v>
      </c>
      <c r="G129" s="38">
        <f t="shared" si="8"/>
        <v>0</v>
      </c>
      <c r="H129" s="38">
        <v>0</v>
      </c>
      <c r="I129" s="39" t="str">
        <f t="shared" si="9"/>
        <v>OK</v>
      </c>
      <c r="J129" t="s">
        <v>474</v>
      </c>
    </row>
    <row r="130" spans="1:10" x14ac:dyDescent="0.3">
      <c r="A130" t="s">
        <v>348</v>
      </c>
      <c r="B130" t="s">
        <v>523</v>
      </c>
      <c r="C130" t="s">
        <v>0</v>
      </c>
      <c r="D130" t="s">
        <v>524</v>
      </c>
      <c r="E130" s="38">
        <f>21</f>
        <v>21</v>
      </c>
      <c r="F130" s="38">
        <v>21</v>
      </c>
      <c r="G130" s="38">
        <f t="shared" si="8"/>
        <v>0</v>
      </c>
      <c r="H130" s="38">
        <v>0</v>
      </c>
      <c r="I130" s="39" t="str">
        <f t="shared" si="9"/>
        <v>OK</v>
      </c>
      <c r="J130" t="s">
        <v>474</v>
      </c>
    </row>
    <row r="131" spans="1:10" x14ac:dyDescent="0.3">
      <c r="A131" t="s">
        <v>348</v>
      </c>
      <c r="B131" t="s">
        <v>525</v>
      </c>
      <c r="C131" t="s">
        <v>0</v>
      </c>
      <c r="D131" t="s">
        <v>526</v>
      </c>
      <c r="E131" s="38">
        <f>21</f>
        <v>21</v>
      </c>
      <c r="F131" s="38">
        <v>21</v>
      </c>
      <c r="G131" s="38">
        <f t="shared" si="8"/>
        <v>0</v>
      </c>
      <c r="H131" s="38">
        <v>0</v>
      </c>
      <c r="I131" s="39" t="str">
        <f t="shared" si="9"/>
        <v>OK</v>
      </c>
      <c r="J131" t="s">
        <v>474</v>
      </c>
    </row>
    <row r="132" spans="1:10" x14ac:dyDescent="0.3">
      <c r="A132" t="s">
        <v>348</v>
      </c>
      <c r="B132" t="s">
        <v>527</v>
      </c>
      <c r="C132" t="s">
        <v>0</v>
      </c>
      <c r="D132" t="s">
        <v>528</v>
      </c>
      <c r="E132" s="38">
        <f>21</f>
        <v>21</v>
      </c>
      <c r="F132" s="38">
        <v>21</v>
      </c>
      <c r="G132" s="38">
        <f t="shared" si="8"/>
        <v>0</v>
      </c>
      <c r="H132" s="38">
        <v>0</v>
      </c>
      <c r="I132" s="39" t="str">
        <f t="shared" si="9"/>
        <v>OK</v>
      </c>
      <c r="J132" t="s">
        <v>474</v>
      </c>
    </row>
    <row r="133" spans="1:10" x14ac:dyDescent="0.3">
      <c r="A133" t="s">
        <v>348</v>
      </c>
      <c r="B133" t="s">
        <v>529</v>
      </c>
      <c r="C133" t="s">
        <v>0</v>
      </c>
      <c r="D133" t="s">
        <v>530</v>
      </c>
      <c r="E133" s="38">
        <f>21</f>
        <v>21</v>
      </c>
      <c r="F133" s="38">
        <v>21</v>
      </c>
      <c r="G133" s="38">
        <f t="shared" si="8"/>
        <v>0</v>
      </c>
      <c r="H133" s="38">
        <v>0</v>
      </c>
      <c r="I133" s="39" t="str">
        <f t="shared" si="9"/>
        <v>OK</v>
      </c>
      <c r="J133" t="s">
        <v>474</v>
      </c>
    </row>
    <row r="134" spans="1:10" x14ac:dyDescent="0.3">
      <c r="A134" t="s">
        <v>348</v>
      </c>
      <c r="B134" t="s">
        <v>531</v>
      </c>
      <c r="C134" t="s">
        <v>0</v>
      </c>
      <c r="D134" t="s">
        <v>532</v>
      </c>
      <c r="E134" s="38">
        <f>21</f>
        <v>21</v>
      </c>
      <c r="F134" s="38">
        <v>21</v>
      </c>
      <c r="G134" s="38">
        <f t="shared" si="8"/>
        <v>0</v>
      </c>
      <c r="H134" s="38">
        <v>0</v>
      </c>
      <c r="I134" s="39" t="str">
        <f t="shared" si="9"/>
        <v>OK</v>
      </c>
      <c r="J134" t="s">
        <v>474</v>
      </c>
    </row>
    <row r="135" spans="1:10" x14ac:dyDescent="0.3">
      <c r="A135" t="s">
        <v>348</v>
      </c>
      <c r="B135" t="s">
        <v>533</v>
      </c>
      <c r="C135" t="s">
        <v>0</v>
      </c>
      <c r="D135" t="s">
        <v>534</v>
      </c>
      <c r="E135" s="38">
        <f>21</f>
        <v>21</v>
      </c>
      <c r="F135" s="38">
        <v>21</v>
      </c>
      <c r="G135" s="38">
        <f t="shared" si="8"/>
        <v>0</v>
      </c>
      <c r="H135" s="38">
        <v>0</v>
      </c>
      <c r="I135" s="39" t="str">
        <f t="shared" si="9"/>
        <v>OK</v>
      </c>
      <c r="J135" t="s">
        <v>474</v>
      </c>
    </row>
    <row r="136" spans="1:10" x14ac:dyDescent="0.3">
      <c r="A136" t="s">
        <v>348</v>
      </c>
      <c r="B136" t="s">
        <v>535</v>
      </c>
      <c r="C136" t="s">
        <v>0</v>
      </c>
      <c r="D136" t="s">
        <v>536</v>
      </c>
      <c r="E136" s="38">
        <f>21</f>
        <v>21</v>
      </c>
      <c r="F136" s="38">
        <v>21</v>
      </c>
      <c r="G136" s="38">
        <f t="shared" ref="G136:G167" si="10">E136-F136</f>
        <v>0</v>
      </c>
      <c r="H136" s="38">
        <v>0</v>
      </c>
      <c r="I136" s="39" t="str">
        <f t="shared" ref="I136:I154" si="11">IF(G136=0,"OK","FAIL")</f>
        <v>OK</v>
      </c>
      <c r="J136" t="s">
        <v>474</v>
      </c>
    </row>
    <row r="137" spans="1:10" x14ac:dyDescent="0.3">
      <c r="A137" t="s">
        <v>348</v>
      </c>
      <c r="B137" t="s">
        <v>537</v>
      </c>
      <c r="C137" t="s">
        <v>0</v>
      </c>
      <c r="D137" t="s">
        <v>538</v>
      </c>
      <c r="E137" s="38">
        <f>21</f>
        <v>21</v>
      </c>
      <c r="F137" s="38">
        <v>21</v>
      </c>
      <c r="G137" s="38">
        <f t="shared" si="10"/>
        <v>0</v>
      </c>
      <c r="H137" s="38">
        <v>0</v>
      </c>
      <c r="I137" s="39" t="str">
        <f t="shared" si="11"/>
        <v>OK</v>
      </c>
      <c r="J137" t="s">
        <v>474</v>
      </c>
    </row>
    <row r="138" spans="1:10" x14ac:dyDescent="0.3">
      <c r="A138" t="s">
        <v>348</v>
      </c>
      <c r="B138" t="s">
        <v>539</v>
      </c>
      <c r="C138" t="s">
        <v>0</v>
      </c>
      <c r="D138" t="s">
        <v>540</v>
      </c>
      <c r="E138" s="38">
        <f>21</f>
        <v>21</v>
      </c>
      <c r="F138" s="38">
        <v>21</v>
      </c>
      <c r="G138" s="38">
        <f t="shared" si="10"/>
        <v>0</v>
      </c>
      <c r="H138" s="38">
        <v>0</v>
      </c>
      <c r="I138" s="39" t="str">
        <f t="shared" si="11"/>
        <v>OK</v>
      </c>
      <c r="J138" t="s">
        <v>474</v>
      </c>
    </row>
    <row r="139" spans="1:10" x14ac:dyDescent="0.3">
      <c r="A139" t="s">
        <v>348</v>
      </c>
      <c r="B139" t="s">
        <v>541</v>
      </c>
      <c r="C139" t="s">
        <v>0</v>
      </c>
      <c r="D139" t="s">
        <v>542</v>
      </c>
      <c r="E139" s="38">
        <f>21</f>
        <v>21</v>
      </c>
      <c r="F139" s="38">
        <v>21</v>
      </c>
      <c r="G139" s="38">
        <f t="shared" si="10"/>
        <v>0</v>
      </c>
      <c r="H139" s="38">
        <v>0</v>
      </c>
      <c r="I139" s="39" t="str">
        <f t="shared" si="11"/>
        <v>OK</v>
      </c>
      <c r="J139" t="s">
        <v>474</v>
      </c>
    </row>
    <row r="140" spans="1:10" x14ac:dyDescent="0.3">
      <c r="A140" t="s">
        <v>348</v>
      </c>
      <c r="B140" t="s">
        <v>543</v>
      </c>
      <c r="C140" t="s">
        <v>0</v>
      </c>
      <c r="D140" t="s">
        <v>544</v>
      </c>
      <c r="E140" s="38">
        <f>21</f>
        <v>21</v>
      </c>
      <c r="F140" s="38">
        <v>21</v>
      </c>
      <c r="G140" s="38">
        <f t="shared" si="10"/>
        <v>0</v>
      </c>
      <c r="H140" s="38">
        <v>0</v>
      </c>
      <c r="I140" s="39" t="str">
        <f t="shared" si="11"/>
        <v>OK</v>
      </c>
      <c r="J140" t="s">
        <v>474</v>
      </c>
    </row>
    <row r="141" spans="1:10" x14ac:dyDescent="0.3">
      <c r="A141" t="s">
        <v>348</v>
      </c>
      <c r="B141" t="s">
        <v>545</v>
      </c>
      <c r="C141" t="s">
        <v>0</v>
      </c>
      <c r="D141" t="s">
        <v>546</v>
      </c>
      <c r="E141" s="38">
        <f>21</f>
        <v>21</v>
      </c>
      <c r="F141" s="38">
        <v>21</v>
      </c>
      <c r="G141" s="38">
        <f t="shared" si="10"/>
        <v>0</v>
      </c>
      <c r="H141" s="38">
        <v>0</v>
      </c>
      <c r="I141" s="39" t="str">
        <f t="shared" si="11"/>
        <v>OK</v>
      </c>
      <c r="J141" t="s">
        <v>474</v>
      </c>
    </row>
    <row r="142" spans="1:10" x14ac:dyDescent="0.3">
      <c r="A142" t="s">
        <v>348</v>
      </c>
      <c r="B142" t="s">
        <v>547</v>
      </c>
      <c r="C142" t="s">
        <v>0</v>
      </c>
      <c r="D142" t="s">
        <v>548</v>
      </c>
      <c r="E142" s="38">
        <f>21</f>
        <v>21</v>
      </c>
      <c r="F142" s="38">
        <v>21</v>
      </c>
      <c r="G142" s="38">
        <f t="shared" si="10"/>
        <v>0</v>
      </c>
      <c r="H142" s="38">
        <v>0</v>
      </c>
      <c r="I142" s="39" t="str">
        <f t="shared" si="11"/>
        <v>OK</v>
      </c>
      <c r="J142" t="s">
        <v>474</v>
      </c>
    </row>
    <row r="143" spans="1:10" x14ac:dyDescent="0.3">
      <c r="A143" t="s">
        <v>348</v>
      </c>
      <c r="B143" t="s">
        <v>549</v>
      </c>
      <c r="C143" t="s">
        <v>0</v>
      </c>
      <c r="D143" t="s">
        <v>550</v>
      </c>
      <c r="E143" s="38">
        <f>21</f>
        <v>21</v>
      </c>
      <c r="F143" s="38">
        <v>21</v>
      </c>
      <c r="G143" s="38">
        <f t="shared" si="10"/>
        <v>0</v>
      </c>
      <c r="H143" s="38">
        <v>0</v>
      </c>
      <c r="I143" s="39" t="str">
        <f t="shared" si="11"/>
        <v>OK</v>
      </c>
      <c r="J143" t="s">
        <v>474</v>
      </c>
    </row>
    <row r="144" spans="1:10" x14ac:dyDescent="0.3">
      <c r="A144" t="s">
        <v>348</v>
      </c>
      <c r="B144" t="s">
        <v>551</v>
      </c>
      <c r="C144" t="s">
        <v>0</v>
      </c>
      <c r="D144" t="s">
        <v>552</v>
      </c>
      <c r="E144" s="38">
        <f>21</f>
        <v>21</v>
      </c>
      <c r="F144" s="38">
        <v>21</v>
      </c>
      <c r="G144" s="38">
        <f t="shared" si="10"/>
        <v>0</v>
      </c>
      <c r="H144" s="38">
        <v>0</v>
      </c>
      <c r="I144" s="39" t="str">
        <f t="shared" si="11"/>
        <v>OK</v>
      </c>
      <c r="J144" t="s">
        <v>474</v>
      </c>
    </row>
    <row r="145" spans="1:10" x14ac:dyDescent="0.3">
      <c r="A145" t="s">
        <v>348</v>
      </c>
      <c r="B145" t="s">
        <v>553</v>
      </c>
      <c r="C145" t="s">
        <v>0</v>
      </c>
      <c r="D145" t="s">
        <v>554</v>
      </c>
      <c r="E145" s="38">
        <f>21</f>
        <v>21</v>
      </c>
      <c r="F145" s="38">
        <v>21</v>
      </c>
      <c r="G145" s="38">
        <f t="shared" si="10"/>
        <v>0</v>
      </c>
      <c r="H145" s="38">
        <v>0</v>
      </c>
      <c r="I145" s="39" t="str">
        <f t="shared" si="11"/>
        <v>OK</v>
      </c>
      <c r="J145" t="s">
        <v>474</v>
      </c>
    </row>
    <row r="146" spans="1:10" x14ac:dyDescent="0.3">
      <c r="A146" t="s">
        <v>348</v>
      </c>
      <c r="B146" t="s">
        <v>555</v>
      </c>
      <c r="C146" t="s">
        <v>0</v>
      </c>
      <c r="D146" t="s">
        <v>556</v>
      </c>
      <c r="E146" s="38">
        <f>21</f>
        <v>21</v>
      </c>
      <c r="F146" s="38">
        <v>21</v>
      </c>
      <c r="G146" s="38">
        <f t="shared" si="10"/>
        <v>0</v>
      </c>
      <c r="H146" s="38">
        <v>0</v>
      </c>
      <c r="I146" s="39" t="str">
        <f t="shared" si="11"/>
        <v>OK</v>
      </c>
      <c r="J146" t="s">
        <v>474</v>
      </c>
    </row>
    <row r="147" spans="1:10" x14ac:dyDescent="0.3">
      <c r="A147" t="s">
        <v>348</v>
      </c>
      <c r="B147" t="s">
        <v>557</v>
      </c>
      <c r="C147" t="s">
        <v>0</v>
      </c>
      <c r="D147" t="s">
        <v>558</v>
      </c>
      <c r="E147" s="38">
        <f>21</f>
        <v>21</v>
      </c>
      <c r="F147" s="38">
        <v>21</v>
      </c>
      <c r="G147" s="38">
        <f t="shared" si="10"/>
        <v>0</v>
      </c>
      <c r="H147" s="38">
        <v>0</v>
      </c>
      <c r="I147" s="39" t="str">
        <f t="shared" si="11"/>
        <v>OK</v>
      </c>
      <c r="J147" t="s">
        <v>474</v>
      </c>
    </row>
    <row r="148" spans="1:10" x14ac:dyDescent="0.3">
      <c r="A148" t="s">
        <v>348</v>
      </c>
      <c r="B148" t="s">
        <v>559</v>
      </c>
      <c r="C148" t="s">
        <v>0</v>
      </c>
      <c r="D148" t="s">
        <v>560</v>
      </c>
      <c r="E148" s="38">
        <f>21</f>
        <v>21</v>
      </c>
      <c r="F148" s="38">
        <v>21</v>
      </c>
      <c r="G148" s="38">
        <f t="shared" si="10"/>
        <v>0</v>
      </c>
      <c r="H148" s="38">
        <v>0</v>
      </c>
      <c r="I148" s="39" t="str">
        <f t="shared" si="11"/>
        <v>OK</v>
      </c>
      <c r="J148" t="s">
        <v>474</v>
      </c>
    </row>
    <row r="149" spans="1:10" x14ac:dyDescent="0.3">
      <c r="A149" t="s">
        <v>348</v>
      </c>
      <c r="B149" t="s">
        <v>561</v>
      </c>
      <c r="C149" t="s">
        <v>0</v>
      </c>
      <c r="D149" t="s">
        <v>562</v>
      </c>
      <c r="E149" s="38">
        <f>21</f>
        <v>21</v>
      </c>
      <c r="F149" s="38">
        <v>21</v>
      </c>
      <c r="G149" s="38">
        <f t="shared" si="10"/>
        <v>0</v>
      </c>
      <c r="H149" s="38">
        <v>0</v>
      </c>
      <c r="I149" s="39" t="str">
        <f t="shared" si="11"/>
        <v>OK</v>
      </c>
      <c r="J149" t="s">
        <v>474</v>
      </c>
    </row>
    <row r="150" spans="1:10" x14ac:dyDescent="0.3">
      <c r="A150" t="s">
        <v>348</v>
      </c>
      <c r="B150" t="s">
        <v>563</v>
      </c>
      <c r="C150" t="s">
        <v>0</v>
      </c>
      <c r="D150" t="s">
        <v>564</v>
      </c>
      <c r="E150" s="38">
        <f>21</f>
        <v>21</v>
      </c>
      <c r="F150" s="38">
        <v>21</v>
      </c>
      <c r="G150" s="38">
        <f t="shared" si="10"/>
        <v>0</v>
      </c>
      <c r="H150" s="38">
        <v>0</v>
      </c>
      <c r="I150" s="39" t="str">
        <f t="shared" si="11"/>
        <v>OK</v>
      </c>
      <c r="J150" t="s">
        <v>474</v>
      </c>
    </row>
    <row r="151" spans="1:10" x14ac:dyDescent="0.3">
      <c r="A151" t="s">
        <v>348</v>
      </c>
      <c r="B151" t="s">
        <v>565</v>
      </c>
      <c r="C151" t="s">
        <v>0</v>
      </c>
      <c r="D151" t="s">
        <v>566</v>
      </c>
      <c r="E151" s="38">
        <f>21</f>
        <v>21</v>
      </c>
      <c r="F151" s="38">
        <v>21</v>
      </c>
      <c r="G151" s="38">
        <f t="shared" si="10"/>
        <v>0</v>
      </c>
      <c r="H151" s="38">
        <v>0</v>
      </c>
      <c r="I151" s="39" t="str">
        <f t="shared" si="11"/>
        <v>OK</v>
      </c>
      <c r="J151" t="s">
        <v>474</v>
      </c>
    </row>
    <row r="152" spans="1:10" x14ac:dyDescent="0.3">
      <c r="A152" t="s">
        <v>348</v>
      </c>
      <c r="B152" t="s">
        <v>567</v>
      </c>
      <c r="C152" t="s">
        <v>0</v>
      </c>
      <c r="D152" t="s">
        <v>568</v>
      </c>
      <c r="E152" s="38">
        <f>21</f>
        <v>21</v>
      </c>
      <c r="F152" s="38">
        <v>21</v>
      </c>
      <c r="G152" s="38">
        <f t="shared" si="10"/>
        <v>0</v>
      </c>
      <c r="H152" s="38">
        <v>0</v>
      </c>
      <c r="I152" s="39" t="str">
        <f t="shared" si="11"/>
        <v>OK</v>
      </c>
      <c r="J152" t="s">
        <v>474</v>
      </c>
    </row>
    <row r="153" spans="1:10" x14ac:dyDescent="0.3">
      <c r="A153" t="s">
        <v>348</v>
      </c>
      <c r="B153" t="s">
        <v>569</v>
      </c>
      <c r="C153" t="s">
        <v>0</v>
      </c>
      <c r="D153" t="s">
        <v>570</v>
      </c>
      <c r="E153" s="38">
        <f>21</f>
        <v>21</v>
      </c>
      <c r="F153" s="38">
        <v>21</v>
      </c>
      <c r="G153" s="38">
        <f t="shared" si="10"/>
        <v>0</v>
      </c>
      <c r="H153" s="38">
        <v>0</v>
      </c>
      <c r="I153" s="39" t="str">
        <f t="shared" si="11"/>
        <v>OK</v>
      </c>
      <c r="J153" t="s">
        <v>474</v>
      </c>
    </row>
    <row r="154" spans="1:10" x14ac:dyDescent="0.3">
      <c r="A154" t="s">
        <v>348</v>
      </c>
      <c r="B154" t="s">
        <v>571</v>
      </c>
      <c r="C154" t="s">
        <v>0</v>
      </c>
      <c r="D154" t="s">
        <v>572</v>
      </c>
      <c r="E154" s="38">
        <f>21</f>
        <v>21</v>
      </c>
      <c r="F154" s="38">
        <v>21</v>
      </c>
      <c r="G154" s="38">
        <f t="shared" si="10"/>
        <v>0</v>
      </c>
      <c r="H154" s="38">
        <v>0</v>
      </c>
      <c r="I154" s="39" t="str">
        <f t="shared" si="11"/>
        <v>OK</v>
      </c>
      <c r="J154" t="s">
        <v>474</v>
      </c>
    </row>
    <row r="156" spans="1:10" x14ac:dyDescent="0.3">
      <c r="A156" s="53" t="s">
        <v>573</v>
      </c>
      <c r="B156" s="54"/>
      <c r="C156" s="54"/>
      <c r="D156" s="54"/>
      <c r="E156" s="54"/>
      <c r="F156" s="54"/>
      <c r="G156" s="54"/>
      <c r="H156" s="54"/>
      <c r="I156" s="54"/>
      <c r="J156" s="54"/>
    </row>
    <row r="157" spans="1:10" x14ac:dyDescent="0.3">
      <c r="A157" t="s">
        <v>574</v>
      </c>
      <c r="B157" t="s">
        <v>575</v>
      </c>
      <c r="C157" t="s">
        <v>82</v>
      </c>
      <c r="D157" t="s">
        <v>576</v>
      </c>
      <c r="E157" s="38">
        <f>SUMPRODUCT(--ISERROR('Revenue Drivers'!C7:W28))</f>
        <v>0</v>
      </c>
      <c r="F157" s="38">
        <v>0</v>
      </c>
      <c r="G157" s="38">
        <f t="shared" ref="G157:G163" si="12">E157-F157</f>
        <v>0</v>
      </c>
      <c r="H157" s="38">
        <v>0</v>
      </c>
      <c r="I157" s="39" t="str">
        <f t="shared" ref="I157:I163" si="13">IF(E157=0,"OK","FAIL")</f>
        <v>OK</v>
      </c>
      <c r="J157" t="s">
        <v>577</v>
      </c>
    </row>
    <row r="158" spans="1:10" x14ac:dyDescent="0.3">
      <c r="A158" t="s">
        <v>574</v>
      </c>
      <c r="B158" t="s">
        <v>578</v>
      </c>
      <c r="C158" t="s">
        <v>111</v>
      </c>
      <c r="D158" t="s">
        <v>579</v>
      </c>
      <c r="E158" s="38">
        <f>SUMPRODUCT(--ISERROR('Payroll Schedule'!C15:W86))</f>
        <v>0</v>
      </c>
      <c r="F158" s="38">
        <v>0</v>
      </c>
      <c r="G158" s="38">
        <f t="shared" si="12"/>
        <v>0</v>
      </c>
      <c r="H158" s="38">
        <v>0</v>
      </c>
      <c r="I158" s="39" t="str">
        <f t="shared" si="13"/>
        <v>OK</v>
      </c>
      <c r="J158" t="s">
        <v>577</v>
      </c>
    </row>
    <row r="159" spans="1:10" x14ac:dyDescent="0.3">
      <c r="A159" t="s">
        <v>574</v>
      </c>
      <c r="B159" t="s">
        <v>580</v>
      </c>
      <c r="C159" t="s">
        <v>154</v>
      </c>
      <c r="D159" t="s">
        <v>581</v>
      </c>
      <c r="E159" s="38">
        <f>SUMPRODUCT(--ISERROR('Debt Schedule'!C7:W26))</f>
        <v>0</v>
      </c>
      <c r="F159" s="38">
        <v>0</v>
      </c>
      <c r="G159" s="38">
        <f t="shared" si="12"/>
        <v>0</v>
      </c>
      <c r="H159" s="38">
        <v>0</v>
      </c>
      <c r="I159" s="39" t="str">
        <f t="shared" si="13"/>
        <v>OK</v>
      </c>
      <c r="J159" t="s">
        <v>577</v>
      </c>
    </row>
    <row r="160" spans="1:10" x14ac:dyDescent="0.3">
      <c r="A160" t="s">
        <v>574</v>
      </c>
      <c r="B160" t="s">
        <v>582</v>
      </c>
      <c r="C160" t="s">
        <v>332</v>
      </c>
      <c r="D160" t="s">
        <v>583</v>
      </c>
      <c r="E160" s="38">
        <f>SUMPRODUCT(--ISERROR('CapEx Depreciation'!C7:W14))</f>
        <v>0</v>
      </c>
      <c r="F160" s="38">
        <v>0</v>
      </c>
      <c r="G160" s="38">
        <f t="shared" si="12"/>
        <v>0</v>
      </c>
      <c r="H160" s="38">
        <v>0</v>
      </c>
      <c r="I160" s="39" t="str">
        <f t="shared" si="13"/>
        <v>OK</v>
      </c>
      <c r="J160" t="s">
        <v>577</v>
      </c>
    </row>
    <row r="161" spans="1:10" x14ac:dyDescent="0.3">
      <c r="A161" t="s">
        <v>574</v>
      </c>
      <c r="B161" t="s">
        <v>584</v>
      </c>
      <c r="C161" t="s">
        <v>585</v>
      </c>
      <c r="D161" t="s">
        <v>586</v>
      </c>
      <c r="E161" s="38">
        <f>SUMPRODUCT(--ISERROR('Cash Equity Schedule'!C7:W12))</f>
        <v>0</v>
      </c>
      <c r="F161" s="38">
        <v>0</v>
      </c>
      <c r="G161" s="38">
        <f t="shared" si="12"/>
        <v>0</v>
      </c>
      <c r="H161" s="38">
        <v>0</v>
      </c>
      <c r="I161" s="39" t="str">
        <f t="shared" si="13"/>
        <v>OK</v>
      </c>
      <c r="J161" t="s">
        <v>577</v>
      </c>
    </row>
    <row r="162" spans="1:10" x14ac:dyDescent="0.3">
      <c r="A162" t="s">
        <v>574</v>
      </c>
      <c r="B162" t="s">
        <v>587</v>
      </c>
      <c r="C162" t="s">
        <v>217</v>
      </c>
      <c r="D162" t="s">
        <v>588</v>
      </c>
      <c r="E162" s="38">
        <f>SUMPRODUCT(--ISERROR('Model Inputs'!C7:W54))</f>
        <v>0</v>
      </c>
      <c r="F162" s="38">
        <v>0</v>
      </c>
      <c r="G162" s="38">
        <f t="shared" si="12"/>
        <v>0</v>
      </c>
      <c r="H162" s="38">
        <v>0</v>
      </c>
      <c r="I162" s="39" t="str">
        <f t="shared" si="13"/>
        <v>OK</v>
      </c>
      <c r="J162" t="s">
        <v>577</v>
      </c>
    </row>
    <row r="163" spans="1:10" x14ac:dyDescent="0.3">
      <c r="A163" t="s">
        <v>574</v>
      </c>
      <c r="B163" t="s">
        <v>589</v>
      </c>
      <c r="C163" t="s">
        <v>0</v>
      </c>
      <c r="D163" t="s">
        <v>590</v>
      </c>
      <c r="E163" s="38">
        <f>SUMPRODUCT(--ISERROR(FINMO!C8:W61))</f>
        <v>0</v>
      </c>
      <c r="F163" s="38">
        <v>0</v>
      </c>
      <c r="G163" s="38">
        <f t="shared" si="12"/>
        <v>0</v>
      </c>
      <c r="H163" s="38">
        <v>0</v>
      </c>
      <c r="I163" s="39" t="str">
        <f t="shared" si="13"/>
        <v>OK</v>
      </c>
      <c r="J163" t="s">
        <v>577</v>
      </c>
    </row>
    <row r="165" spans="1:10" x14ac:dyDescent="0.3">
      <c r="A165" s="53" t="s">
        <v>591</v>
      </c>
      <c r="B165" s="54"/>
      <c r="C165" s="54"/>
      <c r="D165" s="54"/>
      <c r="E165" s="54"/>
      <c r="F165" s="54"/>
      <c r="G165" s="54"/>
      <c r="H165" s="54"/>
      <c r="I165" s="54"/>
      <c r="J165" s="54"/>
    </row>
    <row r="166" spans="1:10" x14ac:dyDescent="0.3">
      <c r="A166" t="s">
        <v>592</v>
      </c>
      <c r="B166" t="s">
        <v>593</v>
      </c>
      <c r="C166" t="s">
        <v>594</v>
      </c>
      <c r="D166" t="s">
        <v>595</v>
      </c>
      <c r="E166" s="38">
        <f>FINMO!W8</f>
        <v>476588.44800000003</v>
      </c>
      <c r="F166" s="38">
        <f>'Audit Source'!W7</f>
        <v>476588.44799999997</v>
      </c>
      <c r="G166" s="38">
        <f t="shared" ref="G166:G172" si="14">E166-F166</f>
        <v>0</v>
      </c>
      <c r="H166" s="38">
        <v>1</v>
      </c>
      <c r="I166" s="39" t="str">
        <f t="shared" ref="I166:I172" si="15">IF(ABS(G166)&lt;=H166,"MATCH","CHANGED")</f>
        <v>MATCH</v>
      </c>
      <c r="J166" t="s">
        <v>596</v>
      </c>
    </row>
    <row r="167" spans="1:10" x14ac:dyDescent="0.3">
      <c r="A167" t="s">
        <v>592</v>
      </c>
      <c r="B167" t="s">
        <v>597</v>
      </c>
      <c r="C167" t="s">
        <v>594</v>
      </c>
      <c r="D167" t="s">
        <v>598</v>
      </c>
      <c r="E167" s="38">
        <f>FINMO!W14</f>
        <v>120350.0675</v>
      </c>
      <c r="F167" s="38">
        <f>'Audit Source'!W13</f>
        <v>119522</v>
      </c>
      <c r="G167" s="38">
        <f t="shared" si="14"/>
        <v>828.06750000000466</v>
      </c>
      <c r="H167" s="38">
        <v>1</v>
      </c>
      <c r="I167" s="39" t="str">
        <f t="shared" si="15"/>
        <v>CHANGED</v>
      </c>
      <c r="J167" t="s">
        <v>596</v>
      </c>
    </row>
    <row r="168" spans="1:10" x14ac:dyDescent="0.3">
      <c r="A168" t="s">
        <v>592</v>
      </c>
      <c r="B168" t="s">
        <v>599</v>
      </c>
      <c r="C168" t="s">
        <v>594</v>
      </c>
      <c r="D168" t="s">
        <v>600</v>
      </c>
      <c r="E168" s="38">
        <f>FINMO!W20</f>
        <v>-15855493.945461148</v>
      </c>
      <c r="F168" s="38">
        <f>'Audit Source'!W19</f>
        <v>-15854665.877961</v>
      </c>
      <c r="G168" s="38">
        <f t="shared" si="14"/>
        <v>-828.06750014796853</v>
      </c>
      <c r="H168" s="38">
        <v>1</v>
      </c>
      <c r="I168" s="39" t="str">
        <f t="shared" si="15"/>
        <v>CHANGED</v>
      </c>
      <c r="J168" t="s">
        <v>596</v>
      </c>
    </row>
    <row r="169" spans="1:10" x14ac:dyDescent="0.3">
      <c r="A169" t="s">
        <v>592</v>
      </c>
      <c r="B169" t="s">
        <v>601</v>
      </c>
      <c r="C169" t="s">
        <v>594</v>
      </c>
      <c r="D169" t="s">
        <v>602</v>
      </c>
      <c r="E169" s="38">
        <f>FINMO!W23</f>
        <v>8150151.4181380663</v>
      </c>
      <c r="F169" s="38">
        <f>'Audit Source'!W23</f>
        <v>8165514.2488519996</v>
      </c>
      <c r="G169" s="38">
        <f t="shared" si="14"/>
        <v>-15362.830713933334</v>
      </c>
      <c r="H169" s="38">
        <v>1</v>
      </c>
      <c r="I169" s="39" t="str">
        <f t="shared" si="15"/>
        <v>CHANGED</v>
      </c>
      <c r="J169" t="s">
        <v>596</v>
      </c>
    </row>
    <row r="170" spans="1:10" x14ac:dyDescent="0.3">
      <c r="A170" t="s">
        <v>592</v>
      </c>
      <c r="B170" t="s">
        <v>603</v>
      </c>
      <c r="C170" t="s">
        <v>594</v>
      </c>
      <c r="D170" t="s">
        <v>266</v>
      </c>
      <c r="E170" s="38">
        <f>FINMO!W31</f>
        <v>10732188.209387206</v>
      </c>
      <c r="F170" s="38">
        <f>'Audit Source'!W29</f>
        <v>10747551.040101999</v>
      </c>
      <c r="G170" s="38">
        <f t="shared" si="14"/>
        <v>-15362.830714793876</v>
      </c>
      <c r="H170" s="38">
        <v>1</v>
      </c>
      <c r="I170" s="39" t="str">
        <f t="shared" si="15"/>
        <v>CHANGED</v>
      </c>
      <c r="J170" t="s">
        <v>596</v>
      </c>
    </row>
    <row r="171" spans="1:10" x14ac:dyDescent="0.3">
      <c r="A171" t="s">
        <v>592</v>
      </c>
      <c r="B171" t="s">
        <v>604</v>
      </c>
      <c r="C171" t="s">
        <v>594</v>
      </c>
      <c r="D171" t="s">
        <v>605</v>
      </c>
      <c r="E171" s="38">
        <f>FINMO!W43</f>
        <v>10732188.209387314</v>
      </c>
      <c r="F171" s="38">
        <f>'Audit Source'!W41</f>
        <v>10747551.040100999</v>
      </c>
      <c r="G171" s="38">
        <f t="shared" si="14"/>
        <v>-15362.830713685602</v>
      </c>
      <c r="H171" s="38">
        <v>1</v>
      </c>
      <c r="I171" s="39" t="str">
        <f t="shared" si="15"/>
        <v>CHANGED</v>
      </c>
      <c r="J171" t="s">
        <v>596</v>
      </c>
    </row>
    <row r="172" spans="1:10" x14ac:dyDescent="0.3">
      <c r="A172" t="s">
        <v>592</v>
      </c>
      <c r="B172" t="s">
        <v>606</v>
      </c>
      <c r="C172" t="s">
        <v>594</v>
      </c>
      <c r="D172" t="s">
        <v>268</v>
      </c>
      <c r="E172" s="38">
        <f>FINMO!W61</f>
        <v>8150151.4181380663</v>
      </c>
      <c r="F172" s="38">
        <f>'Audit Source'!W59</f>
        <v>8165514.2488519996</v>
      </c>
      <c r="G172" s="38">
        <f t="shared" si="14"/>
        <v>-15362.830713933334</v>
      </c>
      <c r="H172" s="38">
        <v>1</v>
      </c>
      <c r="I172" s="39" t="str">
        <f t="shared" si="15"/>
        <v>CHANGED</v>
      </c>
      <c r="J172" t="s">
        <v>596</v>
      </c>
    </row>
  </sheetData>
  <mergeCells count="6">
    <mergeCell ref="A165:J165"/>
    <mergeCell ref="A6:J6"/>
    <mergeCell ref="B3:F3"/>
    <mergeCell ref="A21:J21"/>
    <mergeCell ref="A39:J39"/>
    <mergeCell ref="A156:J156"/>
  </mergeCells>
  <conditionalFormatting sqref="I7:I172">
    <cfRule type="cellIs" dxfId="2" priority="1" operator="equal">
      <formula>"FAIL"</formula>
    </cfRule>
    <cfRule type="cellIs" dxfId="1" priority="2" operator="equal">
      <formula>"OK"</formula>
    </cfRule>
    <cfRule type="cellIs" dxfId="0" priority="3" operator="equal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14" customWidth="1"/>
  </cols>
  <sheetData>
    <row r="1" spans="1:3" ht="24" customHeight="1" x14ac:dyDescent="0.4">
      <c r="A1" s="41" t="s">
        <v>607</v>
      </c>
    </row>
    <row r="3" spans="1:3" ht="22.05" customHeight="1" x14ac:dyDescent="0.3">
      <c r="A3" s="42" t="s">
        <v>608</v>
      </c>
      <c r="B3" s="43"/>
      <c r="C3" s="43"/>
    </row>
    <row r="4" spans="1:3" x14ac:dyDescent="0.3">
      <c r="A4" s="44" t="s">
        <v>609</v>
      </c>
      <c r="B4" s="45" t="s">
        <v>610</v>
      </c>
    </row>
    <row r="5" spans="1:3" x14ac:dyDescent="0.3">
      <c r="A5" s="44" t="s">
        <v>611</v>
      </c>
      <c r="B5" s="45" t="s">
        <v>612</v>
      </c>
    </row>
    <row r="6" spans="1:3" x14ac:dyDescent="0.3">
      <c r="A6" s="44" t="s">
        <v>613</v>
      </c>
      <c r="B6" s="45" t="s">
        <v>614</v>
      </c>
    </row>
    <row r="7" spans="1:3" x14ac:dyDescent="0.3">
      <c r="A7" s="44" t="s">
        <v>615</v>
      </c>
      <c r="B7" s="45" t="s">
        <v>616</v>
      </c>
    </row>
    <row r="8" spans="1:3" x14ac:dyDescent="0.3">
      <c r="A8" s="44" t="s">
        <v>617</v>
      </c>
      <c r="B8" s="45" t="s">
        <v>618</v>
      </c>
    </row>
    <row r="9" spans="1:3" x14ac:dyDescent="0.3">
      <c r="A9" s="44" t="s">
        <v>619</v>
      </c>
      <c r="B9" s="45" t="s">
        <v>620</v>
      </c>
    </row>
    <row r="10" spans="1:3" x14ac:dyDescent="0.3">
      <c r="A10" s="44" t="s">
        <v>621</v>
      </c>
      <c r="B10" s="45" t="s">
        <v>622</v>
      </c>
    </row>
    <row r="11" spans="1:3" x14ac:dyDescent="0.3">
      <c r="A11" s="44" t="s">
        <v>623</v>
      </c>
      <c r="B11" s="45" t="s">
        <v>624</v>
      </c>
    </row>
    <row r="13" spans="1:3" ht="22.05" customHeight="1" x14ac:dyDescent="0.3">
      <c r="A13" s="42" t="s">
        <v>625</v>
      </c>
      <c r="B13" s="43"/>
      <c r="C13" s="43"/>
    </row>
    <row r="14" spans="1:3" x14ac:dyDescent="0.3">
      <c r="A14" s="44" t="s">
        <v>626</v>
      </c>
      <c r="B14" s="45" t="s">
        <v>627</v>
      </c>
    </row>
    <row r="15" spans="1:3" x14ac:dyDescent="0.3">
      <c r="A15" s="44" t="s">
        <v>628</v>
      </c>
      <c r="B15" s="45" t="s">
        <v>629</v>
      </c>
    </row>
    <row r="17" spans="1:3" ht="22.05" customHeight="1" x14ac:dyDescent="0.3">
      <c r="A17" s="42" t="s">
        <v>630</v>
      </c>
      <c r="B17" s="43"/>
      <c r="C17" s="43"/>
    </row>
    <row r="18" spans="1:3" x14ac:dyDescent="0.3">
      <c r="A18" s="44" t="s">
        <v>631</v>
      </c>
      <c r="B18" s="45" t="s">
        <v>632</v>
      </c>
    </row>
    <row r="19" spans="1:3" x14ac:dyDescent="0.3">
      <c r="A19" s="44" t="s">
        <v>254</v>
      </c>
      <c r="B19" s="45" t="s">
        <v>633</v>
      </c>
    </row>
    <row r="20" spans="1:3" x14ac:dyDescent="0.3">
      <c r="A20" s="44" t="s">
        <v>634</v>
      </c>
      <c r="B20" s="45" t="s">
        <v>635</v>
      </c>
    </row>
    <row r="21" spans="1:3" x14ac:dyDescent="0.3">
      <c r="A21" s="44" t="s">
        <v>636</v>
      </c>
      <c r="B21" s="45" t="s">
        <v>637</v>
      </c>
    </row>
    <row r="22" spans="1:3" x14ac:dyDescent="0.3">
      <c r="A22" s="44" t="s">
        <v>638</v>
      </c>
      <c r="B22" s="45" t="s">
        <v>639</v>
      </c>
    </row>
    <row r="24" spans="1:3" ht="22.05" customHeight="1" x14ac:dyDescent="0.3">
      <c r="A24" s="42" t="s">
        <v>640</v>
      </c>
      <c r="B24" s="43"/>
      <c r="C24" s="43"/>
    </row>
    <row r="25" spans="1:3" x14ac:dyDescent="0.3">
      <c r="A25" s="46" t="s">
        <v>641</v>
      </c>
      <c r="B25" s="47" t="s">
        <v>254</v>
      </c>
    </row>
    <row r="26" spans="1:3" x14ac:dyDescent="0.3">
      <c r="A26" s="45" t="s">
        <v>642</v>
      </c>
      <c r="B26" s="48" t="s">
        <v>643</v>
      </c>
    </row>
    <row r="27" spans="1:3" x14ac:dyDescent="0.3">
      <c r="A27" s="49" t="s">
        <v>644</v>
      </c>
      <c r="B27" s="50" t="s">
        <v>643</v>
      </c>
    </row>
    <row r="28" spans="1:3" x14ac:dyDescent="0.3">
      <c r="A28" s="45" t="s">
        <v>645</v>
      </c>
      <c r="B28" s="48" t="s">
        <v>643</v>
      </c>
    </row>
    <row r="29" spans="1:3" x14ac:dyDescent="0.3">
      <c r="A29" s="49" t="s">
        <v>646</v>
      </c>
      <c r="B29" s="50" t="s">
        <v>643</v>
      </c>
    </row>
    <row r="30" spans="1:3" x14ac:dyDescent="0.3">
      <c r="A30" s="45" t="s">
        <v>647</v>
      </c>
      <c r="B30" s="48" t="s">
        <v>643</v>
      </c>
    </row>
    <row r="31" spans="1:3" x14ac:dyDescent="0.3">
      <c r="A31" s="49" t="s">
        <v>648</v>
      </c>
      <c r="B31" s="50" t="s">
        <v>643</v>
      </c>
    </row>
    <row r="32" spans="1:3" x14ac:dyDescent="0.3">
      <c r="A32" s="45" t="s">
        <v>649</v>
      </c>
      <c r="B32" s="48" t="s">
        <v>643</v>
      </c>
    </row>
    <row r="33" spans="1:2" x14ac:dyDescent="0.3">
      <c r="A33" s="49" t="s">
        <v>650</v>
      </c>
      <c r="B33" s="50" t="s">
        <v>643</v>
      </c>
    </row>
    <row r="34" spans="1:2" x14ac:dyDescent="0.3">
      <c r="A34" s="45" t="s">
        <v>651</v>
      </c>
      <c r="B34" s="48" t="s">
        <v>643</v>
      </c>
    </row>
    <row r="35" spans="1:2" x14ac:dyDescent="0.3">
      <c r="A35" s="49" t="s">
        <v>652</v>
      </c>
      <c r="B35" s="50" t="s">
        <v>643</v>
      </c>
    </row>
    <row r="36" spans="1:2" x14ac:dyDescent="0.3">
      <c r="A36" s="45" t="s">
        <v>653</v>
      </c>
      <c r="B36" s="48" t="s">
        <v>643</v>
      </c>
    </row>
    <row r="37" spans="1:2" x14ac:dyDescent="0.3">
      <c r="A37" s="49" t="s">
        <v>654</v>
      </c>
      <c r="B37" s="50" t="s">
        <v>643</v>
      </c>
    </row>
    <row r="38" spans="1:2" x14ac:dyDescent="0.3">
      <c r="A38" s="45" t="s">
        <v>655</v>
      </c>
      <c r="B38" s="48" t="s">
        <v>643</v>
      </c>
    </row>
    <row r="39" spans="1:2" x14ac:dyDescent="0.3">
      <c r="A39" s="49" t="s">
        <v>656</v>
      </c>
      <c r="B39" s="50" t="s">
        <v>643</v>
      </c>
    </row>
    <row r="40" spans="1:2" x14ac:dyDescent="0.3">
      <c r="A40" s="45" t="s">
        <v>657</v>
      </c>
      <c r="B40" s="51" t="s">
        <v>658</v>
      </c>
    </row>
    <row r="41" spans="1:2" x14ac:dyDescent="0.3">
      <c r="A41" s="49" t="s">
        <v>659</v>
      </c>
      <c r="B41" s="50" t="s">
        <v>643</v>
      </c>
    </row>
    <row r="42" spans="1:2" x14ac:dyDescent="0.3">
      <c r="A42" s="45" t="s">
        <v>660</v>
      </c>
      <c r="B42" s="48" t="s">
        <v>643</v>
      </c>
    </row>
    <row r="43" spans="1:2" x14ac:dyDescent="0.3">
      <c r="A43" s="49" t="s">
        <v>661</v>
      </c>
      <c r="B43" s="52" t="s">
        <v>658</v>
      </c>
    </row>
    <row r="44" spans="1:2" x14ac:dyDescent="0.3">
      <c r="A44" s="45" t="s">
        <v>662</v>
      </c>
      <c r="B44" s="48" t="s">
        <v>643</v>
      </c>
    </row>
    <row r="45" spans="1:2" x14ac:dyDescent="0.3">
      <c r="A45" s="49" t="s">
        <v>663</v>
      </c>
      <c r="B45" s="52" t="s">
        <v>658</v>
      </c>
    </row>
    <row r="46" spans="1:2" x14ac:dyDescent="0.3">
      <c r="A46" s="45" t="s">
        <v>664</v>
      </c>
      <c r="B46" s="48" t="s">
        <v>643</v>
      </c>
    </row>
    <row r="47" spans="1:2" x14ac:dyDescent="0.3">
      <c r="A47" s="49" t="s">
        <v>665</v>
      </c>
      <c r="B47" s="50" t="s">
        <v>643</v>
      </c>
    </row>
    <row r="48" spans="1:2" x14ac:dyDescent="0.3">
      <c r="A48" s="45" t="s">
        <v>666</v>
      </c>
      <c r="B48" s="48" t="s">
        <v>643</v>
      </c>
    </row>
    <row r="49" spans="1:2" x14ac:dyDescent="0.3">
      <c r="A49" s="49" t="s">
        <v>667</v>
      </c>
      <c r="B49" s="50" t="s">
        <v>643</v>
      </c>
    </row>
    <row r="50" spans="1:2" x14ac:dyDescent="0.3">
      <c r="A50" s="45" t="s">
        <v>668</v>
      </c>
      <c r="B50" s="48" t="s">
        <v>643</v>
      </c>
    </row>
    <row r="51" spans="1:2" x14ac:dyDescent="0.3">
      <c r="A51" s="49" t="s">
        <v>669</v>
      </c>
      <c r="B51" s="50" t="s">
        <v>643</v>
      </c>
    </row>
    <row r="52" spans="1:2" x14ac:dyDescent="0.3">
      <c r="A52" s="45" t="s">
        <v>670</v>
      </c>
      <c r="B52" s="48" t="s">
        <v>643</v>
      </c>
    </row>
    <row r="53" spans="1:2" x14ac:dyDescent="0.3">
      <c r="A53" s="49" t="s">
        <v>671</v>
      </c>
      <c r="B53" s="50" t="s">
        <v>643</v>
      </c>
    </row>
    <row r="54" spans="1:2" x14ac:dyDescent="0.3">
      <c r="A54" s="45" t="s">
        <v>672</v>
      </c>
      <c r="B54" s="48" t="s">
        <v>643</v>
      </c>
    </row>
    <row r="55" spans="1:2" x14ac:dyDescent="0.3">
      <c r="A55" s="49" t="s">
        <v>673</v>
      </c>
      <c r="B55" s="50" t="s">
        <v>643</v>
      </c>
    </row>
    <row r="56" spans="1:2" x14ac:dyDescent="0.3">
      <c r="A56" s="45" t="s">
        <v>674</v>
      </c>
      <c r="B56" s="48" t="s">
        <v>643</v>
      </c>
    </row>
    <row r="57" spans="1:2" x14ac:dyDescent="0.3">
      <c r="A57" s="49" t="s">
        <v>675</v>
      </c>
      <c r="B57" s="50" t="s">
        <v>643</v>
      </c>
    </row>
    <row r="58" spans="1:2" x14ac:dyDescent="0.3">
      <c r="A58" s="45" t="s">
        <v>676</v>
      </c>
      <c r="B58" s="48" t="s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Payroll Schedule</vt:lpstr>
      <vt:lpstr>Debt Schedule</vt:lpstr>
      <vt:lpstr>CapEx Depreciation</vt:lpstr>
      <vt:lpstr>Working Capital</vt:lpstr>
      <vt:lpstr>Cash Equity Schedule</vt:lpstr>
      <vt:lpstr>Model Inputs</vt:lpstr>
      <vt:lpstr>FINMO</vt:lpstr>
      <vt:lpstr>Audit Source</vt:lpstr>
      <vt:lpstr>Checks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CareFirst Home Health Services Financial Model</dc:title>
  <dc:subject>Client financial model workbook</dc:subject>
  <dc:creator>Business Plan Generator</dc:creator>
  <cp:lastModifiedBy>Ignatius Henry</cp:lastModifiedBy>
  <dcterms:created xsi:type="dcterms:W3CDTF">2026-05-21T01:36:58Z</dcterms:created>
  <dcterms:modified xsi:type="dcterms:W3CDTF">2026-05-21T01:39:07Z</dcterms:modified>
</cp:coreProperties>
</file>