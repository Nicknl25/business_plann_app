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Cilient Plans\"/>
    </mc:Choice>
  </mc:AlternateContent>
  <xr:revisionPtr revIDLastSave="0" documentId="13_ncr:1_{757DDA48-0369-425D-9DD1-CE3E20D79EA1}" xr6:coauthVersionLast="47" xr6:coauthVersionMax="47" xr10:uidLastSave="{00000000-0000-0000-0000-000000000000}"/>
  <bookViews>
    <workbookView xWindow="-57720" yWindow="1620" windowWidth="29040" windowHeight="15720" firstSheet="1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7" i="10" l="1"/>
  <c r="F176" i="10"/>
  <c r="F175" i="10"/>
  <c r="F174" i="10"/>
  <c r="F173" i="10"/>
  <c r="F172" i="10"/>
  <c r="F171" i="10"/>
  <c r="E166" i="10"/>
  <c r="E159" i="10"/>
  <c r="G159" i="10" s="1"/>
  <c r="I159" i="10" s="1"/>
  <c r="E158" i="10"/>
  <c r="G158" i="10" s="1"/>
  <c r="I158" i="10" s="1"/>
  <c r="E157" i="10"/>
  <c r="G157" i="10" s="1"/>
  <c r="I157" i="10" s="1"/>
  <c r="E156" i="10"/>
  <c r="G156" i="10" s="1"/>
  <c r="I156" i="10" s="1"/>
  <c r="E155" i="10"/>
  <c r="G155" i="10" s="1"/>
  <c r="I155" i="10" s="1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E146" i="10"/>
  <c r="G146" i="10" s="1"/>
  <c r="I146" i="10" s="1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E138" i="10"/>
  <c r="G138" i="10" s="1"/>
  <c r="I138" i="10" s="1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E117" i="10"/>
  <c r="G117" i="10" s="1"/>
  <c r="I117" i="10" s="1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E92" i="10"/>
  <c r="G92" i="10" s="1"/>
  <c r="I92" i="10" s="1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E84" i="10"/>
  <c r="G84" i="10" s="1"/>
  <c r="I84" i="10" s="1"/>
  <c r="E83" i="10"/>
  <c r="G83" i="10" s="1"/>
  <c r="I83" i="10" s="1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E71" i="10"/>
  <c r="G71" i="10" s="1"/>
  <c r="I71" i="10" s="1"/>
  <c r="E70" i="10"/>
  <c r="G70" i="10" s="1"/>
  <c r="I70" i="10" s="1"/>
  <c r="E69" i="10"/>
  <c r="G69" i="10" s="1"/>
  <c r="I69" i="10" s="1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E57" i="10"/>
  <c r="G57" i="10" s="1"/>
  <c r="I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E52" i="10"/>
  <c r="G52" i="10" s="1"/>
  <c r="I52" i="10" s="1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W56" i="7"/>
  <c r="W52" i="8" s="1"/>
  <c r="W53" i="8" s="1"/>
  <c r="V56" i="7"/>
  <c r="V52" i="8" s="1"/>
  <c r="V53" i="8" s="1"/>
  <c r="U56" i="7"/>
  <c r="T56" i="7"/>
  <c r="T52" i="8" s="1"/>
  <c r="S56" i="7"/>
  <c r="S52" i="8" s="1"/>
  <c r="S53" i="8" s="1"/>
  <c r="R56" i="7"/>
  <c r="R52" i="8" s="1"/>
  <c r="R53" i="8" s="1"/>
  <c r="Q56" i="7"/>
  <c r="Q52" i="8" s="1"/>
  <c r="Q53" i="8" s="1"/>
  <c r="P56" i="7"/>
  <c r="P52" i="8" s="1"/>
  <c r="O56" i="7"/>
  <c r="O52" i="8" s="1"/>
  <c r="O53" i="8" s="1"/>
  <c r="N56" i="7"/>
  <c r="N52" i="8" s="1"/>
  <c r="N53" i="8" s="1"/>
  <c r="M56" i="7"/>
  <c r="M52" i="8" s="1"/>
  <c r="M53" i="8" s="1"/>
  <c r="L56" i="7"/>
  <c r="L52" i="8" s="1"/>
  <c r="K56" i="7"/>
  <c r="K52" i="8" s="1"/>
  <c r="K53" i="8" s="1"/>
  <c r="J56" i="7"/>
  <c r="J52" i="8" s="1"/>
  <c r="J53" i="8" s="1"/>
  <c r="I56" i="7"/>
  <c r="I52" i="8" s="1"/>
  <c r="I53" i="8" s="1"/>
  <c r="H56" i="7"/>
  <c r="G56" i="7"/>
  <c r="G52" i="8" s="1"/>
  <c r="G53" i="8" s="1"/>
  <c r="F56" i="7"/>
  <c r="E56" i="7"/>
  <c r="D56" i="7"/>
  <c r="D52" i="8" s="1"/>
  <c r="C56" i="7"/>
  <c r="C52" i="8" s="1"/>
  <c r="C55" i="7"/>
  <c r="C52" i="7"/>
  <c r="C17" i="8" s="1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C49" i="7"/>
  <c r="W46" i="7"/>
  <c r="W54" i="8" s="1"/>
  <c r="V46" i="7"/>
  <c r="V54" i="8" s="1"/>
  <c r="U46" i="7"/>
  <c r="U54" i="8" s="1"/>
  <c r="T46" i="7"/>
  <c r="S46" i="7"/>
  <c r="S54" i="8" s="1"/>
  <c r="R46" i="7"/>
  <c r="R54" i="8" s="1"/>
  <c r="Q46" i="7"/>
  <c r="Q54" i="8" s="1"/>
  <c r="P46" i="7"/>
  <c r="P54" i="8" s="1"/>
  <c r="O46" i="7"/>
  <c r="N46" i="7"/>
  <c r="M46" i="7"/>
  <c r="M54" i="8" s="1"/>
  <c r="L46" i="7"/>
  <c r="K46" i="7"/>
  <c r="J46" i="7"/>
  <c r="I46" i="7"/>
  <c r="I54" i="8" s="1"/>
  <c r="H46" i="7"/>
  <c r="G46" i="7"/>
  <c r="G54" i="8" s="1"/>
  <c r="F46" i="7"/>
  <c r="F54" i="8" s="1"/>
  <c r="E46" i="7"/>
  <c r="E54" i="8" s="1"/>
  <c r="D46" i="7"/>
  <c r="C46" i="7"/>
  <c r="C54" i="8" s="1"/>
  <c r="C45" i="7"/>
  <c r="W44" i="7"/>
  <c r="AB44" i="7" s="1"/>
  <c r="V44" i="7"/>
  <c r="U44" i="7"/>
  <c r="T44" i="7"/>
  <c r="S44" i="7"/>
  <c r="AA44" i="7" s="1"/>
  <c r="R44" i="7"/>
  <c r="Q44" i="7"/>
  <c r="P44" i="7"/>
  <c r="O44" i="7"/>
  <c r="Z44" i="7" s="1"/>
  <c r="N44" i="7"/>
  <c r="M44" i="7"/>
  <c r="L44" i="7"/>
  <c r="K44" i="7"/>
  <c r="Y44" i="7" s="1"/>
  <c r="J44" i="7"/>
  <c r="I44" i="7"/>
  <c r="H44" i="7"/>
  <c r="G44" i="7"/>
  <c r="X44" i="7" s="1"/>
  <c r="F44" i="7"/>
  <c r="E44" i="7"/>
  <c r="D44" i="7"/>
  <c r="C44" i="7"/>
  <c r="C33" i="8" s="1"/>
  <c r="W43" i="7"/>
  <c r="AB43" i="7" s="1"/>
  <c r="V43" i="7"/>
  <c r="U43" i="7"/>
  <c r="T43" i="7"/>
  <c r="S43" i="7"/>
  <c r="AA43" i="7" s="1"/>
  <c r="R43" i="7"/>
  <c r="Q43" i="7"/>
  <c r="P43" i="7"/>
  <c r="O43" i="7"/>
  <c r="Z43" i="7" s="1"/>
  <c r="N43" i="7"/>
  <c r="M43" i="7"/>
  <c r="L43" i="7"/>
  <c r="K43" i="7"/>
  <c r="Y43" i="7" s="1"/>
  <c r="J43" i="7"/>
  <c r="I43" i="7"/>
  <c r="H43" i="7"/>
  <c r="G43" i="7"/>
  <c r="X43" i="7" s="1"/>
  <c r="F43" i="7"/>
  <c r="E43" i="7"/>
  <c r="D43" i="7"/>
  <c r="C43" i="7"/>
  <c r="C32" i="8" s="1"/>
  <c r="Z42" i="7"/>
  <c r="W42" i="7"/>
  <c r="AB42" i="7" s="1"/>
  <c r="V42" i="7"/>
  <c r="U42" i="7"/>
  <c r="T42" i="7"/>
  <c r="S42" i="7"/>
  <c r="AA42" i="7" s="1"/>
  <c r="R42" i="7"/>
  <c r="Q42" i="7"/>
  <c r="P42" i="7"/>
  <c r="O42" i="7"/>
  <c r="N42" i="7"/>
  <c r="M42" i="7"/>
  <c r="L42" i="7"/>
  <c r="K42" i="7"/>
  <c r="Y42" i="7" s="1"/>
  <c r="J42" i="7"/>
  <c r="I42" i="7"/>
  <c r="H42" i="7"/>
  <c r="G42" i="7"/>
  <c r="X42" i="7" s="1"/>
  <c r="F42" i="7"/>
  <c r="E42" i="7"/>
  <c r="D42" i="7"/>
  <c r="C42" i="7"/>
  <c r="W41" i="7"/>
  <c r="AB41" i="7" s="1"/>
  <c r="V41" i="7"/>
  <c r="U41" i="7"/>
  <c r="T41" i="7"/>
  <c r="S41" i="7"/>
  <c r="AA41" i="7" s="1"/>
  <c r="R41" i="7"/>
  <c r="Q41" i="7"/>
  <c r="P41" i="7"/>
  <c r="O41" i="7"/>
  <c r="Z41" i="7" s="1"/>
  <c r="N41" i="7"/>
  <c r="M41" i="7"/>
  <c r="L41" i="7"/>
  <c r="K41" i="7"/>
  <c r="Y41" i="7" s="1"/>
  <c r="J41" i="7"/>
  <c r="I41" i="7"/>
  <c r="H41" i="7"/>
  <c r="G41" i="7"/>
  <c r="X41" i="7" s="1"/>
  <c r="F41" i="7"/>
  <c r="E41" i="7"/>
  <c r="D41" i="7"/>
  <c r="C41" i="7"/>
  <c r="C24" i="8" s="1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Y40" i="7" s="1"/>
  <c r="J40" i="7"/>
  <c r="I40" i="7"/>
  <c r="H40" i="7"/>
  <c r="G40" i="7"/>
  <c r="X40" i="7" s="1"/>
  <c r="F40" i="7"/>
  <c r="E40" i="7"/>
  <c r="D40" i="7"/>
  <c r="C40" i="7"/>
  <c r="C46" i="8" s="1"/>
  <c r="C61" i="8" s="1"/>
  <c r="D46" i="8" s="1"/>
  <c r="W37" i="7"/>
  <c r="V37" i="7"/>
  <c r="V57" i="8" s="1"/>
  <c r="U37" i="7"/>
  <c r="U57" i="8" s="1"/>
  <c r="T37" i="7"/>
  <c r="T57" i="8" s="1"/>
  <c r="S37" i="7"/>
  <c r="AA37" i="7" s="1"/>
  <c r="R37" i="7"/>
  <c r="R57" i="8" s="1"/>
  <c r="Q37" i="7"/>
  <c r="Q57" i="8" s="1"/>
  <c r="P37" i="7"/>
  <c r="P57" i="8" s="1"/>
  <c r="O37" i="7"/>
  <c r="Z37" i="7" s="1"/>
  <c r="N37" i="7"/>
  <c r="N57" i="8" s="1"/>
  <c r="M37" i="7"/>
  <c r="M57" i="8" s="1"/>
  <c r="L37" i="7"/>
  <c r="L57" i="8" s="1"/>
  <c r="K37" i="7"/>
  <c r="K57" i="8" s="1"/>
  <c r="J37" i="7"/>
  <c r="J57" i="8" s="1"/>
  <c r="I37" i="7"/>
  <c r="I57" i="8" s="1"/>
  <c r="H37" i="7"/>
  <c r="H57" i="8" s="1"/>
  <c r="G37" i="7"/>
  <c r="G57" i="8" s="1"/>
  <c r="F37" i="7"/>
  <c r="F57" i="8" s="1"/>
  <c r="E37" i="7"/>
  <c r="E57" i="8" s="1"/>
  <c r="D37" i="7"/>
  <c r="D57" i="8" s="1"/>
  <c r="C37" i="7"/>
  <c r="C57" i="8" s="1"/>
  <c r="W36" i="7"/>
  <c r="AB36" i="7" s="1"/>
  <c r="V36" i="7"/>
  <c r="V41" i="8" s="1"/>
  <c r="U36" i="7"/>
  <c r="U41" i="8" s="1"/>
  <c r="T36" i="7"/>
  <c r="T41" i="8" s="1"/>
  <c r="S36" i="7"/>
  <c r="S41" i="8" s="1"/>
  <c r="AA41" i="8" s="1"/>
  <c r="R36" i="7"/>
  <c r="R41" i="8" s="1"/>
  <c r="Q36" i="7"/>
  <c r="Q41" i="8" s="1"/>
  <c r="P36" i="7"/>
  <c r="P41" i="8" s="1"/>
  <c r="O36" i="7"/>
  <c r="Z36" i="7" s="1"/>
  <c r="N36" i="7"/>
  <c r="N41" i="8" s="1"/>
  <c r="M36" i="7"/>
  <c r="M41" i="8" s="1"/>
  <c r="L36" i="7"/>
  <c r="L41" i="8" s="1"/>
  <c r="K36" i="7"/>
  <c r="Y36" i="7" s="1"/>
  <c r="J36" i="7"/>
  <c r="J41" i="8" s="1"/>
  <c r="I36" i="7"/>
  <c r="I41" i="8" s="1"/>
  <c r="H36" i="7"/>
  <c r="H41" i="8" s="1"/>
  <c r="G36" i="7"/>
  <c r="G41" i="8" s="1"/>
  <c r="X41" i="8" s="1"/>
  <c r="F36" i="7"/>
  <c r="F41" i="8" s="1"/>
  <c r="E36" i="7"/>
  <c r="E41" i="8" s="1"/>
  <c r="D36" i="7"/>
  <c r="D41" i="8" s="1"/>
  <c r="C36" i="7"/>
  <c r="C41" i="8" s="1"/>
  <c r="W35" i="7"/>
  <c r="W39" i="8" s="1"/>
  <c r="V35" i="7"/>
  <c r="V39" i="8" s="1"/>
  <c r="U35" i="7"/>
  <c r="U39" i="8" s="1"/>
  <c r="T35" i="7"/>
  <c r="T39" i="8" s="1"/>
  <c r="S35" i="7"/>
  <c r="S39" i="8" s="1"/>
  <c r="AA39" i="8" s="1"/>
  <c r="R35" i="7"/>
  <c r="R39" i="8" s="1"/>
  <c r="Q35" i="7"/>
  <c r="Q39" i="8" s="1"/>
  <c r="P35" i="7"/>
  <c r="P39" i="8" s="1"/>
  <c r="O35" i="7"/>
  <c r="Z35" i="7" s="1"/>
  <c r="N35" i="7"/>
  <c r="N39" i="8" s="1"/>
  <c r="M35" i="7"/>
  <c r="M39" i="8" s="1"/>
  <c r="L35" i="7"/>
  <c r="L39" i="8" s="1"/>
  <c r="K35" i="7"/>
  <c r="Y35" i="7" s="1"/>
  <c r="J35" i="7"/>
  <c r="J39" i="8" s="1"/>
  <c r="I35" i="7"/>
  <c r="I39" i="8" s="1"/>
  <c r="H35" i="7"/>
  <c r="H39" i="8" s="1"/>
  <c r="G35" i="7"/>
  <c r="F35" i="7"/>
  <c r="F39" i="8" s="1"/>
  <c r="E35" i="7"/>
  <c r="E39" i="8" s="1"/>
  <c r="D35" i="7"/>
  <c r="D39" i="8" s="1"/>
  <c r="C35" i="7"/>
  <c r="C39" i="8" s="1"/>
  <c r="W34" i="7"/>
  <c r="V34" i="7"/>
  <c r="U34" i="7"/>
  <c r="T34" i="7"/>
  <c r="AB34" i="7" s="1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B26" i="7"/>
  <c r="AA26" i="7"/>
  <c r="Z26" i="7"/>
  <c r="Y26" i="7"/>
  <c r="X26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Y24" i="7" s="1"/>
  <c r="G24" i="7"/>
  <c r="F24" i="7"/>
  <c r="E24" i="7"/>
  <c r="D24" i="7"/>
  <c r="C24" i="7"/>
  <c r="W22" i="7"/>
  <c r="V22" i="7"/>
  <c r="U22" i="7"/>
  <c r="T22" i="7"/>
  <c r="S22" i="7"/>
  <c r="R22" i="7"/>
  <c r="Q22" i="7"/>
  <c r="P22" i="7"/>
  <c r="O22" i="7"/>
  <c r="N22" i="7"/>
  <c r="M22" i="7"/>
  <c r="L22" i="7"/>
  <c r="Z22" i="7" s="1"/>
  <c r="K22" i="7"/>
  <c r="J22" i="7"/>
  <c r="I22" i="7"/>
  <c r="H22" i="7"/>
  <c r="G22" i="7"/>
  <c r="F22" i="7"/>
  <c r="E22" i="7"/>
  <c r="D22" i="7"/>
  <c r="C22" i="7"/>
  <c r="AB21" i="7"/>
  <c r="AA21" i="7"/>
  <c r="Z21" i="7"/>
  <c r="Y21" i="7"/>
  <c r="X21" i="7"/>
  <c r="W19" i="7"/>
  <c r="W13" i="8" s="1"/>
  <c r="V19" i="7"/>
  <c r="V13" i="8" s="1"/>
  <c r="U19" i="7"/>
  <c r="T19" i="7"/>
  <c r="T13" i="8" s="1"/>
  <c r="S19" i="7"/>
  <c r="R19" i="7"/>
  <c r="Q19" i="7"/>
  <c r="P19" i="7"/>
  <c r="O19" i="7"/>
  <c r="O13" i="8" s="1"/>
  <c r="N19" i="7"/>
  <c r="N13" i="8" s="1"/>
  <c r="M19" i="7"/>
  <c r="M13" i="8" s="1"/>
  <c r="L19" i="7"/>
  <c r="L13" i="8" s="1"/>
  <c r="K19" i="7"/>
  <c r="K13" i="8" s="1"/>
  <c r="J19" i="7"/>
  <c r="J13" i="8" s="1"/>
  <c r="I19" i="7"/>
  <c r="I13" i="8" s="1"/>
  <c r="H19" i="7"/>
  <c r="G19" i="7"/>
  <c r="G13" i="8" s="1"/>
  <c r="F19" i="7"/>
  <c r="F13" i="8" s="1"/>
  <c r="E19" i="7"/>
  <c r="E13" i="8" s="1"/>
  <c r="D19" i="7"/>
  <c r="D13" i="8" s="1"/>
  <c r="C19" i="7"/>
  <c r="C13" i="8" s="1"/>
  <c r="AB18" i="7"/>
  <c r="AA18" i="7"/>
  <c r="Z18" i="7"/>
  <c r="Y18" i="7"/>
  <c r="X18" i="7"/>
  <c r="AB17" i="7"/>
  <c r="AA17" i="7"/>
  <c r="Z17" i="7"/>
  <c r="Y17" i="7"/>
  <c r="X17" i="7"/>
  <c r="AB16" i="7"/>
  <c r="AA16" i="7"/>
  <c r="Z16" i="7"/>
  <c r="Y16" i="7"/>
  <c r="X16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W11" i="7"/>
  <c r="V11" i="7"/>
  <c r="U11" i="7"/>
  <c r="T11" i="7"/>
  <c r="AB11" i="7" s="1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X11" i="7" s="1"/>
  <c r="C11" i="7"/>
  <c r="W9" i="7"/>
  <c r="V9" i="7"/>
  <c r="U9" i="7"/>
  <c r="T9" i="7"/>
  <c r="S9" i="7"/>
  <c r="R9" i="7"/>
  <c r="Q9" i="7"/>
  <c r="P9" i="7"/>
  <c r="O9" i="7"/>
  <c r="N9" i="7"/>
  <c r="M9" i="7"/>
  <c r="L9" i="7"/>
  <c r="Z9" i="7" s="1"/>
  <c r="K9" i="7"/>
  <c r="J9" i="7"/>
  <c r="I9" i="7"/>
  <c r="H9" i="7"/>
  <c r="G9" i="7"/>
  <c r="F9" i="7"/>
  <c r="E9" i="7"/>
  <c r="D9" i="7"/>
  <c r="C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C11" i="4"/>
  <c r="AB10" i="4"/>
  <c r="AA10" i="4"/>
  <c r="Z10" i="4"/>
  <c r="Y10" i="4"/>
  <c r="X10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B8" i="4"/>
  <c r="AA8" i="4"/>
  <c r="Z8" i="4"/>
  <c r="Y8" i="4"/>
  <c r="X8" i="4"/>
  <c r="C26" i="3"/>
  <c r="C54" i="7" s="1"/>
  <c r="C29" i="8" s="1"/>
  <c r="D24" i="3"/>
  <c r="AB21" i="3"/>
  <c r="AA21" i="3"/>
  <c r="Z21" i="3"/>
  <c r="Y21" i="3"/>
  <c r="X21" i="3"/>
  <c r="C20" i="3"/>
  <c r="C23" i="3" s="1"/>
  <c r="C53" i="7" s="1"/>
  <c r="C37" i="8" s="1"/>
  <c r="AB19" i="3"/>
  <c r="AA19" i="3"/>
  <c r="Z19" i="3"/>
  <c r="Y19" i="3"/>
  <c r="X19" i="3"/>
  <c r="AB12" i="3"/>
  <c r="AA12" i="3"/>
  <c r="Z12" i="3"/>
  <c r="Y12" i="3"/>
  <c r="X12" i="3"/>
  <c r="C10" i="3"/>
  <c r="C47" i="7" s="1"/>
  <c r="C55" i="8" s="1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G85" i="2"/>
  <c r="H85" i="2" s="1"/>
  <c r="K85" i="2" s="1"/>
  <c r="L85" i="2" s="1"/>
  <c r="G84" i="2"/>
  <c r="H84" i="2" s="1"/>
  <c r="K84" i="2" s="1"/>
  <c r="G83" i="2"/>
  <c r="H83" i="2" s="1"/>
  <c r="K83" i="2" s="1"/>
  <c r="G82" i="2"/>
  <c r="H82" i="2" s="1"/>
  <c r="K82" i="2" s="1"/>
  <c r="G81" i="2"/>
  <c r="H81" i="2" s="1"/>
  <c r="K81" i="2" s="1"/>
  <c r="G80" i="2"/>
  <c r="H80" i="2" s="1"/>
  <c r="G79" i="2"/>
  <c r="H79" i="2" s="1"/>
  <c r="K79" i="2" s="1"/>
  <c r="G78" i="2"/>
  <c r="H78" i="2" s="1"/>
  <c r="K78" i="2" s="1"/>
  <c r="L78" i="2" s="1"/>
  <c r="M78" i="2" s="1"/>
  <c r="G77" i="2"/>
  <c r="H77" i="2" s="1"/>
  <c r="K77" i="2" s="1"/>
  <c r="L77" i="2" s="1"/>
  <c r="G76" i="2"/>
  <c r="H76" i="2" s="1"/>
  <c r="K76" i="2" s="1"/>
  <c r="L76" i="2" s="1"/>
  <c r="G75" i="2"/>
  <c r="H75" i="2" s="1"/>
  <c r="K75" i="2" s="1"/>
  <c r="G74" i="2"/>
  <c r="H74" i="2" s="1"/>
  <c r="K74" i="2" s="1"/>
  <c r="G73" i="2"/>
  <c r="H73" i="2" s="1"/>
  <c r="K73" i="2" s="1"/>
  <c r="G72" i="2"/>
  <c r="H72" i="2" s="1"/>
  <c r="K72" i="2" s="1"/>
  <c r="G71" i="2"/>
  <c r="H71" i="2" s="1"/>
  <c r="K71" i="2" s="1"/>
  <c r="G70" i="2"/>
  <c r="H70" i="2" s="1"/>
  <c r="K70" i="2" s="1"/>
  <c r="G69" i="2"/>
  <c r="H69" i="2" s="1"/>
  <c r="K69" i="2" s="1"/>
  <c r="G68" i="2"/>
  <c r="H68" i="2" s="1"/>
  <c r="K68" i="2" s="1"/>
  <c r="G67" i="2"/>
  <c r="H67" i="2" s="1"/>
  <c r="K67" i="2" s="1"/>
  <c r="G66" i="2"/>
  <c r="H66" i="2" s="1"/>
  <c r="K66" i="2" s="1"/>
  <c r="G65" i="2"/>
  <c r="G64" i="2"/>
  <c r="H64" i="2" s="1"/>
  <c r="K64" i="2" s="1"/>
  <c r="L64" i="2" s="1"/>
  <c r="G63" i="2"/>
  <c r="H63" i="2" s="1"/>
  <c r="K63" i="2" s="1"/>
  <c r="G62" i="2"/>
  <c r="H62" i="2" s="1"/>
  <c r="K62" i="2" s="1"/>
  <c r="G61" i="2"/>
  <c r="G60" i="2"/>
  <c r="H60" i="2" s="1"/>
  <c r="K60" i="2" s="1"/>
  <c r="L60" i="2" s="1"/>
  <c r="M60" i="2" s="1"/>
  <c r="G59" i="2"/>
  <c r="H59" i="2" s="1"/>
  <c r="K59" i="2" s="1"/>
  <c r="G58" i="2"/>
  <c r="G57" i="2"/>
  <c r="H57" i="2" s="1"/>
  <c r="K57" i="2" s="1"/>
  <c r="G56" i="2"/>
  <c r="H56" i="2" s="1"/>
  <c r="K56" i="2" s="1"/>
  <c r="L56" i="2" s="1"/>
  <c r="G55" i="2"/>
  <c r="G54" i="2"/>
  <c r="H54" i="2" s="1"/>
  <c r="G53" i="2"/>
  <c r="H53" i="2" s="1"/>
  <c r="K53" i="2" s="1"/>
  <c r="G52" i="2"/>
  <c r="H52" i="2" s="1"/>
  <c r="K52" i="2" s="1"/>
  <c r="G51" i="2"/>
  <c r="G50" i="2"/>
  <c r="H50" i="2" s="1"/>
  <c r="K50" i="2" s="1"/>
  <c r="G49" i="2"/>
  <c r="G48" i="2"/>
  <c r="H48" i="2" s="1"/>
  <c r="K48" i="2" s="1"/>
  <c r="L48" i="2" s="1"/>
  <c r="G47" i="2"/>
  <c r="G46" i="2"/>
  <c r="G45" i="2"/>
  <c r="H45" i="2" s="1"/>
  <c r="G44" i="2"/>
  <c r="G43" i="2"/>
  <c r="H43" i="2" s="1"/>
  <c r="G42" i="2"/>
  <c r="H42" i="2" s="1"/>
  <c r="G41" i="2"/>
  <c r="H41" i="2" s="1"/>
  <c r="K41" i="2" s="1"/>
  <c r="G40" i="2"/>
  <c r="H40" i="2" s="1"/>
  <c r="K40" i="2" s="1"/>
  <c r="L40" i="2" s="1"/>
  <c r="M40" i="2" s="1"/>
  <c r="G39" i="2"/>
  <c r="G38" i="2"/>
  <c r="H38" i="2" s="1"/>
  <c r="K38" i="2" s="1"/>
  <c r="L38" i="2" s="1"/>
  <c r="M38" i="2" s="1"/>
  <c r="G37" i="2"/>
  <c r="H37" i="2" s="1"/>
  <c r="G36" i="2"/>
  <c r="G35" i="2"/>
  <c r="H35" i="2" s="1"/>
  <c r="K35" i="2" s="1"/>
  <c r="L35" i="2" s="1"/>
  <c r="G34" i="2"/>
  <c r="H34" i="2" s="1"/>
  <c r="K34" i="2" s="1"/>
  <c r="G33" i="2"/>
  <c r="G32" i="2"/>
  <c r="H32" i="2" s="1"/>
  <c r="G31" i="2"/>
  <c r="H31" i="2" s="1"/>
  <c r="G30" i="2"/>
  <c r="G29" i="2"/>
  <c r="H29" i="2" s="1"/>
  <c r="K29" i="2" s="1"/>
  <c r="L29" i="2" s="1"/>
  <c r="G28" i="2"/>
  <c r="G27" i="2"/>
  <c r="H27" i="2" s="1"/>
  <c r="K27" i="2" s="1"/>
  <c r="C17" i="2"/>
  <c r="C16" i="2"/>
  <c r="C15" i="2"/>
  <c r="AB34" i="1"/>
  <c r="AA34" i="1"/>
  <c r="Z34" i="1"/>
  <c r="Y34" i="1"/>
  <c r="X34" i="1"/>
  <c r="AB33" i="1"/>
  <c r="AA33" i="1"/>
  <c r="Z33" i="1"/>
  <c r="Y33" i="1"/>
  <c r="X33" i="1"/>
  <c r="AB32" i="1"/>
  <c r="AA32" i="1"/>
  <c r="Z32" i="1"/>
  <c r="Y32" i="1"/>
  <c r="X32" i="1"/>
  <c r="AB31" i="1"/>
  <c r="AA31" i="1"/>
  <c r="Z31" i="1"/>
  <c r="Y31" i="1"/>
  <c r="X31" i="1"/>
  <c r="AB30" i="1"/>
  <c r="AA30" i="1"/>
  <c r="Z30" i="1"/>
  <c r="Y30" i="1"/>
  <c r="X30" i="1"/>
  <c r="AB29" i="1"/>
  <c r="AA29" i="1"/>
  <c r="Z29" i="1"/>
  <c r="Y29" i="1"/>
  <c r="X29" i="1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C23" i="1"/>
  <c r="W19" i="1"/>
  <c r="W19" i="2" s="1"/>
  <c r="V19" i="1"/>
  <c r="V19" i="2" s="1"/>
  <c r="U19" i="1"/>
  <c r="U19" i="2" s="1"/>
  <c r="T19" i="1"/>
  <c r="T19" i="2" s="1"/>
  <c r="S19" i="1"/>
  <c r="S19" i="2" s="1"/>
  <c r="R19" i="1"/>
  <c r="R19" i="2" s="1"/>
  <c r="Q19" i="1"/>
  <c r="Q19" i="2" s="1"/>
  <c r="P19" i="1"/>
  <c r="P19" i="2" s="1"/>
  <c r="O19" i="1"/>
  <c r="O19" i="2" s="1"/>
  <c r="N19" i="1"/>
  <c r="N19" i="2" s="1"/>
  <c r="M19" i="1"/>
  <c r="M19" i="2" s="1"/>
  <c r="L19" i="1"/>
  <c r="L19" i="2" s="1"/>
  <c r="K19" i="1"/>
  <c r="K19" i="2" s="1"/>
  <c r="J19" i="1"/>
  <c r="J19" i="2" s="1"/>
  <c r="I19" i="1"/>
  <c r="I19" i="2" s="1"/>
  <c r="H19" i="1"/>
  <c r="H19" i="2" s="1"/>
  <c r="G19" i="1"/>
  <c r="G19" i="2" s="1"/>
  <c r="F19" i="1"/>
  <c r="F19" i="2" s="1"/>
  <c r="E19" i="1"/>
  <c r="D19" i="1"/>
  <c r="C19" i="1"/>
  <c r="C19" i="2" s="1"/>
  <c r="W17" i="1"/>
  <c r="W14" i="7" s="1"/>
  <c r="V17" i="1"/>
  <c r="V14" i="7" s="1"/>
  <c r="U17" i="1"/>
  <c r="T17" i="1"/>
  <c r="S17" i="1"/>
  <c r="S14" i="7" s="1"/>
  <c r="R17" i="1"/>
  <c r="R14" i="7" s="1"/>
  <c r="Q17" i="1"/>
  <c r="Q14" i="7" s="1"/>
  <c r="P17" i="1"/>
  <c r="P14" i="7" s="1"/>
  <c r="O17" i="1"/>
  <c r="O14" i="7" s="1"/>
  <c r="N17" i="1"/>
  <c r="M17" i="1"/>
  <c r="M14" i="7" s="1"/>
  <c r="L17" i="1"/>
  <c r="K17" i="1"/>
  <c r="K14" i="7" s="1"/>
  <c r="J17" i="1"/>
  <c r="J14" i="7" s="1"/>
  <c r="I17" i="1"/>
  <c r="I14" i="7" s="1"/>
  <c r="H17" i="1"/>
  <c r="H14" i="7" s="1"/>
  <c r="G17" i="1"/>
  <c r="F17" i="1"/>
  <c r="F14" i="7" s="1"/>
  <c r="E17" i="1"/>
  <c r="E14" i="7" s="1"/>
  <c r="D17" i="1"/>
  <c r="C17" i="1"/>
  <c r="W11" i="1"/>
  <c r="W10" i="7" s="1"/>
  <c r="V11" i="1"/>
  <c r="V10" i="7" s="1"/>
  <c r="U11" i="1"/>
  <c r="U10" i="7" s="1"/>
  <c r="T11" i="1"/>
  <c r="S11" i="1"/>
  <c r="S10" i="7" s="1"/>
  <c r="R11" i="1"/>
  <c r="Q11" i="1"/>
  <c r="P11" i="1"/>
  <c r="O11" i="1"/>
  <c r="N11" i="1"/>
  <c r="N10" i="7" s="1"/>
  <c r="M11" i="1"/>
  <c r="L11" i="1"/>
  <c r="K11" i="1"/>
  <c r="K10" i="7" s="1"/>
  <c r="J11" i="1"/>
  <c r="J10" i="7" s="1"/>
  <c r="I11" i="1"/>
  <c r="H11" i="1"/>
  <c r="G11" i="1"/>
  <c r="G10" i="7" s="1"/>
  <c r="F11" i="1"/>
  <c r="F10" i="7" s="1"/>
  <c r="E11" i="1"/>
  <c r="E10" i="7" s="1"/>
  <c r="D11" i="1"/>
  <c r="C11" i="1"/>
  <c r="C60" i="8"/>
  <c r="C59" i="8"/>
  <c r="C56" i="8"/>
  <c r="O54" i="8"/>
  <c r="N54" i="8"/>
  <c r="K54" i="8"/>
  <c r="J54" i="8"/>
  <c r="C53" i="8"/>
  <c r="U52" i="8"/>
  <c r="U53" i="8" s="1"/>
  <c r="E52" i="8"/>
  <c r="E53" i="8" s="1"/>
  <c r="C51" i="8"/>
  <c r="C50" i="8"/>
  <c r="C49" i="8"/>
  <c r="C48" i="8"/>
  <c r="C47" i="8"/>
  <c r="C34" i="8"/>
  <c r="W33" i="8"/>
  <c r="AB33" i="8" s="1"/>
  <c r="C26" i="8"/>
  <c r="C25" i="8"/>
  <c r="C14" i="8"/>
  <c r="S13" i="8"/>
  <c r="R13" i="8"/>
  <c r="Q13" i="8"/>
  <c r="AA24" i="7" l="1"/>
  <c r="Y8" i="7"/>
  <c r="O41" i="8"/>
  <c r="Z41" i="8" s="1"/>
  <c r="Z8" i="7"/>
  <c r="Z17" i="1"/>
  <c r="K41" i="8"/>
  <c r="Y41" i="8" s="1"/>
  <c r="X9" i="7"/>
  <c r="AA32" i="7"/>
  <c r="Y19" i="2"/>
  <c r="AB9" i="7"/>
  <c r="Z9" i="4"/>
  <c r="Z12" i="7"/>
  <c r="Z19" i="2"/>
  <c r="Z29" i="7"/>
  <c r="AA35" i="7"/>
  <c r="D18" i="3"/>
  <c r="D20" i="3" s="1"/>
  <c r="D50" i="7" s="1"/>
  <c r="D58" i="8" s="1"/>
  <c r="Z19" i="1"/>
  <c r="N20" i="1"/>
  <c r="N15" i="7" s="1"/>
  <c r="N8" i="8" s="1"/>
  <c r="N24" i="8" s="1"/>
  <c r="AA19" i="1"/>
  <c r="AB9" i="4"/>
  <c r="E20" i="1"/>
  <c r="E15" i="7" s="1"/>
  <c r="E8" i="8" s="1"/>
  <c r="X12" i="7"/>
  <c r="AB12" i="7"/>
  <c r="AA29" i="7"/>
  <c r="C50" i="7"/>
  <c r="C58" i="8" s="1"/>
  <c r="Y19" i="7"/>
  <c r="Z30" i="7"/>
  <c r="X56" i="7"/>
  <c r="J15" i="2"/>
  <c r="F52" i="8"/>
  <c r="F53" i="8" s="1"/>
  <c r="M48" i="2"/>
  <c r="Z31" i="7"/>
  <c r="N14" i="7"/>
  <c r="AA12" i="7"/>
  <c r="X24" i="7"/>
  <c r="AB24" i="7"/>
  <c r="W41" i="8"/>
  <c r="AB41" i="8" s="1"/>
  <c r="AA9" i="7"/>
  <c r="O39" i="8"/>
  <c r="Z39" i="8" s="1"/>
  <c r="O57" i="8"/>
  <c r="Z57" i="8" s="1"/>
  <c r="X13" i="7"/>
  <c r="AB13" i="7"/>
  <c r="Y17" i="1"/>
  <c r="Y9" i="7"/>
  <c r="X37" i="7"/>
  <c r="AB46" i="7"/>
  <c r="AB56" i="7"/>
  <c r="S57" i="8"/>
  <c r="AA57" i="8" s="1"/>
  <c r="N15" i="2"/>
  <c r="AB7" i="7"/>
  <c r="AB22" i="7"/>
  <c r="Y37" i="7"/>
  <c r="U56" i="8"/>
  <c r="K16" i="2"/>
  <c r="K21" i="2" s="1"/>
  <c r="Z13" i="8"/>
  <c r="X35" i="7"/>
  <c r="G39" i="8"/>
  <c r="X39" i="8" s="1"/>
  <c r="Y51" i="7"/>
  <c r="AB35" i="7"/>
  <c r="L41" i="2"/>
  <c r="M41" i="2" s="1"/>
  <c r="R15" i="2"/>
  <c r="AA7" i="7"/>
  <c r="D54" i="8"/>
  <c r="X54" i="8" s="1"/>
  <c r="X46" i="7"/>
  <c r="H33" i="2"/>
  <c r="J16" i="2" s="1"/>
  <c r="J21" i="2" s="1"/>
  <c r="E22" i="10"/>
  <c r="G22" i="10" s="1"/>
  <c r="I22" i="10" s="1"/>
  <c r="Y19" i="1"/>
  <c r="X7" i="7"/>
  <c r="Y33" i="7"/>
  <c r="X36" i="7"/>
  <c r="K15" i="2"/>
  <c r="Y15" i="2" s="1"/>
  <c r="AA11" i="7"/>
  <c r="Q15" i="2"/>
  <c r="AA56" i="7"/>
  <c r="L27" i="2"/>
  <c r="M27" i="2" s="1"/>
  <c r="F15" i="2"/>
  <c r="H49" i="2"/>
  <c r="F16" i="2" s="1"/>
  <c r="F21" i="2" s="1"/>
  <c r="C11" i="3"/>
  <c r="D7" i="3" s="1"/>
  <c r="L52" i="2"/>
  <c r="M52" i="2" s="1"/>
  <c r="L71" i="2"/>
  <c r="M71" i="2" s="1"/>
  <c r="T54" i="8"/>
  <c r="AB54" i="8" s="1"/>
  <c r="S16" i="2"/>
  <c r="S21" i="2" s="1"/>
  <c r="Z32" i="7"/>
  <c r="C23" i="8"/>
  <c r="C27" i="8" s="1"/>
  <c r="I15" i="2"/>
  <c r="AA9" i="4"/>
  <c r="Y30" i="7"/>
  <c r="F20" i="1"/>
  <c r="F15" i="7" s="1"/>
  <c r="F8" i="8" s="1"/>
  <c r="F34" i="8" s="1"/>
  <c r="V15" i="2"/>
  <c r="AA36" i="7"/>
  <c r="Z56" i="7"/>
  <c r="J20" i="1"/>
  <c r="J18" i="2" s="1"/>
  <c r="W15" i="2"/>
  <c r="AB15" i="2" s="1"/>
  <c r="H65" i="2"/>
  <c r="K65" i="2" s="1"/>
  <c r="L65" i="2" s="1"/>
  <c r="M65" i="2" s="1"/>
  <c r="K20" i="1"/>
  <c r="K18" i="2" s="1"/>
  <c r="H46" i="2"/>
  <c r="K39" i="8"/>
  <c r="Z7" i="7"/>
  <c r="L14" i="7"/>
  <c r="H13" i="8"/>
  <c r="Y13" i="8" s="1"/>
  <c r="M64" i="2"/>
  <c r="I56" i="8"/>
  <c r="Y9" i="4"/>
  <c r="Y11" i="7"/>
  <c r="Z13" i="7"/>
  <c r="X22" i="7"/>
  <c r="Z33" i="7"/>
  <c r="Z51" i="7"/>
  <c r="H15" i="2"/>
  <c r="Y7" i="7"/>
  <c r="X19" i="1"/>
  <c r="D19" i="2"/>
  <c r="H51" i="2"/>
  <c r="K51" i="2" s="1"/>
  <c r="L51" i="2" s="1"/>
  <c r="M51" i="2" s="1"/>
  <c r="M76" i="2"/>
  <c r="X8" i="7"/>
  <c r="AB8" i="7"/>
  <c r="X32" i="7"/>
  <c r="AA8" i="7"/>
  <c r="AB19" i="1"/>
  <c r="S15" i="2"/>
  <c r="AA15" i="2" s="1"/>
  <c r="Z34" i="7"/>
  <c r="L63" i="2"/>
  <c r="M63" i="2" s="1"/>
  <c r="AA31" i="7"/>
  <c r="L67" i="2"/>
  <c r="M67" i="2" s="1"/>
  <c r="D56" i="8"/>
  <c r="E56" i="8"/>
  <c r="F56" i="8"/>
  <c r="AB52" i="8"/>
  <c r="T53" i="8"/>
  <c r="AB53" i="8" s="1"/>
  <c r="L79" i="2"/>
  <c r="M79" i="2" s="1"/>
  <c r="L66" i="2"/>
  <c r="M66" i="2" s="1"/>
  <c r="U13" i="8"/>
  <c r="AB13" i="8" s="1"/>
  <c r="AB19" i="7"/>
  <c r="L84" i="2"/>
  <c r="M84" i="2" s="1"/>
  <c r="Y14" i="7"/>
  <c r="H36" i="2"/>
  <c r="M15" i="2"/>
  <c r="L73" i="2"/>
  <c r="M73" i="2"/>
  <c r="L86" i="2"/>
  <c r="M86" i="2" s="1"/>
  <c r="AB11" i="1"/>
  <c r="T10" i="7"/>
  <c r="AB10" i="7" s="1"/>
  <c r="L50" i="2"/>
  <c r="M50" i="2" s="1"/>
  <c r="T56" i="8"/>
  <c r="E23" i="10"/>
  <c r="G23" i="10" s="1"/>
  <c r="I23" i="10" s="1"/>
  <c r="C14" i="7"/>
  <c r="H30" i="2"/>
  <c r="G15" i="2"/>
  <c r="X15" i="2" s="1"/>
  <c r="C12" i="4"/>
  <c r="C14" i="4"/>
  <c r="D14" i="7"/>
  <c r="X17" i="1"/>
  <c r="T14" i="7"/>
  <c r="AB17" i="1"/>
  <c r="K43" i="2"/>
  <c r="T16" i="2"/>
  <c r="T21" i="2" s="1"/>
  <c r="X30" i="7"/>
  <c r="AB30" i="7"/>
  <c r="Y32" i="7"/>
  <c r="H55" i="2"/>
  <c r="K55" i="2" s="1"/>
  <c r="L15" i="2"/>
  <c r="L72" i="2"/>
  <c r="M72" i="2" s="1"/>
  <c r="Z52" i="8"/>
  <c r="L53" i="8"/>
  <c r="Z53" i="8" s="1"/>
  <c r="E18" i="2"/>
  <c r="M29" i="2"/>
  <c r="L57" i="2"/>
  <c r="M57" i="2" s="1"/>
  <c r="V56" i="8"/>
  <c r="L74" i="2"/>
  <c r="M74" i="2" s="1"/>
  <c r="K42" i="2"/>
  <c r="AB19" i="2"/>
  <c r="K31" i="2"/>
  <c r="C25" i="7"/>
  <c r="C18" i="8" s="1"/>
  <c r="AA52" i="8"/>
  <c r="P53" i="8"/>
  <c r="AA53" i="8" s="1"/>
  <c r="AB39" i="8"/>
  <c r="U14" i="7"/>
  <c r="U20" i="1"/>
  <c r="T20" i="1"/>
  <c r="H39" i="2"/>
  <c r="P15" i="2"/>
  <c r="AA19" i="7"/>
  <c r="P13" i="8"/>
  <c r="AA13" i="8" s="1"/>
  <c r="Z24" i="7"/>
  <c r="Y57" i="8"/>
  <c r="M35" i="2"/>
  <c r="R20" i="1"/>
  <c r="R10" i="7"/>
  <c r="M56" i="2"/>
  <c r="D10" i="7"/>
  <c r="X10" i="7" s="1"/>
  <c r="X11" i="1"/>
  <c r="D20" i="1"/>
  <c r="X13" i="8"/>
  <c r="V20" i="1"/>
  <c r="C36" i="8"/>
  <c r="C35" i="8"/>
  <c r="C38" i="8" s="1"/>
  <c r="Y46" i="7"/>
  <c r="H54" i="8"/>
  <c r="L10" i="7"/>
  <c r="Z11" i="1"/>
  <c r="L20" i="1"/>
  <c r="G14" i="7"/>
  <c r="G20" i="1"/>
  <c r="W20" i="1"/>
  <c r="L70" i="2"/>
  <c r="M70" i="2" s="1"/>
  <c r="M77" i="2"/>
  <c r="Y56" i="7"/>
  <c r="H52" i="8"/>
  <c r="M20" i="1"/>
  <c r="M10" i="7"/>
  <c r="L81" i="2"/>
  <c r="M81" i="2" s="1"/>
  <c r="H61" i="2"/>
  <c r="L68" i="2"/>
  <c r="M68" i="2"/>
  <c r="N56" i="8"/>
  <c r="L53" i="2"/>
  <c r="M53" i="2" s="1"/>
  <c r="L75" i="2"/>
  <c r="M75" i="2" s="1"/>
  <c r="P10" i="7"/>
  <c r="AA11" i="1"/>
  <c r="P20" i="1"/>
  <c r="E25" i="10"/>
  <c r="G25" i="10" s="1"/>
  <c r="I25" i="10" s="1"/>
  <c r="E19" i="2"/>
  <c r="E14" i="10"/>
  <c r="G14" i="10" s="1"/>
  <c r="I14" i="10" s="1"/>
  <c r="X9" i="4"/>
  <c r="Q10" i="7"/>
  <c r="Q20" i="1"/>
  <c r="AA22" i="7"/>
  <c r="X33" i="7"/>
  <c r="AB33" i="7"/>
  <c r="J56" i="8"/>
  <c r="I16" i="2"/>
  <c r="I21" i="2" s="1"/>
  <c r="K32" i="2"/>
  <c r="M85" i="2"/>
  <c r="Q16" i="2"/>
  <c r="Q21" i="2" s="1"/>
  <c r="K80" i="2"/>
  <c r="C10" i="7"/>
  <c r="S20" i="1"/>
  <c r="L62" i="2"/>
  <c r="M62" i="2" s="1"/>
  <c r="Z11" i="7"/>
  <c r="X51" i="7"/>
  <c r="AB51" i="7"/>
  <c r="L34" i="2"/>
  <c r="M34" i="2" s="1"/>
  <c r="AA13" i="7"/>
  <c r="AA14" i="7"/>
  <c r="D53" i="8"/>
  <c r="C20" i="1"/>
  <c r="H58" i="2"/>
  <c r="O15" i="2"/>
  <c r="Z15" i="2" s="1"/>
  <c r="L82" i="2"/>
  <c r="M82" i="2" s="1"/>
  <c r="Y12" i="7"/>
  <c r="X29" i="7"/>
  <c r="AB29" i="7"/>
  <c r="R56" i="8"/>
  <c r="AA54" i="8"/>
  <c r="L59" i="2"/>
  <c r="M59" i="2" s="1"/>
  <c r="Y34" i="7"/>
  <c r="S56" i="8"/>
  <c r="Z46" i="7"/>
  <c r="L54" i="8"/>
  <c r="AB37" i="7"/>
  <c r="W57" i="8"/>
  <c r="AB57" i="8" s="1"/>
  <c r="M56" i="8"/>
  <c r="AA19" i="2"/>
  <c r="C21" i="2"/>
  <c r="K37" i="2"/>
  <c r="N16" i="2"/>
  <c r="N21" i="2" s="1"/>
  <c r="X31" i="7"/>
  <c r="AB31" i="7"/>
  <c r="O20" i="1"/>
  <c r="O10" i="7"/>
  <c r="H44" i="2"/>
  <c r="U15" i="2"/>
  <c r="Y31" i="7"/>
  <c r="H10" i="7"/>
  <c r="H20" i="1"/>
  <c r="Q56" i="8"/>
  <c r="X57" i="8"/>
  <c r="I10" i="7"/>
  <c r="I20" i="1"/>
  <c r="Y11" i="1"/>
  <c r="K45" i="2"/>
  <c r="K54" i="2"/>
  <c r="L69" i="2"/>
  <c r="M69" i="2" s="1"/>
  <c r="Y29" i="7"/>
  <c r="AA17" i="1"/>
  <c r="L83" i="2"/>
  <c r="M83" i="2" s="1"/>
  <c r="AA30" i="7"/>
  <c r="E15" i="2"/>
  <c r="D15" i="2"/>
  <c r="H28" i="2"/>
  <c r="H47" i="2"/>
  <c r="Y22" i="7"/>
  <c r="T15" i="2"/>
  <c r="AA46" i="7"/>
  <c r="D25" i="3"/>
  <c r="Y13" i="7"/>
  <c r="X19" i="7"/>
  <c r="AA33" i="7"/>
  <c r="AA51" i="7"/>
  <c r="E15" i="10"/>
  <c r="G15" i="10" s="1"/>
  <c r="I15" i="10" s="1"/>
  <c r="Z19" i="7"/>
  <c r="X34" i="7"/>
  <c r="I166" i="10"/>
  <c r="G166" i="10"/>
  <c r="AA34" i="7"/>
  <c r="AB32" i="7"/>
  <c r="L16" i="2" l="1"/>
  <c r="D23" i="3"/>
  <c r="W56" i="8"/>
  <c r="L56" i="8"/>
  <c r="N18" i="2"/>
  <c r="D22" i="3"/>
  <c r="D52" i="7" s="1"/>
  <c r="N26" i="8"/>
  <c r="D49" i="7"/>
  <c r="N9" i="8"/>
  <c r="N25" i="8" s="1"/>
  <c r="N15" i="8"/>
  <c r="Z14" i="7"/>
  <c r="N34" i="8"/>
  <c r="V16" i="2"/>
  <c r="V21" i="2" s="1"/>
  <c r="C48" i="7"/>
  <c r="P56" i="8"/>
  <c r="AA56" i="8" s="1"/>
  <c r="X53" i="8"/>
  <c r="N11" i="8"/>
  <c r="N12" i="8"/>
  <c r="K49" i="2"/>
  <c r="L49" i="2" s="1"/>
  <c r="M49" i="2" s="1"/>
  <c r="F17" i="2" s="1"/>
  <c r="K20" i="2"/>
  <c r="C13" i="3"/>
  <c r="O56" i="8"/>
  <c r="Z56" i="8" s="1"/>
  <c r="K23" i="1"/>
  <c r="Y39" i="8"/>
  <c r="F18" i="2"/>
  <c r="F20" i="2" s="1"/>
  <c r="K15" i="7"/>
  <c r="K8" i="8" s="1"/>
  <c r="K12" i="8" s="1"/>
  <c r="J15" i="7"/>
  <c r="J8" i="8" s="1"/>
  <c r="J26" i="8" s="1"/>
  <c r="K56" i="8"/>
  <c r="N20" i="2"/>
  <c r="X52" i="8"/>
  <c r="K46" i="2"/>
  <c r="L46" i="2" s="1"/>
  <c r="M46" i="2" s="1"/>
  <c r="W17" i="2" s="1"/>
  <c r="W16" i="2"/>
  <c r="W21" i="2" s="1"/>
  <c r="X14" i="7"/>
  <c r="H16" i="2"/>
  <c r="H21" i="2" s="1"/>
  <c r="G56" i="8"/>
  <c r="X56" i="8" s="1"/>
  <c r="J20" i="2"/>
  <c r="K33" i="2"/>
  <c r="L33" i="2" s="1"/>
  <c r="F23" i="1"/>
  <c r="H56" i="8"/>
  <c r="J23" i="1"/>
  <c r="AA10" i="7"/>
  <c r="N10" i="8"/>
  <c r="K44" i="2"/>
  <c r="U16" i="2"/>
  <c r="U21" i="2" s="1"/>
  <c r="M23" i="1"/>
  <c r="M18" i="2"/>
  <c r="M15" i="7"/>
  <c r="M8" i="8" s="1"/>
  <c r="Y54" i="8"/>
  <c r="E18" i="10"/>
  <c r="G18" i="10" s="1"/>
  <c r="I18" i="10" s="1"/>
  <c r="L45" i="2"/>
  <c r="M45" i="2" s="1"/>
  <c r="V17" i="2" s="1"/>
  <c r="P16" i="2"/>
  <c r="K39" i="2"/>
  <c r="E15" i="8"/>
  <c r="E34" i="8"/>
  <c r="E9" i="8"/>
  <c r="E25" i="8" s="1"/>
  <c r="E26" i="8"/>
  <c r="E12" i="8"/>
  <c r="E11" i="8"/>
  <c r="O15" i="7"/>
  <c r="O8" i="8" s="1"/>
  <c r="O18" i="2"/>
  <c r="O23" i="1"/>
  <c r="V23" i="1"/>
  <c r="V18" i="2"/>
  <c r="V20" i="2" s="1"/>
  <c r="V15" i="7"/>
  <c r="V8" i="8" s="1"/>
  <c r="X20" i="1"/>
  <c r="D15" i="7"/>
  <c r="D18" i="2"/>
  <c r="D23" i="1"/>
  <c r="L43" i="2"/>
  <c r="M43" i="2" s="1"/>
  <c r="T17" i="2" s="1"/>
  <c r="L32" i="2"/>
  <c r="M32" i="2" s="1"/>
  <c r="I17" i="2" s="1"/>
  <c r="E23" i="1"/>
  <c r="D10" i="3"/>
  <c r="D11" i="3"/>
  <c r="D45" i="7"/>
  <c r="G15" i="7"/>
  <c r="G8" i="8" s="1"/>
  <c r="G18" i="2"/>
  <c r="G23" i="1"/>
  <c r="L42" i="2"/>
  <c r="M42" i="2" s="1"/>
  <c r="S17" i="2" s="1"/>
  <c r="D53" i="7"/>
  <c r="D37" i="8" s="1"/>
  <c r="E18" i="3"/>
  <c r="Y20" i="1"/>
  <c r="H15" i="7"/>
  <c r="H23" i="1"/>
  <c r="H18" i="2"/>
  <c r="L37" i="2"/>
  <c r="M37" i="2" s="1"/>
  <c r="N17" i="2" s="1"/>
  <c r="X19" i="2"/>
  <c r="K61" i="2"/>
  <c r="R16" i="2"/>
  <c r="R21" i="2" s="1"/>
  <c r="Z20" i="1"/>
  <c r="L23" i="1"/>
  <c r="L18" i="2"/>
  <c r="L15" i="7"/>
  <c r="R15" i="7"/>
  <c r="R8" i="8" s="1"/>
  <c r="R23" i="1"/>
  <c r="R18" i="2"/>
  <c r="AB14" i="7"/>
  <c r="AB56" i="8"/>
  <c r="U23" i="1"/>
  <c r="U18" i="2"/>
  <c r="U15" i="7"/>
  <c r="U8" i="8" s="1"/>
  <c r="L31" i="2"/>
  <c r="M31" i="2"/>
  <c r="H17" i="2" s="1"/>
  <c r="Y52" i="8"/>
  <c r="H53" i="8"/>
  <c r="Y53" i="8" s="1"/>
  <c r="L80" i="2"/>
  <c r="M80" i="2" s="1"/>
  <c r="Q17" i="2" s="1"/>
  <c r="K30" i="2"/>
  <c r="G16" i="2"/>
  <c r="G21" i="2" s="1"/>
  <c r="N23" i="1"/>
  <c r="K58" i="2"/>
  <c r="O16" i="2"/>
  <c r="O21" i="2" s="1"/>
  <c r="D55" i="7"/>
  <c r="K34" i="8"/>
  <c r="Y34" i="8" s="1"/>
  <c r="D26" i="3"/>
  <c r="Q15" i="7"/>
  <c r="Q8" i="8" s="1"/>
  <c r="Q23" i="1"/>
  <c r="Q18" i="2"/>
  <c r="Q20" i="2" s="1"/>
  <c r="C57" i="7"/>
  <c r="C28" i="8" s="1"/>
  <c r="C31" i="8" s="1"/>
  <c r="C40" i="8" s="1"/>
  <c r="D7" i="4"/>
  <c r="L54" i="2"/>
  <c r="M54" i="2" s="1"/>
  <c r="K17" i="2" s="1"/>
  <c r="L21" i="2"/>
  <c r="I15" i="7"/>
  <c r="I8" i="8" s="1"/>
  <c r="I23" i="1"/>
  <c r="I18" i="2"/>
  <c r="I20" i="2" s="1"/>
  <c r="K47" i="2"/>
  <c r="D16" i="2"/>
  <c r="Z54" i="8"/>
  <c r="T15" i="7"/>
  <c r="T18" i="2"/>
  <c r="T23" i="1"/>
  <c r="AB20" i="1"/>
  <c r="K28" i="2"/>
  <c r="E16" i="2"/>
  <c r="E21" i="2" s="1"/>
  <c r="E24" i="8"/>
  <c r="W15" i="7"/>
  <c r="W8" i="8" s="1"/>
  <c r="W18" i="2"/>
  <c r="W23" i="1"/>
  <c r="Y10" i="7"/>
  <c r="K36" i="2"/>
  <c r="M16" i="2"/>
  <c r="M21" i="2" s="1"/>
  <c r="S15" i="7"/>
  <c r="S8" i="8" s="1"/>
  <c r="S18" i="2"/>
  <c r="S20" i="2" s="1"/>
  <c r="S23" i="1"/>
  <c r="P15" i="7"/>
  <c r="P23" i="1"/>
  <c r="P18" i="2"/>
  <c r="AA20" i="1"/>
  <c r="Z10" i="7"/>
  <c r="L55" i="2"/>
  <c r="M55" i="2" s="1"/>
  <c r="L17" i="2" s="1"/>
  <c r="F24" i="8"/>
  <c r="F26" i="8"/>
  <c r="F9" i="8"/>
  <c r="F25" i="8" s="1"/>
  <c r="F12" i="8"/>
  <c r="F11" i="8"/>
  <c r="F15" i="8"/>
  <c r="C14" i="3"/>
  <c r="E24" i="10"/>
  <c r="G24" i="10" s="1"/>
  <c r="I24" i="10" s="1"/>
  <c r="C15" i="7"/>
  <c r="C8" i="8" s="1"/>
  <c r="C18" i="2"/>
  <c r="D13" i="4"/>
  <c r="C58" i="7"/>
  <c r="C30" i="8" s="1"/>
  <c r="K15" i="8" l="1"/>
  <c r="K11" i="8"/>
  <c r="K26" i="8"/>
  <c r="Y26" i="8" s="1"/>
  <c r="E10" i="8"/>
  <c r="G20" i="2"/>
  <c r="Y16" i="2"/>
  <c r="Y21" i="2" s="1"/>
  <c r="K9" i="8"/>
  <c r="K25" i="8" s="1"/>
  <c r="Y25" i="8" s="1"/>
  <c r="K24" i="8"/>
  <c r="Y24" i="8" s="1"/>
  <c r="O20" i="2"/>
  <c r="J12" i="8"/>
  <c r="J24" i="8"/>
  <c r="J34" i="8"/>
  <c r="W20" i="2"/>
  <c r="J15" i="8"/>
  <c r="J9" i="8"/>
  <c r="J25" i="8" s="1"/>
  <c r="J11" i="8"/>
  <c r="Y56" i="8"/>
  <c r="Y23" i="1"/>
  <c r="AA23" i="1"/>
  <c r="AB23" i="1"/>
  <c r="R20" i="2"/>
  <c r="AB16" i="2"/>
  <c r="AB21" i="2" s="1"/>
  <c r="U20" i="2"/>
  <c r="M33" i="2"/>
  <c r="J17" i="2" s="1"/>
  <c r="Y17" i="2" s="1"/>
  <c r="F20" i="7"/>
  <c r="F14" i="8" s="1"/>
  <c r="F32" i="8" s="1"/>
  <c r="F22" i="2"/>
  <c r="V20" i="7"/>
  <c r="V14" i="8" s="1"/>
  <c r="V22" i="2"/>
  <c r="L20" i="7"/>
  <c r="L22" i="2"/>
  <c r="N22" i="2"/>
  <c r="N20" i="7"/>
  <c r="N14" i="8" s="1"/>
  <c r="I20" i="7"/>
  <c r="I14" i="8" s="1"/>
  <c r="I22" i="2"/>
  <c r="T20" i="7"/>
  <c r="T22" i="2"/>
  <c r="K20" i="7"/>
  <c r="K14" i="8" s="1"/>
  <c r="K22" i="2"/>
  <c r="E11" i="10"/>
  <c r="G11" i="10" s="1"/>
  <c r="I11" i="10" s="1"/>
  <c r="D8" i="8"/>
  <c r="X15" i="7"/>
  <c r="AA15" i="7"/>
  <c r="P8" i="8"/>
  <c r="V11" i="8"/>
  <c r="V15" i="8"/>
  <c r="V12" i="8"/>
  <c r="V9" i="8"/>
  <c r="V25" i="8" s="1"/>
  <c r="V26" i="8"/>
  <c r="V24" i="8"/>
  <c r="V34" i="8"/>
  <c r="H20" i="7"/>
  <c r="H22" i="2"/>
  <c r="E7" i="3"/>
  <c r="D48" i="7"/>
  <c r="Y18" i="2"/>
  <c r="H20" i="2"/>
  <c r="D13" i="3"/>
  <c r="S12" i="8"/>
  <c r="S9" i="8"/>
  <c r="S25" i="8" s="1"/>
  <c r="AA25" i="8" s="1"/>
  <c r="S26" i="8"/>
  <c r="AA26" i="8" s="1"/>
  <c r="S15" i="8"/>
  <c r="S10" i="8"/>
  <c r="S24" i="8"/>
  <c r="S11" i="8"/>
  <c r="S34" i="8"/>
  <c r="AA34" i="8" s="1"/>
  <c r="AB15" i="7"/>
  <c r="T8" i="8"/>
  <c r="M11" i="8"/>
  <c r="M26" i="8"/>
  <c r="M12" i="8"/>
  <c r="M34" i="8"/>
  <c r="M15" i="8"/>
  <c r="M9" i="8"/>
  <c r="M25" i="8" s="1"/>
  <c r="M10" i="8"/>
  <c r="M24" i="8"/>
  <c r="L36" i="2"/>
  <c r="M36" i="2"/>
  <c r="M17" i="2" s="1"/>
  <c r="D11" i="4"/>
  <c r="D12" i="4" s="1"/>
  <c r="Z15" i="7"/>
  <c r="L8" i="8"/>
  <c r="D47" i="7"/>
  <c r="M20" i="2"/>
  <c r="L20" i="2"/>
  <c r="Z18" i="2"/>
  <c r="F10" i="8"/>
  <c r="L58" i="2"/>
  <c r="M58" i="2" s="1"/>
  <c r="O17" i="2" s="1"/>
  <c r="E49" i="7"/>
  <c r="E22" i="3"/>
  <c r="E20" i="3"/>
  <c r="E23" i="3" s="1"/>
  <c r="L44" i="2"/>
  <c r="M44" i="2" s="1"/>
  <c r="U17" i="2" s="1"/>
  <c r="C12" i="8"/>
  <c r="C11" i="8"/>
  <c r="C9" i="8"/>
  <c r="C10" i="8" s="1"/>
  <c r="C15" i="8"/>
  <c r="L39" i="2"/>
  <c r="M39" i="2" s="1"/>
  <c r="P17" i="2" s="1"/>
  <c r="T20" i="2"/>
  <c r="AB18" i="2"/>
  <c r="L47" i="2"/>
  <c r="M47" i="2" s="1"/>
  <c r="D17" i="2" s="1"/>
  <c r="C42" i="8"/>
  <c r="C43" i="8" s="1"/>
  <c r="Z23" i="1"/>
  <c r="E171" i="10"/>
  <c r="G171" i="10" s="1"/>
  <c r="I171" i="10" s="1"/>
  <c r="W15" i="8"/>
  <c r="W12" i="8"/>
  <c r="W26" i="8"/>
  <c r="AB26" i="8" s="1"/>
  <c r="W11" i="8"/>
  <c r="W9" i="8"/>
  <c r="W25" i="8" s="1"/>
  <c r="AB25" i="8" s="1"/>
  <c r="W24" i="8"/>
  <c r="W34" i="8"/>
  <c r="AB34" i="8" s="1"/>
  <c r="L61" i="2"/>
  <c r="M61" i="2" s="1"/>
  <c r="R17" i="2" s="1"/>
  <c r="Q20" i="7"/>
  <c r="Q14" i="8" s="1"/>
  <c r="Q22" i="2"/>
  <c r="X18" i="2"/>
  <c r="D20" i="2"/>
  <c r="P20" i="2"/>
  <c r="AA18" i="2"/>
  <c r="L28" i="2"/>
  <c r="M28" i="2" s="1"/>
  <c r="E17" i="2" s="1"/>
  <c r="G15" i="8"/>
  <c r="G26" i="8"/>
  <c r="X26" i="8" s="1"/>
  <c r="G11" i="8"/>
  <c r="G9" i="8"/>
  <c r="G25" i="8" s="1"/>
  <c r="X25" i="8" s="1"/>
  <c r="G34" i="8"/>
  <c r="X34" i="8" s="1"/>
  <c r="G12" i="8"/>
  <c r="G24" i="8"/>
  <c r="I26" i="8"/>
  <c r="I24" i="8"/>
  <c r="I11" i="8"/>
  <c r="I34" i="8"/>
  <c r="I9" i="8"/>
  <c r="I25" i="8" s="1"/>
  <c r="I12" i="8"/>
  <c r="I15" i="8"/>
  <c r="AA16" i="2"/>
  <c r="AA21" i="2" s="1"/>
  <c r="P21" i="2"/>
  <c r="U15" i="8"/>
  <c r="U34" i="8"/>
  <c r="U11" i="8"/>
  <c r="U9" i="8"/>
  <c r="U25" i="8" s="1"/>
  <c r="U26" i="8"/>
  <c r="U24" i="8"/>
  <c r="U12" i="8"/>
  <c r="R12" i="8"/>
  <c r="R11" i="8"/>
  <c r="R24" i="8"/>
  <c r="R34" i="8"/>
  <c r="R9" i="8"/>
  <c r="R25" i="8" s="1"/>
  <c r="R15" i="8"/>
  <c r="R26" i="8"/>
  <c r="Y15" i="7"/>
  <c r="H8" i="8"/>
  <c r="O24" i="8"/>
  <c r="O12" i="8"/>
  <c r="O11" i="8"/>
  <c r="O26" i="8"/>
  <c r="Z26" i="8" s="1"/>
  <c r="O15" i="8"/>
  <c r="O34" i="8"/>
  <c r="Z34" i="8" s="1"/>
  <c r="O9" i="8"/>
  <c r="O25" i="8" s="1"/>
  <c r="Z25" i="8" s="1"/>
  <c r="X16" i="2"/>
  <c r="X21" i="2" s="1"/>
  <c r="D21" i="2"/>
  <c r="F49" i="8"/>
  <c r="Z16" i="2"/>
  <c r="Z21" i="2" s="1"/>
  <c r="Q9" i="8"/>
  <c r="Q25" i="8" s="1"/>
  <c r="Q11" i="8"/>
  <c r="Q15" i="8"/>
  <c r="Q24" i="8"/>
  <c r="Q12" i="8"/>
  <c r="Q26" i="8"/>
  <c r="Q34" i="8"/>
  <c r="L30" i="2"/>
  <c r="M30" i="2" s="1"/>
  <c r="S20" i="7"/>
  <c r="S14" i="8" s="1"/>
  <c r="S22" i="2"/>
  <c r="E20" i="2"/>
  <c r="C20" i="2"/>
  <c r="C22" i="2"/>
  <c r="D54" i="7"/>
  <c r="D29" i="8" s="1"/>
  <c r="E24" i="3"/>
  <c r="X23" i="1"/>
  <c r="E162" i="10"/>
  <c r="W20" i="7"/>
  <c r="W14" i="8" s="1"/>
  <c r="E172" i="10" s="1"/>
  <c r="G172" i="10" s="1"/>
  <c r="I172" i="10" s="1"/>
  <c r="W22" i="2"/>
  <c r="K10" i="8" l="1"/>
  <c r="K32" i="8"/>
  <c r="K49" i="8"/>
  <c r="Y20" i="2"/>
  <c r="C16" i="8"/>
  <c r="J22" i="2"/>
  <c r="J20" i="7"/>
  <c r="J14" i="8" s="1"/>
  <c r="S32" i="8"/>
  <c r="AA32" i="8" s="1"/>
  <c r="AB20" i="2"/>
  <c r="W10" i="8"/>
  <c r="J10" i="8"/>
  <c r="AA20" i="2"/>
  <c r="D14" i="4"/>
  <c r="E13" i="4" s="1"/>
  <c r="F16" i="8"/>
  <c r="Z20" i="2"/>
  <c r="J32" i="8"/>
  <c r="K50" i="8" s="1"/>
  <c r="X20" i="2"/>
  <c r="Q10" i="8"/>
  <c r="Q16" i="8" s="1"/>
  <c r="O10" i="8"/>
  <c r="R20" i="7"/>
  <c r="R14" i="8" s="1"/>
  <c r="R32" i="8" s="1"/>
  <c r="R22" i="2"/>
  <c r="Z17" i="2"/>
  <c r="Z22" i="2" s="1"/>
  <c r="O22" i="2"/>
  <c r="O20" i="7"/>
  <c r="O14" i="8" s="1"/>
  <c r="O32" i="8" s="1"/>
  <c r="U20" i="7"/>
  <c r="U14" i="8" s="1"/>
  <c r="U32" i="8" s="1"/>
  <c r="U22" i="2"/>
  <c r="AB17" i="2"/>
  <c r="AB22" i="2" s="1"/>
  <c r="G17" i="2"/>
  <c r="E16" i="10" s="1"/>
  <c r="G16" i="10" s="1"/>
  <c r="I16" i="10" s="1"/>
  <c r="E19" i="10"/>
  <c r="G19" i="10" s="1"/>
  <c r="I19" i="10" s="1"/>
  <c r="C19" i="8"/>
  <c r="C20" i="8" s="1"/>
  <c r="S16" i="8"/>
  <c r="W16" i="8"/>
  <c r="V49" i="8"/>
  <c r="U10" i="8"/>
  <c r="E25" i="3"/>
  <c r="E26" i="3" s="1"/>
  <c r="Z24" i="8"/>
  <c r="O49" i="8"/>
  <c r="G49" i="8"/>
  <c r="X24" i="8"/>
  <c r="AA24" i="8"/>
  <c r="S49" i="8"/>
  <c r="D57" i="7"/>
  <c r="D28" i="8" s="1"/>
  <c r="E7" i="4"/>
  <c r="I32" i="8"/>
  <c r="H15" i="8"/>
  <c r="Y15" i="8" s="1"/>
  <c r="Y8" i="8"/>
  <c r="H12" i="8"/>
  <c r="Y12" i="8" s="1"/>
  <c r="H9" i="8"/>
  <c r="H10" i="8" s="1"/>
  <c r="H26" i="8"/>
  <c r="H11" i="8"/>
  <c r="H34" i="8"/>
  <c r="H24" i="8"/>
  <c r="N32" i="8"/>
  <c r="N16" i="8"/>
  <c r="D20" i="7"/>
  <c r="D22" i="2"/>
  <c r="R10" i="8"/>
  <c r="V10" i="8"/>
  <c r="V16" i="8" s="1"/>
  <c r="D55" i="8"/>
  <c r="K16" i="8"/>
  <c r="AA8" i="8"/>
  <c r="P9" i="8"/>
  <c r="P10" i="8" s="1"/>
  <c r="P11" i="8"/>
  <c r="P34" i="8"/>
  <c r="P24" i="8"/>
  <c r="P15" i="8"/>
  <c r="AA15" i="8" s="1"/>
  <c r="P12" i="8"/>
  <c r="AA12" i="8" s="1"/>
  <c r="P26" i="8"/>
  <c r="L14" i="8"/>
  <c r="H14" i="8"/>
  <c r="E20" i="7"/>
  <c r="E14" i="8" s="1"/>
  <c r="E22" i="2"/>
  <c r="I162" i="10"/>
  <c r="G162" i="10"/>
  <c r="M22" i="2"/>
  <c r="M20" i="7"/>
  <c r="M14" i="8" s="1"/>
  <c r="M16" i="8" s="1"/>
  <c r="T14" i="8"/>
  <c r="Q32" i="8"/>
  <c r="I10" i="8"/>
  <c r="I16" i="8" s="1"/>
  <c r="N49" i="8"/>
  <c r="D14" i="3"/>
  <c r="D23" i="7"/>
  <c r="L11" i="8"/>
  <c r="Z8" i="8"/>
  <c r="L26" i="8"/>
  <c r="L9" i="8"/>
  <c r="L10" i="8" s="1"/>
  <c r="L34" i="8"/>
  <c r="L12" i="8"/>
  <c r="Z12" i="8" s="1"/>
  <c r="L15" i="8"/>
  <c r="Z15" i="8" s="1"/>
  <c r="L24" i="8"/>
  <c r="R49" i="8"/>
  <c r="T15" i="8"/>
  <c r="AB15" i="8" s="1"/>
  <c r="T9" i="8"/>
  <c r="T10" i="8" s="1"/>
  <c r="AB8" i="8"/>
  <c r="T26" i="8"/>
  <c r="T12" i="8"/>
  <c r="AB12" i="8" s="1"/>
  <c r="T24" i="8"/>
  <c r="T11" i="8"/>
  <c r="T34" i="8"/>
  <c r="E10" i="3"/>
  <c r="E11" i="3" s="1"/>
  <c r="E13" i="3" s="1"/>
  <c r="E45" i="7"/>
  <c r="D15" i="8"/>
  <c r="X15" i="8" s="1"/>
  <c r="D11" i="8"/>
  <c r="D9" i="8"/>
  <c r="D12" i="8"/>
  <c r="X12" i="8" s="1"/>
  <c r="D10" i="8"/>
  <c r="X8" i="8"/>
  <c r="D24" i="8"/>
  <c r="D26" i="8"/>
  <c r="D34" i="8"/>
  <c r="G10" i="8"/>
  <c r="E50" i="7"/>
  <c r="Y22" i="2"/>
  <c r="Y32" i="8"/>
  <c r="E52" i="7"/>
  <c r="V32" i="8"/>
  <c r="W49" i="8"/>
  <c r="AB24" i="8"/>
  <c r="J49" i="8"/>
  <c r="W32" i="8"/>
  <c r="P20" i="7"/>
  <c r="AA17" i="2"/>
  <c r="AA22" i="2" s="1"/>
  <c r="P22" i="2"/>
  <c r="E53" i="7"/>
  <c r="E37" i="8" s="1"/>
  <c r="F18" i="3"/>
  <c r="D25" i="7"/>
  <c r="Y14" i="8" l="1"/>
  <c r="O16" i="8"/>
  <c r="J16" i="8"/>
  <c r="Y20" i="7"/>
  <c r="D58" i="7"/>
  <c r="D30" i="8" s="1"/>
  <c r="R16" i="8"/>
  <c r="AB14" i="8"/>
  <c r="AB20" i="7"/>
  <c r="J50" i="8"/>
  <c r="H16" i="8"/>
  <c r="Y10" i="8"/>
  <c r="E14" i="3"/>
  <c r="E23" i="7"/>
  <c r="E17" i="8" s="1"/>
  <c r="R50" i="8"/>
  <c r="L16" i="8"/>
  <c r="Z10" i="8"/>
  <c r="X20" i="7"/>
  <c r="D14" i="8"/>
  <c r="D16" i="8" s="1"/>
  <c r="O50" i="8"/>
  <c r="Z32" i="8"/>
  <c r="E11" i="4"/>
  <c r="E14" i="4" s="1"/>
  <c r="P14" i="8"/>
  <c r="AA14" i="8" s="1"/>
  <c r="AA20" i="7"/>
  <c r="AB10" i="8"/>
  <c r="T16" i="8"/>
  <c r="Z11" i="8"/>
  <c r="L32" i="8"/>
  <c r="W50" i="8"/>
  <c r="AB32" i="8"/>
  <c r="W35" i="8"/>
  <c r="X9" i="8"/>
  <c r="D25" i="8"/>
  <c r="D49" i="8" s="1"/>
  <c r="P25" i="8"/>
  <c r="P49" i="8" s="1"/>
  <c r="AA9" i="8"/>
  <c r="D59" i="8"/>
  <c r="E54" i="7"/>
  <c r="E29" i="8" s="1"/>
  <c r="F24" i="3"/>
  <c r="D18" i="8"/>
  <c r="S50" i="8"/>
  <c r="U16" i="8"/>
  <c r="G20" i="7"/>
  <c r="G14" i="8" s="1"/>
  <c r="G32" i="8" s="1"/>
  <c r="G22" i="2"/>
  <c r="AA11" i="8"/>
  <c r="AB9" i="8"/>
  <c r="T25" i="8"/>
  <c r="U49" i="8" s="1"/>
  <c r="D17" i="8"/>
  <c r="M32" i="8"/>
  <c r="X11" i="8"/>
  <c r="E16" i="8"/>
  <c r="E32" i="8"/>
  <c r="H25" i="8"/>
  <c r="I49" i="8" s="1"/>
  <c r="Y9" i="8"/>
  <c r="E55" i="7"/>
  <c r="E58" i="8"/>
  <c r="E47" i="7"/>
  <c r="Z14" i="8"/>
  <c r="X17" i="2"/>
  <c r="X22" i="2" s="1"/>
  <c r="AB11" i="8"/>
  <c r="T32" i="8"/>
  <c r="U50" i="8" s="1"/>
  <c r="X10" i="8"/>
  <c r="AA10" i="8"/>
  <c r="H32" i="8"/>
  <c r="Y11" i="8"/>
  <c r="F49" i="7"/>
  <c r="F20" i="3"/>
  <c r="F22" i="3"/>
  <c r="V50" i="8"/>
  <c r="E48" i="7"/>
  <c r="F7" i="3"/>
  <c r="Z9" i="8"/>
  <c r="L25" i="8"/>
  <c r="M49" i="8" s="1"/>
  <c r="Z20" i="7"/>
  <c r="D32" i="8" l="1"/>
  <c r="Q49" i="8"/>
  <c r="G16" i="8"/>
  <c r="T49" i="8"/>
  <c r="AB49" i="8" s="1"/>
  <c r="E58" i="7"/>
  <c r="E30" i="8" s="1"/>
  <c r="F13" i="4"/>
  <c r="AB35" i="8"/>
  <c r="P32" i="8"/>
  <c r="L50" i="8"/>
  <c r="L49" i="8"/>
  <c r="Z49" i="8" s="1"/>
  <c r="G50" i="8"/>
  <c r="X32" i="8"/>
  <c r="H49" i="8"/>
  <c r="Y49" i="8" s="1"/>
  <c r="E49" i="8"/>
  <c r="X49" i="8" s="1"/>
  <c r="D50" i="8"/>
  <c r="M50" i="8"/>
  <c r="Z16" i="8"/>
  <c r="F10" i="3"/>
  <c r="F45" i="7"/>
  <c r="E55" i="8"/>
  <c r="H50" i="8"/>
  <c r="P16" i="8"/>
  <c r="D48" i="8"/>
  <c r="N50" i="8"/>
  <c r="X16" i="8"/>
  <c r="D19" i="8"/>
  <c r="D20" i="8" s="1"/>
  <c r="AA49" i="8"/>
  <c r="E163" i="10"/>
  <c r="E17" i="10"/>
  <c r="G17" i="10" s="1"/>
  <c r="I17" i="10" s="1"/>
  <c r="AB16" i="8"/>
  <c r="E12" i="4"/>
  <c r="E12" i="10"/>
  <c r="G12" i="10" s="1"/>
  <c r="I12" i="10" s="1"/>
  <c r="F52" i="7"/>
  <c r="I50" i="8"/>
  <c r="E50" i="8"/>
  <c r="F50" i="8"/>
  <c r="F50" i="7"/>
  <c r="F23" i="3"/>
  <c r="F25" i="3"/>
  <c r="F26" i="3"/>
  <c r="T50" i="8"/>
  <c r="AB50" i="8" s="1"/>
  <c r="E25" i="7"/>
  <c r="X14" i="8"/>
  <c r="Y16" i="8"/>
  <c r="Z50" i="8" l="1"/>
  <c r="D47" i="8"/>
  <c r="D40" i="8"/>
  <c r="F47" i="7"/>
  <c r="P50" i="8"/>
  <c r="Q50" i="8"/>
  <c r="I163" i="10"/>
  <c r="G163" i="10"/>
  <c r="E59" i="8"/>
  <c r="E18" i="8"/>
  <c r="F55" i="7"/>
  <c r="E57" i="7"/>
  <c r="E28" i="8" s="1"/>
  <c r="F7" i="4"/>
  <c r="G18" i="3"/>
  <c r="F53" i="7"/>
  <c r="F37" i="8" s="1"/>
  <c r="AA16" i="8"/>
  <c r="F58" i="8"/>
  <c r="F11" i="3"/>
  <c r="F54" i="7"/>
  <c r="F29" i="8" s="1"/>
  <c r="G24" i="3"/>
  <c r="Y50" i="8"/>
  <c r="X50" i="8"/>
  <c r="F11" i="4" l="1"/>
  <c r="F12" i="4" s="1"/>
  <c r="G49" i="7"/>
  <c r="X49" i="7" s="1"/>
  <c r="G20" i="3"/>
  <c r="G23" i="3" s="1"/>
  <c r="X18" i="3"/>
  <c r="G22" i="3"/>
  <c r="F55" i="8"/>
  <c r="G7" i="3"/>
  <c r="F48" i="7"/>
  <c r="F13" i="3"/>
  <c r="D42" i="8"/>
  <c r="AA50" i="8"/>
  <c r="G25" i="3"/>
  <c r="X24" i="3"/>
  <c r="E48" i="8"/>
  <c r="E19" i="8"/>
  <c r="D51" i="8"/>
  <c r="X23" i="3" l="1"/>
  <c r="H18" i="3"/>
  <c r="G53" i="7"/>
  <c r="G52" i="7"/>
  <c r="X52" i="7" s="1"/>
  <c r="X22" i="3"/>
  <c r="D60" i="8"/>
  <c r="F59" i="8"/>
  <c r="G50" i="7"/>
  <c r="X20" i="3"/>
  <c r="G55" i="7"/>
  <c r="X55" i="7" s="1"/>
  <c r="X25" i="3"/>
  <c r="G26" i="3"/>
  <c r="F25" i="7"/>
  <c r="F14" i="4"/>
  <c r="X7" i="3"/>
  <c r="G45" i="7"/>
  <c r="X45" i="7" s="1"/>
  <c r="G10" i="3"/>
  <c r="E20" i="8"/>
  <c r="F23" i="7"/>
  <c r="F14" i="3"/>
  <c r="F57" i="7"/>
  <c r="F28" i="8" s="1"/>
  <c r="G7" i="4"/>
  <c r="X53" i="7" l="1"/>
  <c r="G37" i="8"/>
  <c r="X37" i="8" s="1"/>
  <c r="E47" i="8"/>
  <c r="E40" i="8"/>
  <c r="G47" i="7"/>
  <c r="X10" i="3"/>
  <c r="G11" i="4"/>
  <c r="G12" i="4" s="1"/>
  <c r="X7" i="4"/>
  <c r="F18" i="8"/>
  <c r="H49" i="7"/>
  <c r="H20" i="3"/>
  <c r="H22" i="3"/>
  <c r="H23" i="3"/>
  <c r="F17" i="8"/>
  <c r="G58" i="8"/>
  <c r="X58" i="8" s="1"/>
  <c r="X50" i="7"/>
  <c r="G11" i="3"/>
  <c r="D61" i="8"/>
  <c r="F58" i="7"/>
  <c r="F30" i="8" s="1"/>
  <c r="G13" i="4"/>
  <c r="G54" i="7"/>
  <c r="X26" i="3"/>
  <c r="H24" i="3"/>
  <c r="X12" i="4" l="1"/>
  <c r="G57" i="7"/>
  <c r="H7" i="4"/>
  <c r="X11" i="3"/>
  <c r="H7" i="3"/>
  <c r="G48" i="7"/>
  <c r="G13" i="3"/>
  <c r="F19" i="8"/>
  <c r="H53" i="7"/>
  <c r="H37" i="8" s="1"/>
  <c r="I18" i="3"/>
  <c r="H52" i="7"/>
  <c r="E42" i="8"/>
  <c r="H25" i="3"/>
  <c r="H26" i="3" s="1"/>
  <c r="E51" i="8"/>
  <c r="E8" i="10"/>
  <c r="E46" i="8"/>
  <c r="D23" i="8"/>
  <c r="G55" i="8"/>
  <c r="X47" i="7"/>
  <c r="H50" i="7"/>
  <c r="X54" i="7"/>
  <c r="G29" i="8"/>
  <c r="X29" i="8" s="1"/>
  <c r="F48" i="8"/>
  <c r="G25" i="7"/>
  <c r="X11" i="4"/>
  <c r="X13" i="4"/>
  <c r="G14" i="4"/>
  <c r="G59" i="8" l="1"/>
  <c r="X59" i="8" s="1"/>
  <c r="X55" i="8"/>
  <c r="F8" i="10"/>
  <c r="D27" i="8"/>
  <c r="D31" i="8" s="1"/>
  <c r="E7" i="10" s="1"/>
  <c r="G23" i="7"/>
  <c r="G14" i="3"/>
  <c r="X14" i="3" s="1"/>
  <c r="X13" i="3"/>
  <c r="G8" i="10"/>
  <c r="I8" i="10" s="1"/>
  <c r="X48" i="7"/>
  <c r="F20" i="8"/>
  <c r="X57" i="7"/>
  <c r="G28" i="8"/>
  <c r="X28" i="8" s="1"/>
  <c r="H58" i="8"/>
  <c r="I49" i="7"/>
  <c r="I22" i="3"/>
  <c r="I20" i="3"/>
  <c r="I23" i="3" s="1"/>
  <c r="G58" i="7"/>
  <c r="X14" i="4"/>
  <c r="H13" i="4"/>
  <c r="E60" i="8"/>
  <c r="H10" i="3"/>
  <c r="H45" i="7"/>
  <c r="G18" i="8"/>
  <c r="X25" i="7"/>
  <c r="H54" i="7"/>
  <c r="H29" i="8" s="1"/>
  <c r="I24" i="3"/>
  <c r="H55" i="7"/>
  <c r="H11" i="4"/>
  <c r="H12" i="4" s="1"/>
  <c r="H14" i="4" l="1"/>
  <c r="I25" i="3"/>
  <c r="I26" i="3" s="1"/>
  <c r="G17" i="8"/>
  <c r="X23" i="7"/>
  <c r="I52" i="7"/>
  <c r="G48" i="8"/>
  <c r="X48" i="8" s="1"/>
  <c r="X18" i="8"/>
  <c r="H47" i="7"/>
  <c r="D33" i="8"/>
  <c r="H11" i="3"/>
  <c r="F47" i="8"/>
  <c r="F40" i="8"/>
  <c r="H57" i="7"/>
  <c r="H28" i="8" s="1"/>
  <c r="I7" i="4"/>
  <c r="H25" i="7"/>
  <c r="X58" i="7"/>
  <c r="G30" i="8"/>
  <c r="X30" i="8" s="1"/>
  <c r="J18" i="3"/>
  <c r="I53" i="7"/>
  <c r="I37" i="8" s="1"/>
  <c r="I50" i="7"/>
  <c r="E61" i="8"/>
  <c r="H55" i="8" l="1"/>
  <c r="H18" i="8"/>
  <c r="F46" i="8"/>
  <c r="E23" i="8"/>
  <c r="E27" i="8" s="1"/>
  <c r="E31" i="8" s="1"/>
  <c r="I58" i="8"/>
  <c r="J22" i="3"/>
  <c r="J20" i="3"/>
  <c r="J23" i="3" s="1"/>
  <c r="J49" i="7"/>
  <c r="I11" i="4"/>
  <c r="I12" i="4" s="1"/>
  <c r="G19" i="8"/>
  <c r="X19" i="8" s="1"/>
  <c r="X17" i="8"/>
  <c r="F42" i="8"/>
  <c r="J24" i="3"/>
  <c r="I54" i="7"/>
  <c r="I29" i="8" s="1"/>
  <c r="I55" i="7"/>
  <c r="F51" i="8"/>
  <c r="I7" i="3"/>
  <c r="H48" i="7"/>
  <c r="H13" i="3"/>
  <c r="D36" i="8"/>
  <c r="D35" i="8"/>
  <c r="H58" i="7"/>
  <c r="H30" i="8" s="1"/>
  <c r="I13" i="4"/>
  <c r="D38" i="8" l="1"/>
  <c r="D43" i="8" s="1"/>
  <c r="F7" i="10" s="1"/>
  <c r="G7" i="10" s="1"/>
  <c r="I7" i="10" s="1"/>
  <c r="I57" i="7"/>
  <c r="I28" i="8" s="1"/>
  <c r="J7" i="4"/>
  <c r="J53" i="7"/>
  <c r="J37" i="8" s="1"/>
  <c r="K18" i="3"/>
  <c r="I45" i="7"/>
  <c r="I10" i="3"/>
  <c r="J50" i="7"/>
  <c r="F60" i="8"/>
  <c r="J52" i="7"/>
  <c r="J25" i="3"/>
  <c r="J26" i="3"/>
  <c r="H48" i="8"/>
  <c r="I25" i="7"/>
  <c r="H14" i="3"/>
  <c r="H23" i="7"/>
  <c r="I14" i="4"/>
  <c r="H59" i="8"/>
  <c r="G20" i="8"/>
  <c r="G47" i="8" l="1"/>
  <c r="X20" i="8"/>
  <c r="G40" i="8"/>
  <c r="I58" i="7"/>
  <c r="I30" i="8" s="1"/>
  <c r="J13" i="4"/>
  <c r="H17" i="8"/>
  <c r="J58" i="8"/>
  <c r="I47" i="7"/>
  <c r="E33" i="8"/>
  <c r="I18" i="8"/>
  <c r="I11" i="3"/>
  <c r="K20" i="3"/>
  <c r="K23" i="3" s="1"/>
  <c r="Y18" i="3"/>
  <c r="K49" i="7"/>
  <c r="Y49" i="7" s="1"/>
  <c r="K22" i="3"/>
  <c r="F61" i="8"/>
  <c r="J54" i="7"/>
  <c r="J29" i="8" s="1"/>
  <c r="K24" i="3"/>
  <c r="J55" i="7"/>
  <c r="J11" i="4"/>
  <c r="J14" i="4" l="1"/>
  <c r="K13" i="4" s="1"/>
  <c r="G46" i="8"/>
  <c r="F23" i="8"/>
  <c r="F27" i="8" s="1"/>
  <c r="F31" i="8" s="1"/>
  <c r="H19" i="8"/>
  <c r="H20" i="8"/>
  <c r="I55" i="8"/>
  <c r="K52" i="7"/>
  <c r="Y52" i="7" s="1"/>
  <c r="Y22" i="3"/>
  <c r="K50" i="7"/>
  <c r="Y20" i="3"/>
  <c r="J7" i="3"/>
  <c r="I48" i="7"/>
  <c r="I13" i="3"/>
  <c r="Y24" i="3"/>
  <c r="K25" i="3"/>
  <c r="J58" i="7"/>
  <c r="J30" i="8" s="1"/>
  <c r="K53" i="7"/>
  <c r="Y23" i="3"/>
  <c r="L18" i="3"/>
  <c r="I48" i="8"/>
  <c r="J25" i="7"/>
  <c r="H40" i="8"/>
  <c r="X40" i="8"/>
  <c r="G42" i="8"/>
  <c r="X42" i="8" s="1"/>
  <c r="J12" i="4"/>
  <c r="E35" i="8"/>
  <c r="E36" i="8"/>
  <c r="G51" i="8"/>
  <c r="X47" i="8"/>
  <c r="J45" i="7" l="1"/>
  <c r="J10" i="3"/>
  <c r="J11" i="3" s="1"/>
  <c r="J13" i="3" s="1"/>
  <c r="H42" i="8"/>
  <c r="K58" i="8"/>
  <c r="Y58" i="8" s="1"/>
  <c r="Y50" i="7"/>
  <c r="J18" i="8"/>
  <c r="L20" i="3"/>
  <c r="L49" i="7"/>
  <c r="L22" i="3"/>
  <c r="L23" i="3"/>
  <c r="I59" i="8"/>
  <c r="K37" i="8"/>
  <c r="Y37" i="8" s="1"/>
  <c r="Y53" i="7"/>
  <c r="H47" i="8"/>
  <c r="Y13" i="4"/>
  <c r="G60" i="8"/>
  <c r="X60" i="8" s="1"/>
  <c r="X51" i="8"/>
  <c r="K55" i="7"/>
  <c r="Y55" i="7" s="1"/>
  <c r="Y25" i="3"/>
  <c r="K26" i="3"/>
  <c r="E38" i="8"/>
  <c r="E43" i="8" s="1"/>
  <c r="K7" i="4"/>
  <c r="J57" i="7"/>
  <c r="J28" i="8" s="1"/>
  <c r="I23" i="7"/>
  <c r="I14" i="3"/>
  <c r="X46" i="8"/>
  <c r="J14" i="3" l="1"/>
  <c r="J23" i="7"/>
  <c r="J17" i="8" s="1"/>
  <c r="L52" i="7"/>
  <c r="L53" i="7"/>
  <c r="L37" i="8" s="1"/>
  <c r="M18" i="3"/>
  <c r="L50" i="7"/>
  <c r="Y7" i="4"/>
  <c r="K11" i="4"/>
  <c r="Y26" i="3"/>
  <c r="L24" i="3"/>
  <c r="K54" i="7"/>
  <c r="J48" i="8"/>
  <c r="G61" i="8"/>
  <c r="H51" i="8"/>
  <c r="J48" i="7"/>
  <c r="K7" i="3"/>
  <c r="J47" i="7"/>
  <c r="F33" i="8"/>
  <c r="I17" i="8"/>
  <c r="Y54" i="7" l="1"/>
  <c r="K29" i="8"/>
  <c r="Y29" i="8" s="1"/>
  <c r="I19" i="8"/>
  <c r="I20" i="8" s="1"/>
  <c r="L25" i="3"/>
  <c r="L26" i="3"/>
  <c r="F35" i="8"/>
  <c r="F36" i="8"/>
  <c r="K25" i="7"/>
  <c r="Y11" i="4"/>
  <c r="K14" i="4"/>
  <c r="K12" i="4"/>
  <c r="L58" i="8"/>
  <c r="J55" i="8"/>
  <c r="M22" i="3"/>
  <c r="M20" i="3"/>
  <c r="M49" i="7"/>
  <c r="K45" i="7"/>
  <c r="Y45" i="7" s="1"/>
  <c r="Y7" i="3"/>
  <c r="K10" i="3"/>
  <c r="H60" i="8"/>
  <c r="H46" i="8"/>
  <c r="G23" i="8"/>
  <c r="X61" i="8"/>
  <c r="J19" i="8"/>
  <c r="J20" i="8"/>
  <c r="J47" i="8" s="1"/>
  <c r="J51" i="8" s="1"/>
  <c r="I47" i="8" l="1"/>
  <c r="I40" i="8"/>
  <c r="K47" i="7"/>
  <c r="G33" i="8"/>
  <c r="Y10" i="3"/>
  <c r="K11" i="3"/>
  <c r="F38" i="8"/>
  <c r="F43" i="8" s="1"/>
  <c r="K57" i="7"/>
  <c r="Y12" i="4"/>
  <c r="L7" i="4"/>
  <c r="Y14" i="4"/>
  <c r="K58" i="7"/>
  <c r="L13" i="4"/>
  <c r="K18" i="8"/>
  <c r="Y25" i="7"/>
  <c r="M24" i="3"/>
  <c r="L54" i="7"/>
  <c r="L29" i="8" s="1"/>
  <c r="L55" i="7"/>
  <c r="M50" i="7"/>
  <c r="M23" i="3"/>
  <c r="M52" i="7"/>
  <c r="H61" i="8"/>
  <c r="X23" i="8"/>
  <c r="G27" i="8"/>
  <c r="J59" i="8"/>
  <c r="J60" i="8" s="1"/>
  <c r="L11" i="4" l="1"/>
  <c r="L14" i="4" s="1"/>
  <c r="M53" i="7"/>
  <c r="M37" i="8" s="1"/>
  <c r="N18" i="3"/>
  <c r="M25" i="3"/>
  <c r="I51" i="8"/>
  <c r="H23" i="8"/>
  <c r="H27" i="8" s="1"/>
  <c r="H31" i="8" s="1"/>
  <c r="I46" i="8"/>
  <c r="Y57" i="7"/>
  <c r="K28" i="8"/>
  <c r="Y28" i="8" s="1"/>
  <c r="Y11" i="3"/>
  <c r="K48" i="7"/>
  <c r="L7" i="3"/>
  <c r="K13" i="3"/>
  <c r="M58" i="8"/>
  <c r="X33" i="8"/>
  <c r="G35" i="8"/>
  <c r="G36" i="8"/>
  <c r="X36" i="8" s="1"/>
  <c r="K55" i="8"/>
  <c r="Y47" i="7"/>
  <c r="G31" i="8"/>
  <c r="X31" i="8" s="1"/>
  <c r="X27" i="8"/>
  <c r="K48" i="8"/>
  <c r="Y48" i="8" s="1"/>
  <c r="Y18" i="8"/>
  <c r="I42" i="8"/>
  <c r="J40" i="8"/>
  <c r="Y58" i="7"/>
  <c r="K30" i="8"/>
  <c r="Y30" i="8" s="1"/>
  <c r="Y48" i="7" l="1"/>
  <c r="K59" i="8"/>
  <c r="Y59" i="8" s="1"/>
  <c r="Y55" i="8"/>
  <c r="X35" i="8"/>
  <c r="G38" i="8"/>
  <c r="M55" i="7"/>
  <c r="N20" i="3"/>
  <c r="N49" i="7"/>
  <c r="N22" i="3"/>
  <c r="L58" i="7"/>
  <c r="L30" i="8" s="1"/>
  <c r="M13" i="4"/>
  <c r="I60" i="8"/>
  <c r="I61" i="8" s="1"/>
  <c r="M26" i="3"/>
  <c r="J42" i="8"/>
  <c r="K14" i="3"/>
  <c r="Y14" i="3" s="1"/>
  <c r="K23" i="7"/>
  <c r="Y13" i="3"/>
  <c r="L25" i="7"/>
  <c r="L45" i="7"/>
  <c r="L10" i="3"/>
  <c r="L12" i="4"/>
  <c r="L57" i="7" l="1"/>
  <c r="L28" i="8" s="1"/>
  <c r="M7" i="4"/>
  <c r="L47" i="7"/>
  <c r="H33" i="8"/>
  <c r="N52" i="7"/>
  <c r="L11" i="3"/>
  <c r="N50" i="7"/>
  <c r="N23" i="3"/>
  <c r="L18" i="8"/>
  <c r="K17" i="8"/>
  <c r="Y23" i="7"/>
  <c r="G43" i="8"/>
  <c r="X43" i="8" s="1"/>
  <c r="X38" i="8"/>
  <c r="N24" i="3"/>
  <c r="M54" i="7"/>
  <c r="M29" i="8" s="1"/>
  <c r="I23" i="8"/>
  <c r="I27" i="8" s="1"/>
  <c r="I31" i="8" s="1"/>
  <c r="J46" i="8"/>
  <c r="N58" i="8" l="1"/>
  <c r="J61" i="8"/>
  <c r="N53" i="7"/>
  <c r="N37" i="8" s="1"/>
  <c r="O18" i="3"/>
  <c r="L48" i="7"/>
  <c r="M7" i="3"/>
  <c r="L13" i="3"/>
  <c r="H35" i="8"/>
  <c r="H36" i="8"/>
  <c r="N25" i="3"/>
  <c r="N26" i="3" s="1"/>
  <c r="L55" i="8"/>
  <c r="K19" i="8"/>
  <c r="Y19" i="8" s="1"/>
  <c r="Y17" i="8"/>
  <c r="M11" i="4"/>
  <c r="L48" i="8"/>
  <c r="L59" i="8" l="1"/>
  <c r="L23" i="7"/>
  <c r="L14" i="3"/>
  <c r="M25" i="7"/>
  <c r="M14" i="4"/>
  <c r="K46" i="8"/>
  <c r="J23" i="8"/>
  <c r="J27" i="8" s="1"/>
  <c r="J31" i="8" s="1"/>
  <c r="N55" i="7"/>
  <c r="M12" i="4"/>
  <c r="K20" i="8"/>
  <c r="N54" i="7"/>
  <c r="N29" i="8" s="1"/>
  <c r="O24" i="3"/>
  <c r="H38" i="8"/>
  <c r="H43" i="8" s="1"/>
  <c r="M10" i="3"/>
  <c r="M11" i="3"/>
  <c r="M45" i="7"/>
  <c r="Z18" i="3"/>
  <c r="O49" i="7"/>
  <c r="Z49" i="7" s="1"/>
  <c r="O20" i="3"/>
  <c r="O23" i="3" s="1"/>
  <c r="O22" i="3"/>
  <c r="N7" i="4" l="1"/>
  <c r="M57" i="7"/>
  <c r="M28" i="8" s="1"/>
  <c r="O53" i="7"/>
  <c r="P18" i="3"/>
  <c r="Z23" i="3"/>
  <c r="O52" i="7"/>
  <c r="Z52" i="7" s="1"/>
  <c r="Z22" i="3"/>
  <c r="O50" i="7"/>
  <c r="Z20" i="3"/>
  <c r="Y46" i="8"/>
  <c r="N13" i="4"/>
  <c r="M58" i="7"/>
  <c r="M30" i="8" s="1"/>
  <c r="M48" i="7"/>
  <c r="N7" i="3"/>
  <c r="M18" i="8"/>
  <c r="M47" i="7"/>
  <c r="I33" i="8"/>
  <c r="M13" i="3"/>
  <c r="L17" i="8"/>
  <c r="Z24" i="3"/>
  <c r="O25" i="3"/>
  <c r="K47" i="8"/>
  <c r="Y20" i="8"/>
  <c r="K40" i="8"/>
  <c r="O58" i="8" l="1"/>
  <c r="Z58" i="8" s="1"/>
  <c r="Z50" i="7"/>
  <c r="O55" i="7"/>
  <c r="Z55" i="7" s="1"/>
  <c r="Z25" i="3"/>
  <c r="O26" i="3"/>
  <c r="M23" i="7"/>
  <c r="M14" i="3"/>
  <c r="P49" i="7"/>
  <c r="P22" i="3"/>
  <c r="P20" i="3"/>
  <c r="Y40" i="8"/>
  <c r="K42" i="8"/>
  <c r="Y42" i="8" s="1"/>
  <c r="N45" i="7"/>
  <c r="N10" i="3"/>
  <c r="N11" i="3"/>
  <c r="N13" i="3" s="1"/>
  <c r="L19" i="8"/>
  <c r="L20" i="8"/>
  <c r="L40" i="8" s="1"/>
  <c r="I35" i="8"/>
  <c r="I36" i="8"/>
  <c r="Z53" i="7"/>
  <c r="O37" i="8"/>
  <c r="Z37" i="8" s="1"/>
  <c r="M55" i="8"/>
  <c r="K51" i="8"/>
  <c r="Y47" i="8"/>
  <c r="M48" i="8"/>
  <c r="N11" i="4"/>
  <c r="N14" i="4" s="1"/>
  <c r="N12" i="4"/>
  <c r="K60" i="8" l="1"/>
  <c r="Y51" i="8"/>
  <c r="L42" i="8"/>
  <c r="M59" i="8"/>
  <c r="P50" i="7"/>
  <c r="P52" i="7"/>
  <c r="P23" i="3"/>
  <c r="I38" i="8"/>
  <c r="I43" i="8" s="1"/>
  <c r="L47" i="8"/>
  <c r="M17" i="8"/>
  <c r="O54" i="7"/>
  <c r="Z26" i="3"/>
  <c r="P24" i="3"/>
  <c r="N58" i="7"/>
  <c r="N30" i="8" s="1"/>
  <c r="O13" i="4"/>
  <c r="O7" i="4"/>
  <c r="N57" i="7"/>
  <c r="N28" i="8" s="1"/>
  <c r="N23" i="7"/>
  <c r="N17" i="8" s="1"/>
  <c r="N14" i="3"/>
  <c r="N25" i="7"/>
  <c r="O7" i="3"/>
  <c r="N48" i="7"/>
  <c r="N47" i="7"/>
  <c r="J33" i="8"/>
  <c r="L51" i="8" l="1"/>
  <c r="P53" i="7"/>
  <c r="P37" i="8" s="1"/>
  <c r="Q18" i="3"/>
  <c r="P58" i="8"/>
  <c r="Z13" i="4"/>
  <c r="P25" i="3"/>
  <c r="Z7" i="3"/>
  <c r="O45" i="7"/>
  <c r="Z45" i="7" s="1"/>
  <c r="O10" i="3"/>
  <c r="N18" i="8"/>
  <c r="Z7" i="4"/>
  <c r="O11" i="4"/>
  <c r="J35" i="8"/>
  <c r="J36" i="8"/>
  <c r="Z54" i="7"/>
  <c r="O29" i="8"/>
  <c r="Z29" i="8" s="1"/>
  <c r="N55" i="8"/>
  <c r="M19" i="8"/>
  <c r="Y60" i="8"/>
  <c r="K61" i="8"/>
  <c r="J38" i="8" l="1"/>
  <c r="J43" i="8" s="1"/>
  <c r="Q49" i="7"/>
  <c r="Q22" i="3"/>
  <c r="Q20" i="3"/>
  <c r="Q23" i="3"/>
  <c r="N59" i="8"/>
  <c r="P55" i="7"/>
  <c r="P26" i="3"/>
  <c r="O25" i="7"/>
  <c r="Z11" i="4"/>
  <c r="O12" i="4"/>
  <c r="O14" i="4"/>
  <c r="L46" i="8"/>
  <c r="K23" i="8"/>
  <c r="Y61" i="8"/>
  <c r="N48" i="8"/>
  <c r="O47" i="7"/>
  <c r="K33" i="8"/>
  <c r="Z10" i="3"/>
  <c r="L60" i="8"/>
  <c r="O11" i="3"/>
  <c r="M20" i="8"/>
  <c r="N19" i="8"/>
  <c r="N20" i="8" s="1"/>
  <c r="N47" i="8" s="1"/>
  <c r="N51" i="8" l="1"/>
  <c r="N60" i="8" s="1"/>
  <c r="L61" i="8"/>
  <c r="M47" i="8"/>
  <c r="M40" i="8"/>
  <c r="P7" i="3"/>
  <c r="O48" i="7"/>
  <c r="Z11" i="3"/>
  <c r="O13" i="3"/>
  <c r="O58" i="7"/>
  <c r="Z14" i="4"/>
  <c r="P13" i="4"/>
  <c r="O57" i="7"/>
  <c r="Z12" i="4"/>
  <c r="P7" i="4"/>
  <c r="O18" i="8"/>
  <c r="Z25" i="7"/>
  <c r="P54" i="7"/>
  <c r="P29" i="8" s="1"/>
  <c r="Q24" i="3"/>
  <c r="Y33" i="8"/>
  <c r="K35" i="8"/>
  <c r="K36" i="8"/>
  <c r="Y36" i="8" s="1"/>
  <c r="O55" i="8"/>
  <c r="Z47" i="7"/>
  <c r="Q53" i="7"/>
  <c r="Q37" i="8" s="1"/>
  <c r="R18" i="3"/>
  <c r="Q50" i="7"/>
  <c r="Q52" i="7"/>
  <c r="Y23" i="8"/>
  <c r="K27" i="8"/>
  <c r="R49" i="7" l="1"/>
  <c r="R22" i="3"/>
  <c r="R20" i="3"/>
  <c r="R23" i="3" s="1"/>
  <c r="Z48" i="7"/>
  <c r="P45" i="7"/>
  <c r="P10" i="3"/>
  <c r="P11" i="4"/>
  <c r="P12" i="4" s="1"/>
  <c r="Q58" i="8"/>
  <c r="Z57" i="7"/>
  <c r="O28" i="8"/>
  <c r="Z28" i="8" s="1"/>
  <c r="O59" i="8"/>
  <c r="Z59" i="8" s="1"/>
  <c r="Z55" i="8"/>
  <c r="O30" i="8"/>
  <c r="Z30" i="8" s="1"/>
  <c r="Z58" i="7"/>
  <c r="O23" i="7"/>
  <c r="O14" i="3"/>
  <c r="Z14" i="3" s="1"/>
  <c r="Z13" i="3"/>
  <c r="K38" i="8"/>
  <c r="Y35" i="8"/>
  <c r="K31" i="8"/>
  <c r="Y31" i="8" s="1"/>
  <c r="Y27" i="8"/>
  <c r="Q25" i="3"/>
  <c r="Q26" i="3" s="1"/>
  <c r="N40" i="8"/>
  <c r="M42" i="8"/>
  <c r="M51" i="8"/>
  <c r="O48" i="8"/>
  <c r="Z48" i="8" s="1"/>
  <c r="Z18" i="8"/>
  <c r="M46" i="8"/>
  <c r="L23" i="8"/>
  <c r="L27" i="8" s="1"/>
  <c r="L31" i="8" s="1"/>
  <c r="P57" i="7" l="1"/>
  <c r="P28" i="8" s="1"/>
  <c r="Q7" i="4"/>
  <c r="R53" i="7"/>
  <c r="R37" i="8" s="1"/>
  <c r="S18" i="3"/>
  <c r="Q54" i="7"/>
  <c r="Q29" i="8" s="1"/>
  <c r="R24" i="3"/>
  <c r="Q55" i="7"/>
  <c r="P47" i="7"/>
  <c r="L33" i="8"/>
  <c r="P11" i="3"/>
  <c r="M61" i="8"/>
  <c r="N42" i="8"/>
  <c r="Y38" i="8"/>
  <c r="K43" i="8"/>
  <c r="Y43" i="8" s="1"/>
  <c r="O17" i="8"/>
  <c r="Z23" i="7"/>
  <c r="R50" i="7"/>
  <c r="R52" i="7"/>
  <c r="P25" i="7"/>
  <c r="M60" i="8"/>
  <c r="P14" i="4"/>
  <c r="N46" i="8" l="1"/>
  <c r="M23" i="8"/>
  <c r="M27" i="8" s="1"/>
  <c r="M31" i="8" s="1"/>
  <c r="P48" i="7"/>
  <c r="Q7" i="3"/>
  <c r="P13" i="3"/>
  <c r="P18" i="8"/>
  <c r="L35" i="8"/>
  <c r="L36" i="8"/>
  <c r="P55" i="8"/>
  <c r="R58" i="8"/>
  <c r="O19" i="8"/>
  <c r="Z19" i="8" s="1"/>
  <c r="Z17" i="8"/>
  <c r="R25" i="3"/>
  <c r="R26" i="3" s="1"/>
  <c r="S22" i="3"/>
  <c r="S49" i="7"/>
  <c r="AA49" i="7" s="1"/>
  <c r="AA18" i="3"/>
  <c r="S20" i="3"/>
  <c r="S23" i="3" s="1"/>
  <c r="Q11" i="4"/>
  <c r="Q12" i="4"/>
  <c r="P58" i="7"/>
  <c r="P30" i="8" s="1"/>
  <c r="Q13" i="4"/>
  <c r="Q14" i="4" s="1"/>
  <c r="O20" i="8" l="1"/>
  <c r="O40" i="8" s="1"/>
  <c r="T18" i="3"/>
  <c r="S53" i="7"/>
  <c r="AA23" i="3"/>
  <c r="N61" i="8"/>
  <c r="Q58" i="7"/>
  <c r="Q30" i="8" s="1"/>
  <c r="R13" i="4"/>
  <c r="R7" i="4"/>
  <c r="Q57" i="7"/>
  <c r="Q28" i="8" s="1"/>
  <c r="L38" i="8"/>
  <c r="L43" i="8" s="1"/>
  <c r="S52" i="7"/>
  <c r="AA52" i="7" s="1"/>
  <c r="AA22" i="3"/>
  <c r="R54" i="7"/>
  <c r="R29" i="8" s="1"/>
  <c r="S24" i="3"/>
  <c r="Q45" i="7"/>
  <c r="Q10" i="3"/>
  <c r="O47" i="8"/>
  <c r="Z20" i="8"/>
  <c r="P59" i="8"/>
  <c r="Q25" i="7"/>
  <c r="S50" i="7"/>
  <c r="AA20" i="3"/>
  <c r="P48" i="8"/>
  <c r="P23" i="7"/>
  <c r="P14" i="3"/>
  <c r="R55" i="7"/>
  <c r="P17" i="8" l="1"/>
  <c r="AA24" i="3"/>
  <c r="S25" i="3"/>
  <c r="S26" i="3"/>
  <c r="S58" i="8"/>
  <c r="AA58" i="8" s="1"/>
  <c r="AA50" i="7"/>
  <c r="Q18" i="8"/>
  <c r="Z40" i="8"/>
  <c r="O42" i="8"/>
  <c r="Z42" i="8" s="1"/>
  <c r="O46" i="8"/>
  <c r="N23" i="8"/>
  <c r="N27" i="8" s="1"/>
  <c r="N31" i="8" s="1"/>
  <c r="Q47" i="7"/>
  <c r="M33" i="8"/>
  <c r="S37" i="8"/>
  <c r="AA37" i="8" s="1"/>
  <c r="AA53" i="7"/>
  <c r="R11" i="4"/>
  <c r="R12" i="4" s="1"/>
  <c r="O51" i="8"/>
  <c r="Z47" i="8"/>
  <c r="Q11" i="3"/>
  <c r="T20" i="3"/>
  <c r="T22" i="3"/>
  <c r="T49" i="7"/>
  <c r="R14" i="4" l="1"/>
  <c r="R58" i="7" s="1"/>
  <c r="R30" i="8" s="1"/>
  <c r="Q48" i="7"/>
  <c r="R7" i="3"/>
  <c r="Q13" i="3"/>
  <c r="Z46" i="8"/>
  <c r="O60" i="8"/>
  <c r="Z60" i="8" s="1"/>
  <c r="Z51" i="8"/>
  <c r="S7" i="4"/>
  <c r="R57" i="7"/>
  <c r="R28" i="8" s="1"/>
  <c r="R25" i="7"/>
  <c r="Q48" i="8"/>
  <c r="M35" i="8"/>
  <c r="M36" i="8"/>
  <c r="S54" i="7"/>
  <c r="AA26" i="3"/>
  <c r="T24" i="3"/>
  <c r="S55" i="7"/>
  <c r="AA55" i="7" s="1"/>
  <c r="AA25" i="3"/>
  <c r="T52" i="7"/>
  <c r="T50" i="7"/>
  <c r="Q55" i="8"/>
  <c r="P19" i="8"/>
  <c r="T23" i="3"/>
  <c r="S13" i="4" l="1"/>
  <c r="AA13" i="4" s="1"/>
  <c r="U18" i="3"/>
  <c r="T53" i="7"/>
  <c r="T37" i="8" s="1"/>
  <c r="M38" i="8"/>
  <c r="M43" i="8" s="1"/>
  <c r="P20" i="8"/>
  <c r="R18" i="8"/>
  <c r="Q59" i="8"/>
  <c r="T58" i="8"/>
  <c r="AA7" i="4"/>
  <c r="S11" i="4"/>
  <c r="T25" i="3"/>
  <c r="T26" i="3" s="1"/>
  <c r="O61" i="8"/>
  <c r="Q14" i="3"/>
  <c r="Q23" i="7"/>
  <c r="AA54" i="7"/>
  <c r="S29" i="8"/>
  <c r="AA29" i="8" s="1"/>
  <c r="R10" i="3"/>
  <c r="R45" i="7"/>
  <c r="S14" i="4" l="1"/>
  <c r="R47" i="7"/>
  <c r="N33" i="8"/>
  <c r="S58" i="7"/>
  <c r="T13" i="4"/>
  <c r="AA14" i="4"/>
  <c r="R11" i="3"/>
  <c r="Q17" i="8"/>
  <c r="R48" i="8"/>
  <c r="O23" i="8"/>
  <c r="P46" i="8"/>
  <c r="Z61" i="8"/>
  <c r="P47" i="8"/>
  <c r="P40" i="8"/>
  <c r="T55" i="7"/>
  <c r="T54" i="7"/>
  <c r="T29" i="8" s="1"/>
  <c r="U24" i="3"/>
  <c r="S25" i="7"/>
  <c r="AA11" i="4"/>
  <c r="S12" i="4"/>
  <c r="U20" i="3"/>
  <c r="U22" i="3"/>
  <c r="U49" i="7"/>
  <c r="U52" i="7" l="1"/>
  <c r="O27" i="8"/>
  <c r="Z23" i="8"/>
  <c r="R55" i="8"/>
  <c r="U50" i="7"/>
  <c r="U23" i="3"/>
  <c r="AA12" i="4"/>
  <c r="T7" i="4"/>
  <c r="S57" i="7"/>
  <c r="S18" i="8"/>
  <c r="AA25" i="7"/>
  <c r="Q19" i="8"/>
  <c r="Q20" i="8" s="1"/>
  <c r="U25" i="3"/>
  <c r="R48" i="7"/>
  <c r="S7" i="3"/>
  <c r="R13" i="3"/>
  <c r="AA58" i="7"/>
  <c r="S30" i="8"/>
  <c r="AA30" i="8" s="1"/>
  <c r="P42" i="8"/>
  <c r="N35" i="8"/>
  <c r="N36" i="8"/>
  <c r="P51" i="8"/>
  <c r="Q47" i="8" l="1"/>
  <c r="Q40" i="8"/>
  <c r="N38" i="8"/>
  <c r="N43" i="8" s="1"/>
  <c r="U58" i="8"/>
  <c r="P60" i="8"/>
  <c r="S48" i="8"/>
  <c r="AA48" i="8" s="1"/>
  <c r="AA18" i="8"/>
  <c r="AA57" i="7"/>
  <c r="S28" i="8"/>
  <c r="AA28" i="8" s="1"/>
  <c r="T11" i="4"/>
  <c r="V18" i="3"/>
  <c r="U53" i="7"/>
  <c r="U37" i="8" s="1"/>
  <c r="R14" i="3"/>
  <c r="R23" i="7"/>
  <c r="S10" i="3"/>
  <c r="S45" i="7"/>
  <c r="AA45" i="7" s="1"/>
  <c r="AA7" i="3"/>
  <c r="R59" i="8"/>
  <c r="U55" i="7"/>
  <c r="U26" i="3"/>
  <c r="Z27" i="8"/>
  <c r="O31" i="8"/>
  <c r="Z31" i="8" s="1"/>
  <c r="S47" i="7" l="1"/>
  <c r="AA10" i="3"/>
  <c r="O33" i="8"/>
  <c r="T25" i="7"/>
  <c r="T14" i="4"/>
  <c r="U54" i="7"/>
  <c r="U29" i="8" s="1"/>
  <c r="V24" i="3"/>
  <c r="T12" i="4"/>
  <c r="P61" i="8"/>
  <c r="S11" i="3"/>
  <c r="R17" i="8"/>
  <c r="Q42" i="8"/>
  <c r="V49" i="7"/>
  <c r="V20" i="3"/>
  <c r="V23" i="3" s="1"/>
  <c r="V22" i="3"/>
  <c r="Q51" i="8"/>
  <c r="W18" i="3" l="1"/>
  <c r="V53" i="7"/>
  <c r="V37" i="8" s="1"/>
  <c r="V25" i="3"/>
  <c r="U13" i="4"/>
  <c r="T58" i="7"/>
  <c r="T30" i="8" s="1"/>
  <c r="Z33" i="8"/>
  <c r="O35" i="8"/>
  <c r="O36" i="8"/>
  <c r="Z36" i="8" s="1"/>
  <c r="U7" i="4"/>
  <c r="T57" i="7"/>
  <c r="T28" i="8" s="1"/>
  <c r="V52" i="7"/>
  <c r="T18" i="8"/>
  <c r="R19" i="8"/>
  <c r="R20" i="8" s="1"/>
  <c r="Q60" i="8"/>
  <c r="V50" i="7"/>
  <c r="S48" i="7"/>
  <c r="AA11" i="3"/>
  <c r="T7" i="3"/>
  <c r="S13" i="3"/>
  <c r="P23" i="8"/>
  <c r="P27" i="8" s="1"/>
  <c r="P31" i="8" s="1"/>
  <c r="Q46" i="8"/>
  <c r="S55" i="8"/>
  <c r="AA47" i="7"/>
  <c r="T45" i="7" l="1"/>
  <c r="T10" i="3"/>
  <c r="R47" i="8"/>
  <c r="R40" i="8"/>
  <c r="S14" i="3"/>
  <c r="AA14" i="3" s="1"/>
  <c r="S23" i="7"/>
  <c r="AA13" i="3"/>
  <c r="U11" i="4"/>
  <c r="U14" i="4" s="1"/>
  <c r="Z35" i="8"/>
  <c r="O38" i="8"/>
  <c r="V58" i="8"/>
  <c r="V55" i="7"/>
  <c r="V26" i="3"/>
  <c r="T48" i="8"/>
  <c r="S59" i="8"/>
  <c r="AA59" i="8" s="1"/>
  <c r="AA55" i="8"/>
  <c r="Q61" i="8"/>
  <c r="AA48" i="7"/>
  <c r="AB18" i="3"/>
  <c r="W20" i="3"/>
  <c r="W49" i="7"/>
  <c r="AB49" i="7" s="1"/>
  <c r="W22" i="3"/>
  <c r="E31" i="10"/>
  <c r="G31" i="10" s="1"/>
  <c r="I31" i="10" s="1"/>
  <c r="W50" i="7" l="1"/>
  <c r="E32" i="10"/>
  <c r="G32" i="10" s="1"/>
  <c r="I32" i="10" s="1"/>
  <c r="AB20" i="3"/>
  <c r="V13" i="4"/>
  <c r="U58" i="7"/>
  <c r="U30" i="8" s="1"/>
  <c r="U25" i="7"/>
  <c r="S17" i="8"/>
  <c r="AA23" i="7"/>
  <c r="W52" i="7"/>
  <c r="AB52" i="7" s="1"/>
  <c r="AB22" i="3"/>
  <c r="O43" i="8"/>
  <c r="Z43" i="8" s="1"/>
  <c r="Z38" i="8"/>
  <c r="U12" i="4"/>
  <c r="R46" i="8"/>
  <c r="Q23" i="8"/>
  <c r="Q27" i="8" s="1"/>
  <c r="Q31" i="8" s="1"/>
  <c r="R42" i="8"/>
  <c r="V54" i="7"/>
  <c r="V29" i="8" s="1"/>
  <c r="W24" i="3"/>
  <c r="R51" i="8"/>
  <c r="T47" i="7"/>
  <c r="P33" i="8"/>
  <c r="W23" i="3"/>
  <c r="T11" i="3"/>
  <c r="R60" i="8" l="1"/>
  <c r="AB24" i="3"/>
  <c r="W25" i="3"/>
  <c r="W26" i="3" s="1"/>
  <c r="W53" i="7"/>
  <c r="AB23" i="3"/>
  <c r="E33" i="10"/>
  <c r="G33" i="10" s="1"/>
  <c r="I33" i="10" s="1"/>
  <c r="R61" i="8"/>
  <c r="P35" i="8"/>
  <c r="P36" i="8"/>
  <c r="U57" i="7"/>
  <c r="U28" i="8" s="1"/>
  <c r="V7" i="4"/>
  <c r="T55" i="8"/>
  <c r="U18" i="8"/>
  <c r="T48" i="7"/>
  <c r="U7" i="3"/>
  <c r="T13" i="3"/>
  <c r="S19" i="8"/>
  <c r="AA19" i="8" s="1"/>
  <c r="AA17" i="8"/>
  <c r="W58" i="8"/>
  <c r="AB58" i="8" s="1"/>
  <c r="AB50" i="7"/>
  <c r="W54" i="7" l="1"/>
  <c r="AB26" i="3"/>
  <c r="V11" i="4"/>
  <c r="W37" i="8"/>
  <c r="AB37" i="8" s="1"/>
  <c r="AB53" i="7"/>
  <c r="T59" i="8"/>
  <c r="P38" i="8"/>
  <c r="P43" i="8" s="1"/>
  <c r="R23" i="8"/>
  <c r="R27" i="8" s="1"/>
  <c r="R31" i="8" s="1"/>
  <c r="S46" i="8"/>
  <c r="S20" i="8"/>
  <c r="T14" i="3"/>
  <c r="T23" i="7"/>
  <c r="U45" i="7"/>
  <c r="U10" i="3"/>
  <c r="U11" i="3" s="1"/>
  <c r="W55" i="7"/>
  <c r="AB55" i="7" s="1"/>
  <c r="AB25" i="3"/>
  <c r="U48" i="8"/>
  <c r="S47" i="8" l="1"/>
  <c r="AA20" i="8"/>
  <c r="S40" i="8"/>
  <c r="AA46" i="8"/>
  <c r="U48" i="7"/>
  <c r="V7" i="3"/>
  <c r="U47" i="7"/>
  <c r="Q33" i="8"/>
  <c r="V25" i="7"/>
  <c r="V14" i="4"/>
  <c r="U13" i="3"/>
  <c r="V12" i="4"/>
  <c r="T17" i="8"/>
  <c r="AB54" i="7"/>
  <c r="W29" i="8"/>
  <c r="AB29" i="8" s="1"/>
  <c r="U55" i="8" l="1"/>
  <c r="Q35" i="8"/>
  <c r="Q36" i="8"/>
  <c r="V18" i="8"/>
  <c r="V10" i="3"/>
  <c r="V11" i="3" s="1"/>
  <c r="V13" i="3" s="1"/>
  <c r="V45" i="7"/>
  <c r="T19" i="8"/>
  <c r="V57" i="7"/>
  <c r="V28" i="8" s="1"/>
  <c r="W7" i="4"/>
  <c r="AA40" i="8"/>
  <c r="S42" i="8"/>
  <c r="AA42" i="8" s="1"/>
  <c r="U23" i="7"/>
  <c r="U14" i="3"/>
  <c r="V58" i="7"/>
  <c r="V30" i="8" s="1"/>
  <c r="W13" i="4"/>
  <c r="S51" i="8"/>
  <c r="AA47" i="8"/>
  <c r="T20" i="8" l="1"/>
  <c r="S60" i="8"/>
  <c r="AA51" i="8"/>
  <c r="AB13" i="4"/>
  <c r="E37" i="10"/>
  <c r="G37" i="10" s="1"/>
  <c r="I37" i="10" s="1"/>
  <c r="V14" i="3"/>
  <c r="V23" i="7"/>
  <c r="V17" i="8" s="1"/>
  <c r="W7" i="3"/>
  <c r="V48" i="7"/>
  <c r="V47" i="7"/>
  <c r="R33" i="8"/>
  <c r="V48" i="8"/>
  <c r="Q38" i="8"/>
  <c r="Q43" i="8" s="1"/>
  <c r="U17" i="8"/>
  <c r="AB7" i="4"/>
  <c r="W11" i="4"/>
  <c r="W12" i="4" s="1"/>
  <c r="E34" i="10"/>
  <c r="G34" i="10" s="1"/>
  <c r="I34" i="10" s="1"/>
  <c r="U59" i="8"/>
  <c r="AB12" i="4" l="1"/>
  <c r="W57" i="7"/>
  <c r="E36" i="10"/>
  <c r="G36" i="10" s="1"/>
  <c r="I36" i="10" s="1"/>
  <c r="V55" i="8"/>
  <c r="U19" i="8"/>
  <c r="U20" i="8"/>
  <c r="U47" i="8" s="1"/>
  <c r="U51" i="8" s="1"/>
  <c r="U60" i="8" s="1"/>
  <c r="W25" i="7"/>
  <c r="E35" i="10"/>
  <c r="G35" i="10" s="1"/>
  <c r="I35" i="10" s="1"/>
  <c r="AB11" i="4"/>
  <c r="W10" i="3"/>
  <c r="W45" i="7"/>
  <c r="AB45" i="7" s="1"/>
  <c r="AB7" i="3"/>
  <c r="E26" i="10"/>
  <c r="G26" i="10" s="1"/>
  <c r="I26" i="10" s="1"/>
  <c r="V19" i="8"/>
  <c r="V20" i="8"/>
  <c r="V47" i="8" s="1"/>
  <c r="V51" i="8" s="1"/>
  <c r="W14" i="4"/>
  <c r="AA60" i="8"/>
  <c r="S61" i="8"/>
  <c r="T47" i="8"/>
  <c r="T40" i="8"/>
  <c r="R35" i="8"/>
  <c r="R36" i="8"/>
  <c r="W18" i="8" l="1"/>
  <c r="AB25" i="7"/>
  <c r="W58" i="7"/>
  <c r="AB14" i="4"/>
  <c r="E38" i="10"/>
  <c r="G38" i="10" s="1"/>
  <c r="I38" i="10" s="1"/>
  <c r="E165" i="10"/>
  <c r="W47" i="7"/>
  <c r="E13" i="10" s="1"/>
  <c r="G13" i="10" s="1"/>
  <c r="I13" i="10" s="1"/>
  <c r="V33" i="8"/>
  <c r="E27" i="10"/>
  <c r="G27" i="10" s="1"/>
  <c r="I27" i="10" s="1"/>
  <c r="U33" i="8"/>
  <c r="T33" i="8"/>
  <c r="AB10" i="3"/>
  <c r="S33" i="8"/>
  <c r="V59" i="8"/>
  <c r="V60" i="8" s="1"/>
  <c r="W28" i="8"/>
  <c r="AB28" i="8" s="1"/>
  <c r="AB57" i="7"/>
  <c r="R38" i="8"/>
  <c r="R43" i="8" s="1"/>
  <c r="W11" i="3"/>
  <c r="U40" i="8"/>
  <c r="T42" i="8"/>
  <c r="T51" i="8"/>
  <c r="T46" i="8"/>
  <c r="S23" i="8"/>
  <c r="AA61" i="8"/>
  <c r="AA33" i="8" l="1"/>
  <c r="S35" i="8"/>
  <c r="S36" i="8"/>
  <c r="AA36" i="8" s="1"/>
  <c r="T35" i="8"/>
  <c r="T36" i="8"/>
  <c r="AA23" i="8"/>
  <c r="S27" i="8"/>
  <c r="U35" i="8"/>
  <c r="U36" i="8"/>
  <c r="T61" i="8"/>
  <c r="I165" i="10"/>
  <c r="G165" i="10"/>
  <c r="V35" i="8"/>
  <c r="V36" i="8"/>
  <c r="V40" i="8"/>
  <c r="U42" i="8"/>
  <c r="AB11" i="3"/>
  <c r="W48" i="7"/>
  <c r="E28" i="10"/>
  <c r="G28" i="10" s="1"/>
  <c r="I28" i="10" s="1"/>
  <c r="W13" i="3"/>
  <c r="T60" i="8"/>
  <c r="W55" i="8"/>
  <c r="AB47" i="7"/>
  <c r="AB58" i="7"/>
  <c r="W30" i="8"/>
  <c r="AB30" i="8" s="1"/>
  <c r="W48" i="8"/>
  <c r="AB48" i="8" s="1"/>
  <c r="AB18" i="8"/>
  <c r="U46" i="8" l="1"/>
  <c r="T23" i="8"/>
  <c r="T27" i="8" s="1"/>
  <c r="T31" i="8" s="1"/>
  <c r="T38" i="8"/>
  <c r="T43" i="8" s="1"/>
  <c r="W36" i="8"/>
  <c r="AB48" i="7"/>
  <c r="S38" i="8"/>
  <c r="AA35" i="8"/>
  <c r="V42" i="8"/>
  <c r="V38" i="8"/>
  <c r="V43" i="8" s="1"/>
  <c r="W59" i="8"/>
  <c r="AB59" i="8" s="1"/>
  <c r="AB55" i="8"/>
  <c r="U38" i="8"/>
  <c r="U43" i="8" s="1"/>
  <c r="AA27" i="8"/>
  <c r="S31" i="8"/>
  <c r="AA31" i="8" s="1"/>
  <c r="W14" i="3"/>
  <c r="E164" i="10" s="1"/>
  <c r="W23" i="7"/>
  <c r="E29" i="10"/>
  <c r="G29" i="10" s="1"/>
  <c r="I29" i="10" s="1"/>
  <c r="AB13" i="3"/>
  <c r="G164" i="10" l="1"/>
  <c r="I164" i="10"/>
  <c r="AB36" i="8"/>
  <c r="W38" i="8"/>
  <c r="S43" i="8"/>
  <c r="AA43" i="8" s="1"/>
  <c r="AA38" i="8"/>
  <c r="W17" i="8"/>
  <c r="AB23" i="7"/>
  <c r="E167" i="10"/>
  <c r="E30" i="10"/>
  <c r="G30" i="10" s="1"/>
  <c r="I30" i="10" s="1"/>
  <c r="AB14" i="3"/>
  <c r="U61" i="8"/>
  <c r="V46" i="8" l="1"/>
  <c r="U23" i="8"/>
  <c r="U27" i="8" s="1"/>
  <c r="U31" i="8" s="1"/>
  <c r="G167" i="10"/>
  <c r="I167" i="10"/>
  <c r="W19" i="8"/>
  <c r="AB19" i="8" s="1"/>
  <c r="W20" i="8"/>
  <c r="AB17" i="8"/>
  <c r="AB38" i="8"/>
  <c r="E173" i="10" l="1"/>
  <c r="G173" i="10" s="1"/>
  <c r="I173" i="10" s="1"/>
  <c r="W47" i="8"/>
  <c r="AB20" i="8"/>
  <c r="W40" i="8"/>
  <c r="V61" i="8"/>
  <c r="W46" i="8" l="1"/>
  <c r="V23" i="8"/>
  <c r="V27" i="8" s="1"/>
  <c r="V31" i="8" s="1"/>
  <c r="AB40" i="8"/>
  <c r="W42" i="8"/>
  <c r="W51" i="8"/>
  <c r="AB47" i="8"/>
  <c r="AB42" i="8" l="1"/>
  <c r="W43" i="8"/>
  <c r="W60" i="8"/>
  <c r="AB60" i="8" s="1"/>
  <c r="AB51" i="8"/>
  <c r="W61" i="8"/>
  <c r="AB46" i="8"/>
  <c r="E177" i="10" l="1"/>
  <c r="G177" i="10" s="1"/>
  <c r="I177" i="10" s="1"/>
  <c r="E10" i="10"/>
  <c r="W23" i="8"/>
  <c r="AB61" i="8"/>
  <c r="E176" i="10"/>
  <c r="G176" i="10" s="1"/>
  <c r="I176" i="10" s="1"/>
  <c r="F9" i="10"/>
  <c r="AB43" i="8"/>
  <c r="W27" i="8" l="1"/>
  <c r="F10" i="10"/>
  <c r="E174" i="10"/>
  <c r="G174" i="10" s="1"/>
  <c r="I174" i="10" s="1"/>
  <c r="AB23" i="8"/>
  <c r="G10" i="10"/>
  <c r="I10" i="10" s="1"/>
  <c r="W31" i="8" l="1"/>
  <c r="AB27" i="8"/>
  <c r="E168" i="10"/>
  <c r="I168" i="10" l="1"/>
  <c r="G168" i="10"/>
  <c r="E9" i="10"/>
  <c r="G9" i="10" s="1"/>
  <c r="I9" i="10" s="1"/>
  <c r="E175" i="10"/>
  <c r="G175" i="10" s="1"/>
  <c r="I175" i="10" s="1"/>
  <c r="AB31" i="8"/>
  <c r="B2" i="10" l="1"/>
</calcChain>
</file>

<file path=xl/sharedStrings.xml><?xml version="1.0" encoding="utf-8"?>
<sst xmlns="http://schemas.openxmlformats.org/spreadsheetml/2006/main" count="1903" uniqueCount="684">
  <si>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</si>
  <si>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</si>
  <si>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</si>
  <si>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</si>
  <si>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</si>
  <si>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</si>
  <si>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</si>
  <si>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</si>
  <si>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</si>
  <si>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</si>
  <si>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</si>
  <si>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</si>
  <si>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</si>
  <si>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</si>
  <si>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</si>
  <si>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</si>
  <si>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</si>
  <si>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</si>
  <si>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</si>
  <si>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</si>
  <si>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</si>
  <si>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</si>
  <si>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</si>
  <si>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</si>
  <si>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</si>
  <si>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</si>
  <si>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</si>
  <si>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</si>
  <si>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</si>
  <si>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</si>
  <si>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</si>
  <si>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</si>
  <si>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</si>
  <si>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</si>
  <si>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</si>
  <si>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</si>
  <si>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</si>
  <si>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</si>
  <si>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</si>
  <si>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</si>
  <si>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</si>
  <si>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</si>
  <si>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</si>
  <si>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</si>
  <si>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</si>
  <si>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</si>
  <si>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</si>
  <si>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</si>
  <si>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</si>
  <si>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</si>
  <si>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</si>
  <si>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</si>
  <si>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</si>
  <si>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</si>
  <si>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</si>
  <si>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</si>
  <si>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</si>
  <si>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</si>
  <si>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</si>
  <si>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</si>
  <si>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</si>
  <si>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</si>
  <si>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</si>
  <si>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</si>
  <si>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</si>
  <si>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</si>
  <si>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</si>
  <si>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</si>
  <si>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</si>
  <si>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</si>
  <si>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</si>
  <si>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</si>
  <si>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</si>
  <si>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</si>
  <si>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</si>
  <si>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</si>
  <si>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</si>
  <si>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</si>
  <si>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</si>
  <si>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</si>
  <si>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</si>
  <si>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</si>
  <si>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</si>
  <si>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</si>
  <si>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</si>
  <si>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Corporate Legal Services / Corporate legal matter/engagement</t>
  </si>
  <si>
    <t>Corporate Legal Services / Corporate legal matter/engagement - Capacity</t>
  </si>
  <si>
    <t>Source driver</t>
  </si>
  <si>
    <t>Corporate Legal Services / Corporate legal matter/engagement - Unit Price</t>
  </si>
  <si>
    <t>Corporate Legal Services / Corporate legal matter/engagement - Utilization</t>
  </si>
  <si>
    <t>Corporate Legal Services / Corporate legal matter/engagement - Revenue</t>
  </si>
  <si>
    <t>Capacity x Unit Price x Utilization</t>
  </si>
  <si>
    <t>Individual Legal Services / Family/estate legal matter</t>
  </si>
  <si>
    <t>Individual Legal Services / Family/estate legal matter - Capacity</t>
  </si>
  <si>
    <t>Individual Legal Services / Family/estate legal matter - Unit Price</t>
  </si>
  <si>
    <t>Individual Legal Services / Family/estate legal matter - Utilization</t>
  </si>
  <si>
    <t>Individual Legal Services / Family/estate legal matter - Revenue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</si>
  <si>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</si>
  <si>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</si>
  <si>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</si>
  <si>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</si>
  <si>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</si>
  <si>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</si>
  <si>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</si>
  <si>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</si>
  <si>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</si>
  <si>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</si>
  <si>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</si>
  <si>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</si>
  <si>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</si>
  <si>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</si>
  <si>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</si>
  <si>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</si>
  <si>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</si>
  <si>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</si>
  <si>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</si>
  <si>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</si>
  <si>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</si>
  <si>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</si>
  <si>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</si>
  <si>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</si>
  <si>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</si>
  <si>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expert</t>
  </si>
  <si>
    <t>Wage Positioning Tier</t>
  </si>
  <si>
    <t>premium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</si>
  <si>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</si>
  <si>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</si>
  <si>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</si>
  <si>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</si>
  <si>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</si>
  <si>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</si>
  <si>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</si>
  <si>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</si>
  <si>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</si>
  <si>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</si>
  <si>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</si>
  <si>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</si>
  <si>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</si>
  <si>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</si>
  <si>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</si>
  <si>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</si>
  <si>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</si>
  <si>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</si>
  <si>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</si>
  <si>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</si>
  <si>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</si>
  <si>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</si>
  <si>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</si>
  <si>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</si>
  <si>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</si>
  <si>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</si>
  <si>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</si>
  <si>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</si>
  <si>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Managing Partner</t>
  </si>
  <si>
    <t>oews_median</t>
  </si>
  <si>
    <t>Partner</t>
  </si>
  <si>
    <t>supporting_staff</t>
  </si>
  <si>
    <t>Paralegals and Legal Assistants</t>
  </si>
  <si>
    <t>oews_title_catalog:oews_median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</si>
  <si>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</si>
  <si>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</si>
  <si>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</si>
  <si>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</si>
  <si>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</si>
  <si>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</si>
  <si>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</si>
  <si>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</si>
  <si>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</si>
  <si>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</si>
  <si>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</si>
  <si>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</si>
  <si>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</si>
  <si>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</si>
  <si>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</si>
  <si>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</si>
  <si>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</si>
  <si>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</si>
  <si>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</si>
  <si>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</si>
  <si>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</si>
  <si>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</si>
  <si>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</si>
  <si>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</si>
  <si>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</si>
  <si>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</si>
  <si>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</si>
  <si>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</si>
  <si>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</si>
  <si>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</si>
  <si>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</si>
  <si>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</si>
  <si>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</si>
  <si>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</si>
  <si>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</si>
  <si>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</si>
  <si>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</si>
  <si>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</si>
  <si>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</si>
  <si>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</si>
  <si>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</si>
  <si>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</si>
  <si>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</si>
  <si>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</si>
  <si>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</si>
  <si>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</si>
  <si>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</si>
  <si>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</si>
  <si>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</si>
  <si>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</si>
  <si>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</si>
  <si>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</si>
  <si>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</si>
  <si>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</si>
  <si>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</si>
  <si>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</si>
  <si>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</si>
  <si>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</si>
  <si>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</si>
  <si>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</si>
  <si>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</si>
  <si>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</si>
  <si>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</si>
  <si>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</si>
  <si>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</si>
  <si>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</si>
  <si>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</si>
  <si>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</si>
  <si>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</si>
  <si>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</si>
  <si>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</si>
  <si>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</si>
  <si>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</si>
  <si>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</si>
  <si>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</si>
  <si>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</si>
  <si>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</si>
  <si>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</si>
  <si>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</si>
  <si>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</si>
  <si>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</si>
  <si>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</si>
  <si>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</si>
  <si>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</si>
  <si>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</si>
  <si>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</si>
  <si>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</si>
  <si>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</si>
  <si>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</si>
  <si>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</si>
  <si>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</si>
  <si>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</si>
  <si>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</si>
  <si>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</si>
  <si>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</si>
  <si>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</si>
  <si>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</si>
  <si>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</si>
  <si>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</si>
  <si>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</si>
  <si>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</si>
  <si>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</si>
  <si>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</si>
  <si>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</si>
  <si>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</si>
  <si>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</si>
  <si>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</si>
  <si>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</si>
  <si>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</si>
  <si>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</si>
  <si>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</si>
  <si>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</si>
  <si>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</si>
  <si>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</si>
  <si>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</si>
  <si>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</si>
  <si>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</si>
  <si>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Drivers'!C20:W20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</si>
  <si>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</si>
  <si>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</si>
  <si>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</si>
  <si>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</si>
  <si>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</si>
  <si>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</si>
  <si>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</si>
  <si>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</si>
  <si>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</si>
  <si>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</si>
  <si>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</si>
  <si>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</si>
  <si>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</si>
  <si>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</si>
  <si>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</si>
  <si>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</si>
  <si>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</si>
  <si>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</si>
  <si>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</si>
  <si>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</si>
  <si>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</si>
  <si>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</si>
  <si>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</si>
  <si>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</si>
  <si>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</si>
  <si>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</si>
  <si>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</si>
  <si>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</si>
  <si>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</si>
  <si>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</si>
  <si>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</si>
  <si>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calculation - lob_2_product_1</t>
  </si>
  <si>
    <t>'Revenue Drivers'!C17:W17</t>
  </si>
  <si>
    <t>Revenue total equals all revenue products</t>
  </si>
  <si>
    <t>Total revenue must stay tied to all revenue-product rows.</t>
  </si>
  <si>
    <t>Revenue total capacity equals all capacity products</t>
  </si>
  <si>
    <t>'Revenue Drivers'!C19:W19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</si>
  <si>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</si>
  <si>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</si>
  <si>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</si>
  <si>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</si>
  <si>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</si>
  <si>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</si>
  <si>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</si>
  <si>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</si>
  <si>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</si>
  <si>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</si>
  <si>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</si>
  <si>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</si>
  <si>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</si>
  <si>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</si>
  <si>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</si>
  <si>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</si>
  <si>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</si>
  <si>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</si>
  <si>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</si>
  <si>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</si>
  <si>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</si>
  <si>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</si>
  <si>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</si>
  <si>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</si>
  <si>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</si>
  <si>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</si>
  <si>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</si>
  <si>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</si>
  <si>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</si>
  <si>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</si>
  <si>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</si>
  <si>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</si>
  <si>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</si>
  <si>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</si>
  <si>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</si>
  <si>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</si>
  <si>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</si>
  <si>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</si>
  <si>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</si>
  <si>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</si>
  <si>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</si>
  <si>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</si>
  <si>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</si>
  <si>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</si>
  <si>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</si>
  <si>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</si>
  <si>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Drivers'!C23:W23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</si>
  <si>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</si>
  <si>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</si>
  <si>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</si>
  <si>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</si>
  <si>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</si>
  <si>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</si>
  <si>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</si>
  <si>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</si>
  <si>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</si>
  <si>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</si>
  <si>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</si>
  <si>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</si>
  <si>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</si>
  <si>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</si>
  <si>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</si>
  <si>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</si>
  <si>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</si>
  <si>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</si>
  <si>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</si>
  <si>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</si>
  <si>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</si>
  <si>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</si>
  <si>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</si>
  <si>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</si>
  <si>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</si>
  <si>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</si>
  <si>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</si>
  <si>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</si>
  <si>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</si>
  <si>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</si>
  <si>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</si>
  <si>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</si>
  <si>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</si>
  <si>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</si>
  <si>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</si>
  <si>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</si>
  <si>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</si>
  <si>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</si>
  <si>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</si>
  <si>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</si>
  <si>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</si>
  <si>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</si>
  <si>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</si>
  <si>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</si>
  <si>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</si>
  <si>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</si>
  <si>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</si>
  <si>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</si>
  <si>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revenue::lob_2_product_1::Capacity</t>
  </si>
  <si>
    <t>'Model Inputs'!C11:W11</t>
  </si>
  <si>
    <t>Model Inputs - revenue::lob_2_product_1::Unit Price</t>
  </si>
  <si>
    <t>'Model Inputs'!C12:W12</t>
  </si>
  <si>
    <t>Model Inputs - revenue::lob_2_product_1::Utilization</t>
  </si>
  <si>
    <t>'Model Inputs'!C13:W13</t>
  </si>
  <si>
    <t>Model Inputs - revenue::lob_2_product_1::Revenue</t>
  </si>
  <si>
    <t>'Model Inputs'!C14:W14</t>
  </si>
  <si>
    <t>Model Inputs - is::Revenue</t>
  </si>
  <si>
    <t>'Model Inputs'!C15:W15</t>
  </si>
  <si>
    <t>Model Inputs - is::Lease</t>
  </si>
  <si>
    <t>'Model Inputs'!C19:W19</t>
  </si>
  <si>
    <t>Model Inputs - is::Payroll</t>
  </si>
  <si>
    <t>'Model Inputs'!D20:W20</t>
  </si>
  <si>
    <t>Model Inputs - is::Interest Rate</t>
  </si>
  <si>
    <t>'Model Inputs'!C22:W22</t>
  </si>
  <si>
    <t>Model Inputs - is::Interest Expense</t>
  </si>
  <si>
    <t>'Model Inputs'!D23:W23</t>
  </si>
  <si>
    <t>Model Inputs - is::Depreciation</t>
  </si>
  <si>
    <t>'Model Inputs'!C24:W24</t>
  </si>
  <si>
    <t>Model Inputs - is::Depreciation Expense</t>
  </si>
  <si>
    <t>'Model Inputs'!C25:W25</t>
  </si>
  <si>
    <t>Model Inputs - bs::Accounts Receivable Days</t>
  </si>
  <si>
    <t>'Model Inputs'!C29:W29</t>
  </si>
  <si>
    <t>Model Inputs - bs::Inventory Days</t>
  </si>
  <si>
    <t>'Model Inputs'!C30:W30</t>
  </si>
  <si>
    <t>Model Inputs - bs::Accounts Payable Days</t>
  </si>
  <si>
    <t>'Model Inputs'!C31:W31</t>
  </si>
  <si>
    <t>Model Inputs - bs::Prepaid Expenses (% of Revenue)</t>
  </si>
  <si>
    <t>'Model Inputs'!C32:W32</t>
  </si>
  <si>
    <t>Model Inputs - bs::Deferred Revenue (% of Revenue)</t>
  </si>
  <si>
    <t>'Model Inputs'!C33:W33</t>
  </si>
  <si>
    <t>Model Inputs - bs::Short Term Debt (% of LTD)</t>
  </si>
  <si>
    <t>'Model Inputs'!C34:W34</t>
  </si>
  <si>
    <t>Model Inputs - bs::Owner's Capital</t>
  </si>
  <si>
    <t>'Model Inputs'!C35:W35</t>
  </si>
  <si>
    <t>Model Inputs - bs::Other Equity</t>
  </si>
  <si>
    <t>'Model Inputs'!C36:W36</t>
  </si>
  <si>
    <t>Model Inputs - bs::Distributions</t>
  </si>
  <si>
    <t>'Model Inputs'!C37:W37</t>
  </si>
  <si>
    <t>Model Inputs - cash::Cash Opening Balance</t>
  </si>
  <si>
    <t>'Model Inputs'!C40:W40</t>
  </si>
  <si>
    <t>Model Inputs - cash::Accounts Receivable Opening Balance</t>
  </si>
  <si>
    <t>'Model Inputs'!C41:W41</t>
  </si>
  <si>
    <t>Model Inputs - cash::Inventory Opening Balance</t>
  </si>
  <si>
    <t>'Model Inputs'!C42:W42</t>
  </si>
  <si>
    <t>Model Inputs - cash::Accounts Payable Opening Balance</t>
  </si>
  <si>
    <t>'Model Inputs'!C43:W43</t>
  </si>
  <si>
    <t>Model Inputs - cash::Short Term Debt Opening Balance</t>
  </si>
  <si>
    <t>'Model Inputs'!C44:W44</t>
  </si>
  <si>
    <t>Model Inputs - cash::Debt Opening Balance</t>
  </si>
  <si>
    <t>'Model Inputs'!C45:W45</t>
  </si>
  <si>
    <t>Model Inputs - cash::Debt Issuance</t>
  </si>
  <si>
    <t>'Model Inputs'!C46:W46</t>
  </si>
  <si>
    <t>Model Inputs - cash::Debt Repayment</t>
  </si>
  <si>
    <t>'Model Inputs'!C47:W47</t>
  </si>
  <si>
    <t>Model Inputs - cash::Debt Closing Balance</t>
  </si>
  <si>
    <t>'Model Inputs'!C48:W48</t>
  </si>
  <si>
    <t>Model Inputs - cash::Lease Opening Balance</t>
  </si>
  <si>
    <t>'Model Inputs'!C49:W49</t>
  </si>
  <si>
    <t>Model Inputs - cash::Lease Principal Repayments</t>
  </si>
  <si>
    <t>'Model Inputs'!C50:W50</t>
  </si>
  <si>
    <t>Model Inputs - cash::Lease Net Additions</t>
  </si>
  <si>
    <t>'Model Inputs'!C51:W51</t>
  </si>
  <si>
    <t>Model Inputs - cash::Lease Interest Expense</t>
  </si>
  <si>
    <t>'Model Inputs'!C52:W52</t>
  </si>
  <si>
    <t>Model Inputs - cash::Lease Closing Balance</t>
  </si>
  <si>
    <t>'Model Inputs'!C53:W53</t>
  </si>
  <si>
    <t>Model Inputs - cash::Right-of-Use Asset</t>
  </si>
  <si>
    <t>'Model Inputs'!C54:W54</t>
  </si>
  <si>
    <t>Model Inputs - cash::Lease Asset Depreciation</t>
  </si>
  <si>
    <t>'Model Inputs'!C55:W55</t>
  </si>
  <si>
    <t>Model Inputs - cash::Capital Expenditures</t>
  </si>
  <si>
    <t>'Model Inputs'!C56:W56</t>
  </si>
  <si>
    <t>Model Inputs - cash::PPE Closing Balance</t>
  </si>
  <si>
    <t>'Model Inputs'!C57:W57</t>
  </si>
  <si>
    <t>Model Inputs - cash::Accumulated Depreciation</t>
  </si>
  <si>
    <t>'Model Inputs'!C58:W58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</si>
  <si>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</si>
  <si>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</si>
  <si>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</si>
  <si>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</si>
  <si>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</si>
  <si>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</si>
  <si>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</si>
  <si>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</si>
  <si>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</si>
  <si>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</si>
  <si>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</si>
  <si>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</si>
  <si>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</si>
  <si>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</si>
  <si>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</si>
  <si>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</si>
  <si>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</si>
  <si>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</si>
  <si>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</si>
  <si>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</si>
  <si>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</si>
  <si>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</si>
  <si>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</si>
  <si>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</si>
  <si>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</si>
  <si>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</si>
  <si>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</si>
  <si>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</si>
  <si>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</si>
  <si>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</si>
  <si>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</si>
  <si>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</si>
  <si>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</si>
  <si>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</si>
  <si>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</si>
  <si>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</si>
  <si>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</si>
  <si>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</si>
  <si>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</si>
  <si>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</si>
  <si>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</si>
  <si>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</si>
  <si>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</si>
  <si>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</si>
  <si>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</si>
  <si>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</si>
  <si>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</si>
  <si>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</si>
  <si>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</si>
  <si>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</si>
  <si>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</si>
  <si>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</si>
  <si>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</si>
  <si>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</si>
  <si>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</si>
  <si>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</si>
  <si>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</si>
  <si>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</si>
  <si>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</si>
  <si>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</si>
  <si>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</si>
  <si>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</si>
  <si>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</si>
  <si>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</si>
  <si>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</si>
  <si>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</si>
  <si>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</si>
  <si>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</si>
  <si>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</si>
  <si>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</si>
  <si>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</si>
  <si>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</si>
  <si>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</si>
  <si>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</si>
  <si>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</si>
  <si>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</si>
  <si>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</si>
  <si>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</si>
  <si>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</si>
  <si>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</si>
  <si>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</si>
  <si>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</si>
  <si>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</si>
  <si>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</si>
  <si>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</si>
  <si>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</si>
  <si>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</si>
  <si>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</si>
  <si>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</si>
  <si>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</si>
  <si>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</si>
  <si>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</si>
  <si>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</si>
  <si>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</si>
  <si>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</si>
  <si>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</si>
  <si>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</si>
  <si>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</si>
  <si>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</si>
  <si>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</si>
  <si>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</si>
  <si>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</si>
  <si>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</si>
  <si>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</si>
  <si>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Drivers'!C7:W34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</si>
  <si>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</si>
  <si>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</si>
  <si>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</si>
  <si>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</si>
  <si>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</si>
  <si>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</si>
  <si>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</si>
  <si>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</si>
  <si>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</si>
  <si>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</si>
  <si>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</si>
  <si>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Inputs'!C7:W58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</si>
  <si>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</si>
  <si>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</si>
  <si>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</si>
  <si>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</si>
  <si>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</si>
  <si>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</si>
  <si>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</si>
  <si>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</si>
  <si>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</si>
  <si>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</si>
  <si>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</si>
  <si>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</si>
  <si>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</si>
  <si>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</si>
  <si>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</si>
  <si>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</si>
  <si>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</si>
  <si>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</si>
  <si>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</si>
  <si>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</si>
  <si>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</si>
  <si>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normalize</t>
  </si>
  <si>
    <t>Cash Strategy</t>
  </si>
  <si>
    <t>balanced</t>
  </si>
  <si>
    <t>Business Stage</t>
  </si>
  <si>
    <t>pre-revenue</t>
  </si>
  <si>
    <t>Business Name</t>
  </si>
  <si>
    <t>Anderson &amp; Blake Legal Associates</t>
  </si>
  <si>
    <t>Business Start Date</t>
  </si>
  <si>
    <t>06/19/2026</t>
  </si>
  <si>
    <t>NAICS-6</t>
  </si>
  <si>
    <t>541110</t>
  </si>
  <si>
    <t>Draft ID</t>
  </si>
  <si>
    <t>770680284e484577917b00b9363c6175</t>
  </si>
  <si>
    <t>Planning Run ID</t>
  </si>
  <si>
    <t>70125bba7ac443fba6733d496a014706</t>
  </si>
  <si>
    <t>Acceptance Gate</t>
  </si>
  <si>
    <t>Score</t>
  </si>
  <si>
    <t>16/16</t>
  </si>
  <si>
    <t>Verdict</t>
  </si>
  <si>
    <t>PASSED</t>
  </si>
  <si>
    <t>GPT Exhaustion Handler</t>
  </si>
  <si>
    <t>Fired</t>
  </si>
  <si>
    <t>No (restoration loop landed deterministically)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</si>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</sst>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3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84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51" t="s">
        <v>85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7" t="s">
        <v>86</v>
      </c>
      <c r="B8" s="7" t="s">
        <v>87</v>
      </c>
      <c r="C8" s="8">
        <v>130</v>
      </c>
      <c r="D8" s="8">
        <v>57.266666999999998</v>
      </c>
      <c r="E8" s="8">
        <v>57.266666999999998</v>
      </c>
      <c r="F8" s="8">
        <v>57.266666999999998</v>
      </c>
      <c r="G8" s="8">
        <v>57.266666999999998</v>
      </c>
      <c r="H8" s="8">
        <v>57.266666999999998</v>
      </c>
      <c r="I8" s="8">
        <v>57.266666999999998</v>
      </c>
      <c r="J8" s="8">
        <v>57.266666999999998</v>
      </c>
      <c r="K8" s="8">
        <v>57.266666999999998</v>
      </c>
      <c r="L8" s="8">
        <v>57.266666999999998</v>
      </c>
      <c r="M8" s="8">
        <v>57.266666999999998</v>
      </c>
      <c r="N8" s="8">
        <v>57.266666999999998</v>
      </c>
      <c r="O8" s="8">
        <v>57.266666999999998</v>
      </c>
      <c r="P8" s="8">
        <v>57.266666999999998</v>
      </c>
      <c r="Q8" s="8">
        <v>57.266666999999998</v>
      </c>
      <c r="R8" s="8">
        <v>57.266666999999998</v>
      </c>
      <c r="S8" s="8">
        <v>57.266666999999998</v>
      </c>
      <c r="T8" s="8">
        <v>57.266666999999998</v>
      </c>
      <c r="U8" s="8">
        <v>57.266666999999998</v>
      </c>
      <c r="V8" s="8">
        <v>57.266666999999998</v>
      </c>
      <c r="W8" s="8">
        <v>57.266666999999998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12000</v>
      </c>
      <c r="D9" s="10">
        <v>3228.064805828792</v>
      </c>
      <c r="E9" s="10">
        <v>4687.3752679999998</v>
      </c>
      <c r="F9" s="10">
        <v>5633.9904210000004</v>
      </c>
      <c r="G9" s="10">
        <v>6458.0667750000002</v>
      </c>
      <c r="H9" s="10">
        <v>7175.4669089999998</v>
      </c>
      <c r="I9" s="10">
        <v>7800</v>
      </c>
      <c r="J9" s="10">
        <v>8343.6876339999999</v>
      </c>
      <c r="K9" s="10">
        <v>8816.9952099999991</v>
      </c>
      <c r="L9" s="10">
        <v>9229.0333869999995</v>
      </c>
      <c r="M9" s="10">
        <v>9587.7334549999996</v>
      </c>
      <c r="N9" s="10">
        <v>9900</v>
      </c>
      <c r="O9" s="10">
        <v>10171.843817000001</v>
      </c>
      <c r="P9" s="10">
        <v>10408.497605</v>
      </c>
      <c r="Q9" s="10">
        <v>10614.516694</v>
      </c>
      <c r="R9" s="10">
        <v>10793.866727000001</v>
      </c>
      <c r="S9" s="10">
        <v>10950</v>
      </c>
      <c r="T9" s="10">
        <v>11085.921909000001</v>
      </c>
      <c r="U9" s="10">
        <v>11204.248803</v>
      </c>
      <c r="V9" s="10">
        <v>11307.258347000001</v>
      </c>
      <c r="W9" s="10">
        <v>11396.933364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</v>
      </c>
      <c r="D10" s="12">
        <v>0.82608099999999995</v>
      </c>
      <c r="E10" s="12">
        <v>0.73769399999999996</v>
      </c>
      <c r="F10" s="12">
        <v>0.62412000000000001</v>
      </c>
      <c r="G10" s="12">
        <v>0.55241300000000004</v>
      </c>
      <c r="H10" s="12">
        <v>0.51780599999999999</v>
      </c>
      <c r="I10" s="12">
        <v>0.47966300000000001</v>
      </c>
      <c r="J10" s="12">
        <v>0.45671400000000001</v>
      </c>
      <c r="K10" s="12">
        <v>0.439438</v>
      </c>
      <c r="L10" s="12">
        <v>0.43567899999999998</v>
      </c>
      <c r="M10" s="12">
        <v>0.426566</v>
      </c>
      <c r="N10" s="12">
        <v>0.50335700000000005</v>
      </c>
      <c r="O10" s="12">
        <v>0.58657700000000002</v>
      </c>
      <c r="P10" s="12">
        <v>0.64159100000000002</v>
      </c>
      <c r="Q10" s="12">
        <v>0.67191100000000004</v>
      </c>
      <c r="R10" s="12">
        <v>0.68696699999999999</v>
      </c>
      <c r="S10" s="12">
        <v>0.69405700000000004</v>
      </c>
      <c r="T10" s="12">
        <v>0.69731200000000004</v>
      </c>
      <c r="U10" s="12">
        <v>0.69878799999999996</v>
      </c>
      <c r="V10" s="12">
        <v>0.69945500000000005</v>
      </c>
      <c r="W10" s="12">
        <v>0.69975500000000002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1092000</v>
      </c>
      <c r="D11" s="15">
        <f t="shared" si="0"/>
        <v>152709.7568528844</v>
      </c>
      <c r="E11" s="15">
        <f t="shared" si="0"/>
        <v>198019.46493980024</v>
      </c>
      <c r="F11" s="15">
        <f t="shared" si="0"/>
        <v>201365.98525445088</v>
      </c>
      <c r="G11" s="15">
        <f t="shared" si="0"/>
        <v>204299.98222542446</v>
      </c>
      <c r="H11" s="15">
        <f t="shared" si="0"/>
        <v>212774.29083209598</v>
      </c>
      <c r="I11" s="15">
        <f t="shared" si="0"/>
        <v>214255.8700871238</v>
      </c>
      <c r="J11" s="15">
        <f t="shared" si="0"/>
        <v>218224.88270690275</v>
      </c>
      <c r="K11" s="15">
        <f t="shared" si="0"/>
        <v>221881.0035980416</v>
      </c>
      <c r="L11" s="15">
        <f t="shared" si="0"/>
        <v>230263.31439334466</v>
      </c>
      <c r="M11" s="15">
        <f t="shared" si="0"/>
        <v>234209.27820335969</v>
      </c>
      <c r="N11" s="15">
        <f t="shared" si="0"/>
        <v>285373.21924107813</v>
      </c>
      <c r="O11" s="15">
        <f t="shared" si="0"/>
        <v>341685.55617042637</v>
      </c>
      <c r="P11" s="15">
        <f t="shared" si="0"/>
        <v>382426.70984854136</v>
      </c>
      <c r="Q11" s="15">
        <f t="shared" si="0"/>
        <v>408426.47185482614</v>
      </c>
      <c r="R11" s="15">
        <f t="shared" si="0"/>
        <v>424634.0677693155</v>
      </c>
      <c r="S11" s="15">
        <f t="shared" si="0"/>
        <v>435222.32552330807</v>
      </c>
      <c r="T11" s="15">
        <f t="shared" si="0"/>
        <v>442691.1718355284</v>
      </c>
      <c r="U11" s="15">
        <f t="shared" si="0"/>
        <v>448363.3340885386</v>
      </c>
      <c r="V11" s="15">
        <f t="shared" si="0"/>
        <v>452917.39560428349</v>
      </c>
      <c r="W11" s="15">
        <f t="shared" si="0"/>
        <v>456705.16866915894</v>
      </c>
      <c r="X11" s="15">
        <f>SUM(D11:G11)</f>
        <v>756395.18927256006</v>
      </c>
      <c r="Y11" s="15">
        <f>SUM(H11:K11)</f>
        <v>867136.04722416413</v>
      </c>
      <c r="Z11" s="15">
        <f>SUM(L11:O11)</f>
        <v>1091531.3680082089</v>
      </c>
      <c r="AA11" s="15">
        <f>SUM(P11:S11)</f>
        <v>1650709.5749959911</v>
      </c>
      <c r="AB11" s="15">
        <f>SUM(T11:W11)</f>
        <v>1800677.0701975096</v>
      </c>
    </row>
    <row r="13" spans="1:28" x14ac:dyDescent="0.3">
      <c r="A13" s="51" t="s">
        <v>92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 spans="1:28" x14ac:dyDescent="0.3">
      <c r="A14" s="7" t="s">
        <v>93</v>
      </c>
      <c r="B14" s="7" t="s">
        <v>87</v>
      </c>
      <c r="C14" s="8">
        <v>104</v>
      </c>
      <c r="D14" s="8">
        <v>45.813333</v>
      </c>
      <c r="E14" s="8">
        <v>45.813333</v>
      </c>
      <c r="F14" s="8">
        <v>45.813333</v>
      </c>
      <c r="G14" s="8">
        <v>45.813333</v>
      </c>
      <c r="H14" s="8">
        <v>45.813333</v>
      </c>
      <c r="I14" s="8">
        <v>45.813333</v>
      </c>
      <c r="J14" s="8">
        <v>45.813333</v>
      </c>
      <c r="K14" s="8">
        <v>45.813333</v>
      </c>
      <c r="L14" s="8">
        <v>45.813333</v>
      </c>
      <c r="M14" s="8">
        <v>45.813333</v>
      </c>
      <c r="N14" s="8">
        <v>45.813333</v>
      </c>
      <c r="O14" s="8">
        <v>45.813333</v>
      </c>
      <c r="P14" s="8">
        <v>45.813333</v>
      </c>
      <c r="Q14" s="8">
        <v>45.813333</v>
      </c>
      <c r="R14" s="8">
        <v>45.813333</v>
      </c>
      <c r="S14" s="8">
        <v>45.813333</v>
      </c>
      <c r="T14" s="8">
        <v>45.813333</v>
      </c>
      <c r="U14" s="8">
        <v>45.813333</v>
      </c>
      <c r="V14" s="8">
        <v>45.813333</v>
      </c>
      <c r="W14" s="8">
        <v>45.813333</v>
      </c>
      <c r="X14" s="9"/>
      <c r="Y14" s="9"/>
      <c r="Z14" s="9"/>
      <c r="AA14" s="9"/>
      <c r="AB14" s="9"/>
    </row>
    <row r="15" spans="1:28" x14ac:dyDescent="0.3">
      <c r="A15" s="7" t="s">
        <v>94</v>
      </c>
      <c r="B15" s="7" t="s">
        <v>87</v>
      </c>
      <c r="C15" s="10">
        <v>6000</v>
      </c>
      <c r="D15" s="10">
        <v>3228.064805828792</v>
      </c>
      <c r="E15" s="10">
        <v>2343.6876339999999</v>
      </c>
      <c r="F15" s="10">
        <v>2816.99521</v>
      </c>
      <c r="G15" s="10">
        <v>3229.0333869999999</v>
      </c>
      <c r="H15" s="10">
        <v>3587.733455</v>
      </c>
      <c r="I15" s="10">
        <v>3900</v>
      </c>
      <c r="J15" s="10">
        <v>4171.8438169999999</v>
      </c>
      <c r="K15" s="10">
        <v>4408.4976049999996</v>
      </c>
      <c r="L15" s="10">
        <v>4614.5166939999999</v>
      </c>
      <c r="M15" s="10">
        <v>4793.8667269999996</v>
      </c>
      <c r="N15" s="10">
        <v>4950</v>
      </c>
      <c r="O15" s="10">
        <v>5085.9219089999997</v>
      </c>
      <c r="P15" s="10">
        <v>5204.2488030000004</v>
      </c>
      <c r="Q15" s="10">
        <v>5307.258347</v>
      </c>
      <c r="R15" s="10">
        <v>5396.9333640000004</v>
      </c>
      <c r="S15" s="10">
        <v>5475</v>
      </c>
      <c r="T15" s="10">
        <v>5542.9609540000001</v>
      </c>
      <c r="U15" s="10">
        <v>5602.124401</v>
      </c>
      <c r="V15" s="10">
        <v>5653.6291730000003</v>
      </c>
      <c r="W15" s="10">
        <v>5698.4666820000002</v>
      </c>
      <c r="X15" s="11"/>
      <c r="Y15" s="11"/>
      <c r="Z15" s="11"/>
      <c r="AA15" s="11"/>
      <c r="AB15" s="11"/>
    </row>
    <row r="16" spans="1:28" x14ac:dyDescent="0.3">
      <c r="A16" s="7" t="s">
        <v>95</v>
      </c>
      <c r="B16" s="7" t="s">
        <v>87</v>
      </c>
      <c r="C16" s="12">
        <v>0.7</v>
      </c>
      <c r="D16" s="12">
        <v>0.82608099999999995</v>
      </c>
      <c r="E16" s="12">
        <v>0.73769399999999996</v>
      </c>
      <c r="F16" s="12">
        <v>0.62412000000000001</v>
      </c>
      <c r="G16" s="12">
        <v>0.55241300000000004</v>
      </c>
      <c r="H16" s="12">
        <v>0.51780599999999999</v>
      </c>
      <c r="I16" s="12">
        <v>0.47966300000000001</v>
      </c>
      <c r="J16" s="12">
        <v>0.45671400000000001</v>
      </c>
      <c r="K16" s="12">
        <v>0.439438</v>
      </c>
      <c r="L16" s="12">
        <v>0.43567899999999998</v>
      </c>
      <c r="M16" s="12">
        <v>0.426566</v>
      </c>
      <c r="N16" s="12">
        <v>0.50335700000000005</v>
      </c>
      <c r="O16" s="12">
        <v>0.58657700000000002</v>
      </c>
      <c r="P16" s="12">
        <v>0.64159100000000002</v>
      </c>
      <c r="Q16" s="12">
        <v>0.67191100000000004</v>
      </c>
      <c r="R16" s="12">
        <v>0.68696699999999999</v>
      </c>
      <c r="S16" s="12">
        <v>0.69405700000000004</v>
      </c>
      <c r="T16" s="12">
        <v>0.69731200000000004</v>
      </c>
      <c r="U16" s="12">
        <v>0.69878799999999996</v>
      </c>
      <c r="V16" s="12">
        <v>0.69945500000000005</v>
      </c>
      <c r="W16" s="12">
        <v>0.69975500000000002</v>
      </c>
      <c r="X16" s="13"/>
      <c r="Y16" s="13"/>
      <c r="Z16" s="13"/>
      <c r="AA16" s="13"/>
      <c r="AB16" s="13"/>
    </row>
    <row r="17" spans="1:28" x14ac:dyDescent="0.3">
      <c r="A17" s="14" t="s">
        <v>96</v>
      </c>
      <c r="B17" s="14" t="s">
        <v>91</v>
      </c>
      <c r="C17" s="15">
        <f t="shared" ref="C17:W17" si="1">C14*C15*C16</f>
        <v>436800</v>
      </c>
      <c r="D17" s="15">
        <f t="shared" si="1"/>
        <v>122167.80388232171</v>
      </c>
      <c r="E17" s="15">
        <f t="shared" si="1"/>
        <v>79207.784938565514</v>
      </c>
      <c r="F17" s="15">
        <f t="shared" si="1"/>
        <v>80546.393032598018</v>
      </c>
      <c r="G17" s="15">
        <f t="shared" si="1"/>
        <v>81719.991807259823</v>
      </c>
      <c r="H17" s="15">
        <f t="shared" si="1"/>
        <v>85109.715230049667</v>
      </c>
      <c r="I17" s="15">
        <f t="shared" si="1"/>
        <v>85702.346912438094</v>
      </c>
      <c r="J17" s="15">
        <f t="shared" si="1"/>
        <v>87289.951939557417</v>
      </c>
      <c r="K17" s="15">
        <f t="shared" si="1"/>
        <v>88752.400276859815</v>
      </c>
      <c r="L17" s="15">
        <f t="shared" si="1"/>
        <v>92105.324561049012</v>
      </c>
      <c r="M17" s="15">
        <f t="shared" si="1"/>
        <v>93683.710044632346</v>
      </c>
      <c r="N17" s="15">
        <f t="shared" si="1"/>
        <v>114149.28620146097</v>
      </c>
      <c r="O17" s="15">
        <f t="shared" si="1"/>
        <v>136674.22069163618</v>
      </c>
      <c r="P17" s="15">
        <f t="shared" si="1"/>
        <v>152970.68195071374</v>
      </c>
      <c r="Q17" s="15">
        <f t="shared" si="1"/>
        <v>163370.5866023273</v>
      </c>
      <c r="R17" s="15">
        <f t="shared" si="1"/>
        <v>169853.62489895325</v>
      </c>
      <c r="S17" s="15">
        <f t="shared" si="1"/>
        <v>174088.92792934598</v>
      </c>
      <c r="T17" s="15">
        <f t="shared" si="1"/>
        <v>177076.46639913437</v>
      </c>
      <c r="U17" s="15">
        <f t="shared" si="1"/>
        <v>179345.33127059016</v>
      </c>
      <c r="V17" s="15">
        <f t="shared" si="1"/>
        <v>181166.95585301574</v>
      </c>
      <c r="W17" s="15">
        <f t="shared" si="1"/>
        <v>182682.06507514528</v>
      </c>
      <c r="X17" s="15">
        <f>SUM(D17:G17)</f>
        <v>363641.97366074508</v>
      </c>
      <c r="Y17" s="15">
        <f>SUM(H17:K17)</f>
        <v>346854.41435890499</v>
      </c>
      <c r="Z17" s="15">
        <f>SUM(L17:O17)</f>
        <v>436612.5414987785</v>
      </c>
      <c r="AA17" s="15">
        <f>SUM(P17:S17)</f>
        <v>660283.82138134027</v>
      </c>
      <c r="AB17" s="15">
        <f>SUM(T17:W17)</f>
        <v>720270.81859788555</v>
      </c>
    </row>
    <row r="19" spans="1:28" x14ac:dyDescent="0.3">
      <c r="A19" s="16" t="s">
        <v>97</v>
      </c>
      <c r="B19" s="16" t="s">
        <v>98</v>
      </c>
      <c r="C19" s="17">
        <f t="shared" ref="C19:W19" si="2">SUM(C8,C14)</f>
        <v>234</v>
      </c>
      <c r="D19" s="17">
        <f t="shared" si="2"/>
        <v>103.08</v>
      </c>
      <c r="E19" s="17">
        <f t="shared" si="2"/>
        <v>103.08</v>
      </c>
      <c r="F19" s="17">
        <f t="shared" si="2"/>
        <v>103.08</v>
      </c>
      <c r="G19" s="17">
        <f t="shared" si="2"/>
        <v>103.08</v>
      </c>
      <c r="H19" s="17">
        <f t="shared" si="2"/>
        <v>103.08</v>
      </c>
      <c r="I19" s="17">
        <f t="shared" si="2"/>
        <v>103.08</v>
      </c>
      <c r="J19" s="17">
        <f t="shared" si="2"/>
        <v>103.08</v>
      </c>
      <c r="K19" s="17">
        <f t="shared" si="2"/>
        <v>103.08</v>
      </c>
      <c r="L19" s="17">
        <f t="shared" si="2"/>
        <v>103.08</v>
      </c>
      <c r="M19" s="17">
        <f t="shared" si="2"/>
        <v>103.08</v>
      </c>
      <c r="N19" s="17">
        <f t="shared" si="2"/>
        <v>103.08</v>
      </c>
      <c r="O19" s="17">
        <f t="shared" si="2"/>
        <v>103.08</v>
      </c>
      <c r="P19" s="17">
        <f t="shared" si="2"/>
        <v>103.08</v>
      </c>
      <c r="Q19" s="17">
        <f t="shared" si="2"/>
        <v>103.08</v>
      </c>
      <c r="R19" s="17">
        <f t="shared" si="2"/>
        <v>103.08</v>
      </c>
      <c r="S19" s="17">
        <f t="shared" si="2"/>
        <v>103.08</v>
      </c>
      <c r="T19" s="17">
        <f t="shared" si="2"/>
        <v>103.08</v>
      </c>
      <c r="U19" s="17">
        <f t="shared" si="2"/>
        <v>103.08</v>
      </c>
      <c r="V19" s="17">
        <f t="shared" si="2"/>
        <v>103.08</v>
      </c>
      <c r="W19" s="17">
        <f t="shared" si="2"/>
        <v>103.08</v>
      </c>
      <c r="X19" s="17">
        <f>SUM(D19:G19)</f>
        <v>412.32</v>
      </c>
      <c r="Y19" s="17">
        <f>SUM(H19:K19)</f>
        <v>412.32</v>
      </c>
      <c r="Z19" s="17">
        <f>SUM(L19:O19)</f>
        <v>412.32</v>
      </c>
      <c r="AA19" s="17">
        <f>SUM(P19:S19)</f>
        <v>412.32</v>
      </c>
      <c r="AB19" s="17">
        <f>SUM(T19:W19)</f>
        <v>412.32</v>
      </c>
    </row>
    <row r="20" spans="1:28" x14ac:dyDescent="0.3">
      <c r="A20" s="18" t="s">
        <v>99</v>
      </c>
      <c r="B20" s="18" t="s">
        <v>100</v>
      </c>
      <c r="C20" s="19">
        <f t="shared" ref="C20:W20" si="3">SUM(C11,C17)</f>
        <v>1528800</v>
      </c>
      <c r="D20" s="19">
        <f t="shared" si="3"/>
        <v>274877.56073520612</v>
      </c>
      <c r="E20" s="19">
        <f t="shared" si="3"/>
        <v>277227.24987836578</v>
      </c>
      <c r="F20" s="19">
        <f t="shared" si="3"/>
        <v>281912.37828704889</v>
      </c>
      <c r="G20" s="19">
        <f t="shared" si="3"/>
        <v>286019.97403268429</v>
      </c>
      <c r="H20" s="19">
        <f t="shared" si="3"/>
        <v>297884.00606214564</v>
      </c>
      <c r="I20" s="19">
        <f t="shared" si="3"/>
        <v>299958.21699956188</v>
      </c>
      <c r="J20" s="19">
        <f t="shared" si="3"/>
        <v>305514.83464646013</v>
      </c>
      <c r="K20" s="19">
        <f t="shared" si="3"/>
        <v>310633.40387490141</v>
      </c>
      <c r="L20" s="19">
        <f t="shared" si="3"/>
        <v>322368.63895439368</v>
      </c>
      <c r="M20" s="19">
        <f t="shared" si="3"/>
        <v>327892.98824799201</v>
      </c>
      <c r="N20" s="19">
        <f t="shared" si="3"/>
        <v>399522.50544253911</v>
      </c>
      <c r="O20" s="19">
        <f t="shared" si="3"/>
        <v>478359.77686206251</v>
      </c>
      <c r="P20" s="19">
        <f t="shared" si="3"/>
        <v>535397.39179925504</v>
      </c>
      <c r="Q20" s="19">
        <f t="shared" si="3"/>
        <v>571797.05845715338</v>
      </c>
      <c r="R20" s="19">
        <f t="shared" si="3"/>
        <v>594487.69266826869</v>
      </c>
      <c r="S20" s="19">
        <f t="shared" si="3"/>
        <v>609311.253452654</v>
      </c>
      <c r="T20" s="19">
        <f t="shared" si="3"/>
        <v>619767.63823466282</v>
      </c>
      <c r="U20" s="19">
        <f t="shared" si="3"/>
        <v>627708.66535912873</v>
      </c>
      <c r="V20" s="19">
        <f t="shared" si="3"/>
        <v>634084.3514572992</v>
      </c>
      <c r="W20" s="19">
        <f t="shared" si="3"/>
        <v>639387.23374430416</v>
      </c>
      <c r="X20" s="19">
        <f>SUM(D20:G20)</f>
        <v>1120037.1629333051</v>
      </c>
      <c r="Y20" s="19">
        <f>SUM(H20:K20)</f>
        <v>1213990.4615830691</v>
      </c>
      <c r="Z20" s="19">
        <f>SUM(L20:O20)</f>
        <v>1528143.9095069873</v>
      </c>
      <c r="AA20" s="19">
        <f>SUM(P20:S20)</f>
        <v>2310993.3963773311</v>
      </c>
      <c r="AB20" s="19">
        <f>SUM(T20:W20)</f>
        <v>2520947.8887953949</v>
      </c>
    </row>
    <row r="22" spans="1:28" x14ac:dyDescent="0.3">
      <c r="A22" s="51" t="s">
        <v>101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s="20" t="s">
        <v>102</v>
      </c>
      <c r="B23" s="20" t="s">
        <v>103</v>
      </c>
      <c r="C23" s="21">
        <f>0</f>
        <v>0</v>
      </c>
      <c r="D23" s="21">
        <f t="shared" ref="D23:W23" si="4">IFERROR(D20/C20-1,0)</f>
        <v>-0.82020044431239791</v>
      </c>
      <c r="E23" s="21">
        <f t="shared" si="4"/>
        <v>8.5481300724403741E-3</v>
      </c>
      <c r="F23" s="21">
        <f t="shared" si="4"/>
        <v>1.6899956302054431E-2</v>
      </c>
      <c r="G23" s="21">
        <f t="shared" si="4"/>
        <v>1.4570469628165661E-2</v>
      </c>
      <c r="H23" s="21">
        <f t="shared" si="4"/>
        <v>4.147973255918691E-2</v>
      </c>
      <c r="I23" s="21">
        <f t="shared" si="4"/>
        <v>6.9631497334687875E-3</v>
      </c>
      <c r="J23" s="21">
        <f t="shared" si="4"/>
        <v>1.852463887297473E-2</v>
      </c>
      <c r="K23" s="21">
        <f t="shared" si="4"/>
        <v>1.6753913879057558E-2</v>
      </c>
      <c r="L23" s="21">
        <f t="shared" si="4"/>
        <v>3.7778406742818627E-2</v>
      </c>
      <c r="M23" s="21">
        <f t="shared" si="4"/>
        <v>1.7136745408972143E-2</v>
      </c>
      <c r="N23" s="21">
        <f t="shared" si="4"/>
        <v>0.21845394614041669</v>
      </c>
      <c r="O23" s="21">
        <f t="shared" si="4"/>
        <v>0.19732873704373111</v>
      </c>
      <c r="P23" s="21">
        <f t="shared" si="4"/>
        <v>0.11923580889544483</v>
      </c>
      <c r="Q23" s="21">
        <f t="shared" si="4"/>
        <v>6.7986260701744738E-2</v>
      </c>
      <c r="R23" s="21">
        <f t="shared" si="4"/>
        <v>3.968302018261527E-2</v>
      </c>
      <c r="S23" s="21">
        <f t="shared" si="4"/>
        <v>2.4935017103301149E-2</v>
      </c>
      <c r="T23" s="21">
        <f t="shared" si="4"/>
        <v>1.7160990746121652E-2</v>
      </c>
      <c r="U23" s="21">
        <f t="shared" si="4"/>
        <v>1.281291024985598E-2</v>
      </c>
      <c r="V23" s="21">
        <f t="shared" si="4"/>
        <v>1.0157078355008453E-2</v>
      </c>
      <c r="W23" s="21">
        <f t="shared" si="4"/>
        <v>8.3630549702378154E-3</v>
      </c>
      <c r="X23" s="21">
        <f t="shared" ref="X23:X34" si="5">AVERAGE(D23:G23)</f>
        <v>-0.19504547207743436</v>
      </c>
      <c r="Y23" s="21">
        <f t="shared" ref="Y23:Y34" si="6">AVERAGE(H23:K23)</f>
        <v>2.0930358761171997E-2</v>
      </c>
      <c r="Z23" s="21">
        <f t="shared" ref="Z23:Z34" si="7">AVERAGE(L23:O23)</f>
        <v>0.11767445883398464</v>
      </c>
      <c r="AA23" s="21">
        <f t="shared" ref="AA23:AA34" si="8">AVERAGE(P23:S23)</f>
        <v>6.2960026720776496E-2</v>
      </c>
      <c r="AB23" s="21">
        <f t="shared" ref="AB23:AB34" si="9">AVERAGE(T23:W23)</f>
        <v>1.2123508580305975E-2</v>
      </c>
    </row>
    <row r="24" spans="1:28" x14ac:dyDescent="0.3">
      <c r="A24" s="7" t="s">
        <v>104</v>
      </c>
      <c r="B24" s="7" t="s">
        <v>105</v>
      </c>
      <c r="C24" s="12">
        <v>0</v>
      </c>
      <c r="D24" s="12">
        <v>0.5</v>
      </c>
      <c r="E24" s="12">
        <v>0.5</v>
      </c>
      <c r="F24" s="12">
        <v>0.5</v>
      </c>
      <c r="G24" s="12">
        <v>0.5</v>
      </c>
      <c r="H24" s="12">
        <v>0.5</v>
      </c>
      <c r="I24" s="12">
        <v>0.5</v>
      </c>
      <c r="J24" s="12">
        <v>0.5</v>
      </c>
      <c r="K24" s="12">
        <v>0.5</v>
      </c>
      <c r="L24" s="12">
        <v>0.5</v>
      </c>
      <c r="M24" s="12">
        <v>0.5</v>
      </c>
      <c r="N24" s="12">
        <v>0.5</v>
      </c>
      <c r="O24" s="12">
        <v>0.5</v>
      </c>
      <c r="P24" s="12">
        <v>0.5</v>
      </c>
      <c r="Q24" s="12">
        <v>0.5</v>
      </c>
      <c r="R24" s="12">
        <v>0.5</v>
      </c>
      <c r="S24" s="12">
        <v>0.5</v>
      </c>
      <c r="T24" s="12">
        <v>0.5</v>
      </c>
      <c r="U24" s="12">
        <v>0.5</v>
      </c>
      <c r="V24" s="12">
        <v>0.5</v>
      </c>
      <c r="W24" s="12">
        <v>0.5</v>
      </c>
      <c r="X24" s="13">
        <f t="shared" si="5"/>
        <v>0.5</v>
      </c>
      <c r="Y24" s="13">
        <f t="shared" si="6"/>
        <v>0.5</v>
      </c>
      <c r="Z24" s="13">
        <f t="shared" si="7"/>
        <v>0.5</v>
      </c>
      <c r="AA24" s="13">
        <f t="shared" si="8"/>
        <v>0.5</v>
      </c>
      <c r="AB24" s="13">
        <f t="shared" si="9"/>
        <v>0.5</v>
      </c>
    </row>
    <row r="25" spans="1:28" x14ac:dyDescent="0.3">
      <c r="A25" s="7" t="s">
        <v>106</v>
      </c>
      <c r="B25" s="7" t="s">
        <v>105</v>
      </c>
      <c r="C25" s="12">
        <v>0</v>
      </c>
      <c r="D25" s="12">
        <v>0.75</v>
      </c>
      <c r="E25" s="12">
        <v>0.75</v>
      </c>
      <c r="F25" s="12">
        <v>0.75</v>
      </c>
      <c r="G25" s="12">
        <v>0.75</v>
      </c>
      <c r="H25" s="12">
        <v>0.75</v>
      </c>
      <c r="I25" s="12">
        <v>0.75</v>
      </c>
      <c r="J25" s="12">
        <v>0.75</v>
      </c>
      <c r="K25" s="12">
        <v>0.75</v>
      </c>
      <c r="L25" s="12">
        <v>0.75</v>
      </c>
      <c r="M25" s="12">
        <v>0.75</v>
      </c>
      <c r="N25" s="12">
        <v>0.75</v>
      </c>
      <c r="O25" s="12">
        <v>0.75</v>
      </c>
      <c r="P25" s="12">
        <v>0.75</v>
      </c>
      <c r="Q25" s="12">
        <v>0.75</v>
      </c>
      <c r="R25" s="12">
        <v>0.75</v>
      </c>
      <c r="S25" s="12">
        <v>0.75</v>
      </c>
      <c r="T25" s="12">
        <v>0.75</v>
      </c>
      <c r="U25" s="12">
        <v>0.75</v>
      </c>
      <c r="V25" s="12">
        <v>0.75</v>
      </c>
      <c r="W25" s="12">
        <v>0.75</v>
      </c>
      <c r="X25" s="13">
        <f t="shared" si="5"/>
        <v>0.75</v>
      </c>
      <c r="Y25" s="13">
        <f t="shared" si="6"/>
        <v>0.75</v>
      </c>
      <c r="Z25" s="13">
        <f t="shared" si="7"/>
        <v>0.75</v>
      </c>
      <c r="AA25" s="13">
        <f t="shared" si="8"/>
        <v>0.75</v>
      </c>
      <c r="AB25" s="13">
        <f t="shared" si="9"/>
        <v>0.75</v>
      </c>
    </row>
    <row r="26" spans="1:28" x14ac:dyDescent="0.3">
      <c r="A26" s="7" t="s">
        <v>107</v>
      </c>
      <c r="B26" s="7" t="s">
        <v>105</v>
      </c>
      <c r="C26" s="12">
        <v>0</v>
      </c>
      <c r="D26" s="12">
        <v>0.75</v>
      </c>
      <c r="E26" s="12">
        <v>0.75</v>
      </c>
      <c r="F26" s="12">
        <v>0.75</v>
      </c>
      <c r="G26" s="12">
        <v>0.75</v>
      </c>
      <c r="H26" s="12">
        <v>0.75</v>
      </c>
      <c r="I26" s="12">
        <v>0.75</v>
      </c>
      <c r="J26" s="12">
        <v>0.75</v>
      </c>
      <c r="K26" s="12">
        <v>0.75</v>
      </c>
      <c r="L26" s="12">
        <v>0.75</v>
      </c>
      <c r="M26" s="12">
        <v>0.75</v>
      </c>
      <c r="N26" s="12">
        <v>0.75</v>
      </c>
      <c r="O26" s="12">
        <v>0.75</v>
      </c>
      <c r="P26" s="12">
        <v>0.75</v>
      </c>
      <c r="Q26" s="12">
        <v>0.75</v>
      </c>
      <c r="R26" s="12">
        <v>0.75</v>
      </c>
      <c r="S26" s="12">
        <v>0.75</v>
      </c>
      <c r="T26" s="12">
        <v>0.75</v>
      </c>
      <c r="U26" s="12">
        <v>0.75</v>
      </c>
      <c r="V26" s="12">
        <v>0.75</v>
      </c>
      <c r="W26" s="12">
        <v>0.75</v>
      </c>
      <c r="X26" s="13">
        <f t="shared" si="5"/>
        <v>0.75</v>
      </c>
      <c r="Y26" s="13">
        <f t="shared" si="6"/>
        <v>0.75</v>
      </c>
      <c r="Z26" s="13">
        <f t="shared" si="7"/>
        <v>0.75</v>
      </c>
      <c r="AA26" s="13">
        <f t="shared" si="8"/>
        <v>0.75</v>
      </c>
      <c r="AB26" s="13">
        <f t="shared" si="9"/>
        <v>0.75</v>
      </c>
    </row>
    <row r="27" spans="1:28" x14ac:dyDescent="0.3">
      <c r="A27" s="7" t="s">
        <v>108</v>
      </c>
      <c r="B27" s="7" t="s">
        <v>105</v>
      </c>
      <c r="C27" s="12">
        <v>0</v>
      </c>
      <c r="D27" s="12">
        <v>0.25</v>
      </c>
      <c r="E27" s="12">
        <v>0.31</v>
      </c>
      <c r="F27" s="12">
        <v>0.37</v>
      </c>
      <c r="G27" s="12">
        <v>0.43</v>
      </c>
      <c r="H27" s="12">
        <v>0.49</v>
      </c>
      <c r="I27" s="12">
        <v>0.55000000000000004</v>
      </c>
      <c r="J27" s="12">
        <v>0.61</v>
      </c>
      <c r="K27" s="12">
        <v>0.67</v>
      </c>
      <c r="L27" s="12">
        <v>0.73</v>
      </c>
      <c r="M27" s="12">
        <v>0.79</v>
      </c>
      <c r="N27" s="12">
        <v>0.85</v>
      </c>
      <c r="O27" s="12">
        <v>0.85</v>
      </c>
      <c r="P27" s="12">
        <v>0.85</v>
      </c>
      <c r="Q27" s="12">
        <v>0.85</v>
      </c>
      <c r="R27" s="12">
        <v>0.85</v>
      </c>
      <c r="S27" s="12">
        <v>0.85</v>
      </c>
      <c r="T27" s="12">
        <v>0.85</v>
      </c>
      <c r="U27" s="12">
        <v>0.85</v>
      </c>
      <c r="V27" s="12">
        <v>0.85</v>
      </c>
      <c r="W27" s="12">
        <v>0.85</v>
      </c>
      <c r="X27" s="13">
        <f t="shared" si="5"/>
        <v>0.34</v>
      </c>
      <c r="Y27" s="13">
        <f t="shared" si="6"/>
        <v>0.57999999999999996</v>
      </c>
      <c r="Z27" s="13">
        <f t="shared" si="7"/>
        <v>0.80500000000000005</v>
      </c>
      <c r="AA27" s="13">
        <f t="shared" si="8"/>
        <v>0.85</v>
      </c>
      <c r="AB27" s="13">
        <f t="shared" si="9"/>
        <v>0.85</v>
      </c>
    </row>
    <row r="28" spans="1:28" x14ac:dyDescent="0.3">
      <c r="A28" s="7" t="s">
        <v>109</v>
      </c>
      <c r="B28" s="7" t="s">
        <v>105</v>
      </c>
      <c r="C28" s="12">
        <v>0</v>
      </c>
      <c r="D28" s="12">
        <v>0.48</v>
      </c>
      <c r="E28" s="12">
        <v>0.48</v>
      </c>
      <c r="F28" s="12">
        <v>0.48</v>
      </c>
      <c r="G28" s="12">
        <v>0.48</v>
      </c>
      <c r="H28" s="12">
        <v>0.48</v>
      </c>
      <c r="I28" s="12">
        <v>0.48</v>
      </c>
      <c r="J28" s="12">
        <v>0.48</v>
      </c>
      <c r="K28" s="12">
        <v>0.48</v>
      </c>
      <c r="L28" s="12">
        <v>0.48</v>
      </c>
      <c r="M28" s="12">
        <v>0.48</v>
      </c>
      <c r="N28" s="12">
        <v>0.48</v>
      </c>
      <c r="O28" s="12">
        <v>0.48</v>
      </c>
      <c r="P28" s="12">
        <v>0.48</v>
      </c>
      <c r="Q28" s="12">
        <v>0.48</v>
      </c>
      <c r="R28" s="12">
        <v>0.48</v>
      </c>
      <c r="S28" s="12">
        <v>0.48</v>
      </c>
      <c r="T28" s="12">
        <v>0.48</v>
      </c>
      <c r="U28" s="12">
        <v>0.48</v>
      </c>
      <c r="V28" s="12">
        <v>0.48</v>
      </c>
      <c r="W28" s="12">
        <v>0.48</v>
      </c>
      <c r="X28" s="13">
        <f t="shared" si="5"/>
        <v>0.48</v>
      </c>
      <c r="Y28" s="13">
        <f t="shared" si="6"/>
        <v>0.48</v>
      </c>
      <c r="Z28" s="13">
        <f t="shared" si="7"/>
        <v>0.48</v>
      </c>
      <c r="AA28" s="13">
        <f t="shared" si="8"/>
        <v>0.48</v>
      </c>
      <c r="AB28" s="13">
        <f t="shared" si="9"/>
        <v>0.48</v>
      </c>
    </row>
    <row r="29" spans="1:28" x14ac:dyDescent="0.3">
      <c r="A29" s="7" t="s">
        <v>110</v>
      </c>
      <c r="B29" s="7" t="s">
        <v>105</v>
      </c>
      <c r="C29" s="12">
        <v>0</v>
      </c>
      <c r="D29" s="12">
        <v>0.71</v>
      </c>
      <c r="E29" s="12">
        <v>0.71</v>
      </c>
      <c r="F29" s="12">
        <v>0.71</v>
      </c>
      <c r="G29" s="12">
        <v>0.71</v>
      </c>
      <c r="H29" s="12">
        <v>0.71</v>
      </c>
      <c r="I29" s="12">
        <v>0.71</v>
      </c>
      <c r="J29" s="12">
        <v>0.71</v>
      </c>
      <c r="K29" s="12">
        <v>0.71</v>
      </c>
      <c r="L29" s="12">
        <v>0.71</v>
      </c>
      <c r="M29" s="12">
        <v>0.71</v>
      </c>
      <c r="N29" s="12">
        <v>0.71</v>
      </c>
      <c r="O29" s="12">
        <v>0.71</v>
      </c>
      <c r="P29" s="12">
        <v>0.71</v>
      </c>
      <c r="Q29" s="12">
        <v>0.71</v>
      </c>
      <c r="R29" s="12">
        <v>0.71</v>
      </c>
      <c r="S29" s="12">
        <v>0.71</v>
      </c>
      <c r="T29" s="12">
        <v>0.71</v>
      </c>
      <c r="U29" s="12">
        <v>0.71</v>
      </c>
      <c r="V29" s="12">
        <v>0.71</v>
      </c>
      <c r="W29" s="12">
        <v>0.71</v>
      </c>
      <c r="X29" s="13">
        <f t="shared" si="5"/>
        <v>0.71</v>
      </c>
      <c r="Y29" s="13">
        <f t="shared" si="6"/>
        <v>0.71</v>
      </c>
      <c r="Z29" s="13">
        <f t="shared" si="7"/>
        <v>0.71</v>
      </c>
      <c r="AA29" s="13">
        <f t="shared" si="8"/>
        <v>0.71</v>
      </c>
      <c r="AB29" s="13">
        <f t="shared" si="9"/>
        <v>0.71</v>
      </c>
    </row>
    <row r="30" spans="1:28" x14ac:dyDescent="0.3">
      <c r="A30" s="7" t="s">
        <v>111</v>
      </c>
      <c r="B30" s="7" t="s">
        <v>105</v>
      </c>
      <c r="C30" s="12">
        <v>0</v>
      </c>
      <c r="D30" s="12">
        <v>0.4</v>
      </c>
      <c r="E30" s="12">
        <v>0.4</v>
      </c>
      <c r="F30" s="12">
        <v>0.4</v>
      </c>
      <c r="G30" s="12">
        <v>0.4</v>
      </c>
      <c r="H30" s="12">
        <v>0.4</v>
      </c>
      <c r="I30" s="12">
        <v>0.4</v>
      </c>
      <c r="J30" s="12">
        <v>0.4</v>
      </c>
      <c r="K30" s="12">
        <v>0.4</v>
      </c>
      <c r="L30" s="12">
        <v>0.4</v>
      </c>
      <c r="M30" s="12">
        <v>0.4</v>
      </c>
      <c r="N30" s="12">
        <v>0.4</v>
      </c>
      <c r="O30" s="12">
        <v>0.4</v>
      </c>
      <c r="P30" s="12">
        <v>0.4</v>
      </c>
      <c r="Q30" s="12">
        <v>0.4</v>
      </c>
      <c r="R30" s="12">
        <v>0.4</v>
      </c>
      <c r="S30" s="12">
        <v>0.4</v>
      </c>
      <c r="T30" s="12">
        <v>0.4</v>
      </c>
      <c r="U30" s="12">
        <v>0.4</v>
      </c>
      <c r="V30" s="12">
        <v>0.4</v>
      </c>
      <c r="W30" s="12">
        <v>0.4</v>
      </c>
      <c r="X30" s="13">
        <f t="shared" si="5"/>
        <v>0.4</v>
      </c>
      <c r="Y30" s="13">
        <f t="shared" si="6"/>
        <v>0.4</v>
      </c>
      <c r="Z30" s="13">
        <f t="shared" si="7"/>
        <v>0.4</v>
      </c>
      <c r="AA30" s="13">
        <f t="shared" si="8"/>
        <v>0.4</v>
      </c>
      <c r="AB30" s="13">
        <f t="shared" si="9"/>
        <v>0.4</v>
      </c>
    </row>
    <row r="31" spans="1:28" x14ac:dyDescent="0.3">
      <c r="A31" s="7" t="s">
        <v>112</v>
      </c>
      <c r="B31" s="7" t="s">
        <v>105</v>
      </c>
      <c r="C31" s="12">
        <v>0</v>
      </c>
      <c r="D31" s="12">
        <v>0.5</v>
      </c>
      <c r="E31" s="12">
        <v>0.5</v>
      </c>
      <c r="F31" s="12">
        <v>0.5</v>
      </c>
      <c r="G31" s="12">
        <v>0.5</v>
      </c>
      <c r="H31" s="12">
        <v>0.5</v>
      </c>
      <c r="I31" s="12">
        <v>0.5</v>
      </c>
      <c r="J31" s="12">
        <v>0.5</v>
      </c>
      <c r="K31" s="12">
        <v>0.5</v>
      </c>
      <c r="L31" s="12">
        <v>0.5</v>
      </c>
      <c r="M31" s="12">
        <v>0.5</v>
      </c>
      <c r="N31" s="12">
        <v>0.5</v>
      </c>
      <c r="O31" s="12">
        <v>0.5</v>
      </c>
      <c r="P31" s="12">
        <v>0.5</v>
      </c>
      <c r="Q31" s="12">
        <v>0.5</v>
      </c>
      <c r="R31" s="12">
        <v>0.5</v>
      </c>
      <c r="S31" s="12">
        <v>0.5</v>
      </c>
      <c r="T31" s="12">
        <v>0.5</v>
      </c>
      <c r="U31" s="12">
        <v>0.5</v>
      </c>
      <c r="V31" s="12">
        <v>0.5</v>
      </c>
      <c r="W31" s="12">
        <v>0.5</v>
      </c>
      <c r="X31" s="13">
        <f t="shared" si="5"/>
        <v>0.5</v>
      </c>
      <c r="Y31" s="13">
        <f t="shared" si="6"/>
        <v>0.5</v>
      </c>
      <c r="Z31" s="13">
        <f t="shared" si="7"/>
        <v>0.5</v>
      </c>
      <c r="AA31" s="13">
        <f t="shared" si="8"/>
        <v>0.5</v>
      </c>
      <c r="AB31" s="13">
        <f t="shared" si="9"/>
        <v>0.5</v>
      </c>
    </row>
    <row r="32" spans="1:28" x14ac:dyDescent="0.3">
      <c r="A32" s="7" t="s">
        <v>113</v>
      </c>
      <c r="B32" s="7" t="s">
        <v>105</v>
      </c>
      <c r="C32" s="12">
        <v>0</v>
      </c>
      <c r="D32" s="12">
        <v>0.53</v>
      </c>
      <c r="E32" s="12">
        <v>0.53</v>
      </c>
      <c r="F32" s="12">
        <v>0.53</v>
      </c>
      <c r="G32" s="12">
        <v>0.53</v>
      </c>
      <c r="H32" s="12">
        <v>0.53</v>
      </c>
      <c r="I32" s="12">
        <v>0.53</v>
      </c>
      <c r="J32" s="12">
        <v>0.53</v>
      </c>
      <c r="K32" s="12">
        <v>0.53</v>
      </c>
      <c r="L32" s="12">
        <v>0.53</v>
      </c>
      <c r="M32" s="12">
        <v>0.53</v>
      </c>
      <c r="N32" s="12">
        <v>0.53</v>
      </c>
      <c r="O32" s="12">
        <v>0.53</v>
      </c>
      <c r="P32" s="12">
        <v>0.53</v>
      </c>
      <c r="Q32" s="12">
        <v>0.53</v>
      </c>
      <c r="R32" s="12">
        <v>0.53</v>
      </c>
      <c r="S32" s="12">
        <v>0.53</v>
      </c>
      <c r="T32" s="12">
        <v>0.53</v>
      </c>
      <c r="U32" s="12">
        <v>0.53</v>
      </c>
      <c r="V32" s="12">
        <v>0.53</v>
      </c>
      <c r="W32" s="12">
        <v>0.53</v>
      </c>
      <c r="X32" s="13">
        <f t="shared" si="5"/>
        <v>0.53</v>
      </c>
      <c r="Y32" s="13">
        <f t="shared" si="6"/>
        <v>0.53</v>
      </c>
      <c r="Z32" s="13">
        <f t="shared" si="7"/>
        <v>0.53</v>
      </c>
      <c r="AA32" s="13">
        <f t="shared" si="8"/>
        <v>0.53</v>
      </c>
      <c r="AB32" s="13">
        <f t="shared" si="9"/>
        <v>0.53</v>
      </c>
    </row>
    <row r="33" spans="1:28" x14ac:dyDescent="0.3">
      <c r="A33" s="7" t="s">
        <v>114</v>
      </c>
      <c r="B33" s="7" t="s">
        <v>105</v>
      </c>
      <c r="C33" s="12">
        <v>0</v>
      </c>
      <c r="D33" s="12">
        <v>0.13</v>
      </c>
      <c r="E33" s="12">
        <v>0.13</v>
      </c>
      <c r="F33" s="12">
        <v>0.13</v>
      </c>
      <c r="G33" s="12">
        <v>0.13</v>
      </c>
      <c r="H33" s="12">
        <v>0.13</v>
      </c>
      <c r="I33" s="12">
        <v>0.13</v>
      </c>
      <c r="J33" s="12">
        <v>0.13</v>
      </c>
      <c r="K33" s="12">
        <v>0.13</v>
      </c>
      <c r="L33" s="12">
        <v>0.13</v>
      </c>
      <c r="M33" s="12">
        <v>0.13</v>
      </c>
      <c r="N33" s="12">
        <v>0.13</v>
      </c>
      <c r="O33" s="12">
        <v>0.13</v>
      </c>
      <c r="P33" s="12">
        <v>0.13</v>
      </c>
      <c r="Q33" s="12">
        <v>0.13</v>
      </c>
      <c r="R33" s="12">
        <v>0.13</v>
      </c>
      <c r="S33" s="12">
        <v>0.13</v>
      </c>
      <c r="T33" s="12">
        <v>0.13</v>
      </c>
      <c r="U33" s="12">
        <v>0.13</v>
      </c>
      <c r="V33" s="12">
        <v>0.13</v>
      </c>
      <c r="W33" s="12">
        <v>0.13</v>
      </c>
      <c r="X33" s="13">
        <f t="shared" si="5"/>
        <v>0.13</v>
      </c>
      <c r="Y33" s="13">
        <f t="shared" si="6"/>
        <v>0.13</v>
      </c>
      <c r="Z33" s="13">
        <f t="shared" si="7"/>
        <v>0.13</v>
      </c>
      <c r="AA33" s="13">
        <f t="shared" si="8"/>
        <v>0.13</v>
      </c>
      <c r="AB33" s="13">
        <f t="shared" si="9"/>
        <v>0.13</v>
      </c>
    </row>
    <row r="34" spans="1:28" x14ac:dyDescent="0.3">
      <c r="A34" s="7" t="s">
        <v>115</v>
      </c>
      <c r="B34" s="7" t="s">
        <v>105</v>
      </c>
      <c r="C34" s="12">
        <v>0</v>
      </c>
      <c r="D34" s="12">
        <v>-0.1</v>
      </c>
      <c r="E34" s="12">
        <v>-0.1</v>
      </c>
      <c r="F34" s="12">
        <v>-0.1</v>
      </c>
      <c r="G34" s="12">
        <v>-0.1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0.02</v>
      </c>
      <c r="O34" s="12">
        <v>0.03</v>
      </c>
      <c r="P34" s="12">
        <v>0.03</v>
      </c>
      <c r="Q34" s="12">
        <v>0.04</v>
      </c>
      <c r="R34" s="12">
        <v>0.04</v>
      </c>
      <c r="S34" s="12">
        <v>0.05</v>
      </c>
      <c r="T34" s="12">
        <v>0.05</v>
      </c>
      <c r="U34" s="12">
        <v>0.06</v>
      </c>
      <c r="V34" s="12">
        <v>0.06</v>
      </c>
      <c r="W34" s="12">
        <v>7.0000000000000007E-2</v>
      </c>
      <c r="X34" s="13">
        <f t="shared" si="5"/>
        <v>-0.1</v>
      </c>
      <c r="Y34" s="13">
        <f t="shared" si="6"/>
        <v>0</v>
      </c>
      <c r="Z34" s="13">
        <f t="shared" si="7"/>
        <v>1.2500000000000001E-2</v>
      </c>
      <c r="AA34" s="13">
        <f t="shared" si="8"/>
        <v>4.0000000000000008E-2</v>
      </c>
      <c r="AB34" s="13">
        <f t="shared" si="9"/>
        <v>0.06</v>
      </c>
    </row>
  </sheetData>
  <mergeCells count="4">
    <mergeCell ref="A6:AB6"/>
    <mergeCell ref="A22:AB22"/>
    <mergeCell ref="A7:AB7"/>
    <mergeCell ref="A13:A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116</v>
      </c>
    </row>
    <row r="2" spans="1:28" x14ac:dyDescent="0.3">
      <c r="A2" s="2" t="s">
        <v>117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118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119</v>
      </c>
      <c r="B7" t="s">
        <v>120</v>
      </c>
    </row>
    <row r="8" spans="1:28" x14ac:dyDescent="0.3">
      <c r="A8" t="s">
        <v>121</v>
      </c>
      <c r="B8" t="s">
        <v>122</v>
      </c>
    </row>
    <row r="9" spans="1:28" x14ac:dyDescent="0.3">
      <c r="A9" t="s">
        <v>123</v>
      </c>
      <c r="B9" t="s">
        <v>124</v>
      </c>
    </row>
    <row r="10" spans="1:28" x14ac:dyDescent="0.3">
      <c r="A10" t="s">
        <v>125</v>
      </c>
      <c r="B10">
        <v>1.5</v>
      </c>
    </row>
    <row r="11" spans="1:28" x14ac:dyDescent="0.3">
      <c r="A11" t="s">
        <v>126</v>
      </c>
      <c r="B11">
        <v>34.36</v>
      </c>
    </row>
    <row r="12" spans="1:28" x14ac:dyDescent="0.3">
      <c r="A12" t="s">
        <v>127</v>
      </c>
      <c r="B12">
        <v>0.45</v>
      </c>
    </row>
    <row r="14" spans="1:28" x14ac:dyDescent="0.3">
      <c r="A14" s="51" t="s">
        <v>128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129</v>
      </c>
      <c r="B15" s="20" t="s">
        <v>130</v>
      </c>
      <c r="C15" s="22">
        <f>SUMIFS($G$27:$G$86,$A$27:$A$86,0)</f>
        <v>0</v>
      </c>
      <c r="D15" s="22">
        <f>SUMIFS($G$27:$G$86,$A$27:$A$86,1)</f>
        <v>3</v>
      </c>
      <c r="E15" s="22">
        <f>SUMIFS($G$27:$G$86,$A$27:$A$86,2)</f>
        <v>3</v>
      </c>
      <c r="F15" s="22">
        <f>SUMIFS($G$27:$G$86,$A$27:$A$86,3)</f>
        <v>3</v>
      </c>
      <c r="G15" s="22">
        <f>SUMIFS($G$27:$G$86,$A$27:$A$86,4)</f>
        <v>3</v>
      </c>
      <c r="H15" s="22">
        <f>SUMIFS($G$27:$G$86,$A$27:$A$86,5)</f>
        <v>3</v>
      </c>
      <c r="I15" s="22">
        <f>SUMIFS($G$27:$G$86,$A$27:$A$86,6)</f>
        <v>3</v>
      </c>
      <c r="J15" s="22">
        <f>SUMIFS($G$27:$G$86,$A$27:$A$86,7)</f>
        <v>3</v>
      </c>
      <c r="K15" s="22">
        <f>SUMIFS($G$27:$G$86,$A$27:$A$86,8)</f>
        <v>3</v>
      </c>
      <c r="L15" s="22">
        <f>SUMIFS($G$27:$G$86,$A$27:$A$86,9)</f>
        <v>3</v>
      </c>
      <c r="M15" s="22">
        <f>SUMIFS($G$27:$G$86,$A$27:$A$86,10)</f>
        <v>3</v>
      </c>
      <c r="N15" s="22">
        <f>SUMIFS($G$27:$G$86,$A$27:$A$86,11)</f>
        <v>3</v>
      </c>
      <c r="O15" s="22">
        <f>SUMIFS($G$27:$G$86,$A$27:$A$86,12)</f>
        <v>3</v>
      </c>
      <c r="P15" s="22">
        <f>SUMIFS($G$27:$G$86,$A$27:$A$86,13)</f>
        <v>3</v>
      </c>
      <c r="Q15" s="22">
        <f>SUMIFS($G$27:$G$86,$A$27:$A$86,14)</f>
        <v>3</v>
      </c>
      <c r="R15" s="22">
        <f>SUMIFS($G$27:$G$86,$A$27:$A$86,15)</f>
        <v>3</v>
      </c>
      <c r="S15" s="22">
        <f>SUMIFS($G$27:$G$86,$A$27:$A$86,16)</f>
        <v>3</v>
      </c>
      <c r="T15" s="22">
        <f>SUMIFS($G$27:$G$86,$A$27:$A$86,17)</f>
        <v>3</v>
      </c>
      <c r="U15" s="22">
        <f>SUMIFS($G$27:$G$86,$A$27:$A$86,18)</f>
        <v>3</v>
      </c>
      <c r="V15" s="22">
        <f>SUMIFS($G$27:$G$86,$A$27:$A$86,19)</f>
        <v>3</v>
      </c>
      <c r="W15" s="22">
        <f>SUMIFS($G$27:$G$86,$A$27:$A$86,20)</f>
        <v>3</v>
      </c>
      <c r="X15" s="22">
        <f>G15</f>
        <v>3</v>
      </c>
      <c r="Y15" s="22">
        <f>K15</f>
        <v>3</v>
      </c>
      <c r="Z15" s="22">
        <f>O15</f>
        <v>3</v>
      </c>
      <c r="AA15" s="22">
        <f>S15</f>
        <v>3</v>
      </c>
      <c r="AB15" s="22">
        <f>W15</f>
        <v>3</v>
      </c>
    </row>
    <row r="16" spans="1:28" x14ac:dyDescent="0.3">
      <c r="A16" s="20" t="s">
        <v>131</v>
      </c>
      <c r="B16" s="20" t="s">
        <v>130</v>
      </c>
      <c r="C16" s="22">
        <f>SUMIFS($H$27:$H$86,$A$27:$A$86,0)</f>
        <v>0</v>
      </c>
      <c r="D16" s="22">
        <f>SUMIFS($H$27:$H$86,$A$27:$A$86,1)</f>
        <v>3</v>
      </c>
      <c r="E16" s="22">
        <f>SUMIFS($H$27:$H$86,$A$27:$A$86,2)</f>
        <v>3</v>
      </c>
      <c r="F16" s="22">
        <f>SUMIFS($H$27:$H$86,$A$27:$A$86,3)</f>
        <v>3</v>
      </c>
      <c r="G16" s="22">
        <f>SUMIFS($H$27:$H$86,$A$27:$A$86,4)</f>
        <v>3</v>
      </c>
      <c r="H16" s="22">
        <f>SUMIFS($H$27:$H$86,$A$27:$A$86,5)</f>
        <v>3</v>
      </c>
      <c r="I16" s="22">
        <f>SUMIFS($H$27:$H$86,$A$27:$A$86,6)</f>
        <v>3</v>
      </c>
      <c r="J16" s="22">
        <f>SUMIFS($H$27:$H$86,$A$27:$A$86,7)</f>
        <v>3</v>
      </c>
      <c r="K16" s="22">
        <f>SUMIFS($H$27:$H$86,$A$27:$A$86,8)</f>
        <v>3</v>
      </c>
      <c r="L16" s="22">
        <f>SUMIFS($H$27:$H$86,$A$27:$A$86,9)</f>
        <v>3</v>
      </c>
      <c r="M16" s="22">
        <f>SUMIFS($H$27:$H$86,$A$27:$A$86,10)</f>
        <v>3</v>
      </c>
      <c r="N16" s="22">
        <f>SUMIFS($H$27:$H$86,$A$27:$A$86,11)</f>
        <v>3</v>
      </c>
      <c r="O16" s="22">
        <f>SUMIFS($H$27:$H$86,$A$27:$A$86,12)</f>
        <v>3</v>
      </c>
      <c r="P16" s="22">
        <f>SUMIFS($H$27:$H$86,$A$27:$A$86,13)</f>
        <v>3</v>
      </c>
      <c r="Q16" s="22">
        <f>SUMIFS($H$27:$H$86,$A$27:$A$86,14)</f>
        <v>3</v>
      </c>
      <c r="R16" s="22">
        <f>SUMIFS($H$27:$H$86,$A$27:$A$86,15)</f>
        <v>3</v>
      </c>
      <c r="S16" s="22">
        <f>SUMIFS($H$27:$H$86,$A$27:$A$86,16)</f>
        <v>3</v>
      </c>
      <c r="T16" s="22">
        <f>SUMIFS($H$27:$H$86,$A$27:$A$86,17)</f>
        <v>3</v>
      </c>
      <c r="U16" s="22">
        <f>SUMIFS($H$27:$H$86,$A$27:$A$86,18)</f>
        <v>3</v>
      </c>
      <c r="V16" s="22">
        <f>SUMIFS($H$27:$H$86,$A$27:$A$86,19)</f>
        <v>3</v>
      </c>
      <c r="W16" s="22">
        <f>SUMIFS($H$27:$H$86,$A$27:$A$86,20)</f>
        <v>3</v>
      </c>
      <c r="X16" s="22">
        <f>AVERAGE(D16:G16)</f>
        <v>3</v>
      </c>
      <c r="Y16" s="22">
        <f>AVERAGE(H16:K16)</f>
        <v>3</v>
      </c>
      <c r="Z16" s="22">
        <f>AVERAGE(L16:O16)</f>
        <v>3</v>
      </c>
      <c r="AA16" s="22">
        <f>AVERAGE(P16:S16)</f>
        <v>3</v>
      </c>
      <c r="AB16" s="22">
        <f>AVERAGE(T16:W16)</f>
        <v>3</v>
      </c>
    </row>
    <row r="17" spans="1:28" x14ac:dyDescent="0.3">
      <c r="A17" s="23" t="s">
        <v>132</v>
      </c>
      <c r="B17" s="23" t="s">
        <v>130</v>
      </c>
      <c r="C17" s="24">
        <f>SUMIFS($M$27:$M$86,$A$27:$A$86,0)</f>
        <v>0</v>
      </c>
      <c r="D17" s="24">
        <f>SUMIFS($M$27:$M$86,$A$27:$A$86,1)</f>
        <v>115547.95</v>
      </c>
      <c r="E17" s="24">
        <f>SUMIFS($M$27:$M$86,$A$27:$A$86,2)</f>
        <v>115547.95</v>
      </c>
      <c r="F17" s="24">
        <f>SUMIFS($M$27:$M$86,$A$27:$A$86,3)</f>
        <v>115547.95</v>
      </c>
      <c r="G17" s="24">
        <f>SUMIFS($M$27:$M$86,$A$27:$A$86,4)</f>
        <v>115547.95</v>
      </c>
      <c r="H17" s="24">
        <f>SUMIFS($M$27:$M$86,$A$27:$A$86,5)</f>
        <v>119014.3275</v>
      </c>
      <c r="I17" s="24">
        <f>SUMIFS($M$27:$M$86,$A$27:$A$86,6)</f>
        <v>119014.3275</v>
      </c>
      <c r="J17" s="24">
        <f>SUMIFS($M$27:$M$86,$A$27:$A$86,7)</f>
        <v>119014.3275</v>
      </c>
      <c r="K17" s="24">
        <f>SUMIFS($M$27:$M$86,$A$27:$A$86,8)</f>
        <v>119014.3275</v>
      </c>
      <c r="L17" s="24">
        <f>SUMIFS($M$27:$M$86,$A$27:$A$86,9)</f>
        <v>122584.7075</v>
      </c>
      <c r="M17" s="24">
        <f>SUMIFS($M$27:$M$86,$A$27:$A$86,10)</f>
        <v>122584.7075</v>
      </c>
      <c r="N17" s="24">
        <f>SUMIFS($M$27:$M$86,$A$27:$A$86,11)</f>
        <v>122584.7075</v>
      </c>
      <c r="O17" s="24">
        <f>SUMIFS($M$27:$M$86,$A$27:$A$86,12)</f>
        <v>122584.7075</v>
      </c>
      <c r="P17" s="24">
        <f>SUMIFS($M$27:$M$86,$A$27:$A$86,13)</f>
        <v>126262.765</v>
      </c>
      <c r="Q17" s="24">
        <f>SUMIFS($M$27:$M$86,$A$27:$A$86,14)</f>
        <v>126262.765</v>
      </c>
      <c r="R17" s="24">
        <f>SUMIFS($M$27:$M$86,$A$27:$A$86,15)</f>
        <v>126262.765</v>
      </c>
      <c r="S17" s="24">
        <f>SUMIFS($M$27:$M$86,$A$27:$A$86,16)</f>
        <v>126262.765</v>
      </c>
      <c r="T17" s="24">
        <f>SUMIFS($M$27:$M$86,$A$27:$A$86,17)</f>
        <v>130050.345</v>
      </c>
      <c r="U17" s="24">
        <f>SUMIFS($M$27:$M$86,$A$27:$A$86,18)</f>
        <v>130050.345</v>
      </c>
      <c r="V17" s="24">
        <f>SUMIFS($M$27:$M$86,$A$27:$A$86,19)</f>
        <v>130050.345</v>
      </c>
      <c r="W17" s="24">
        <f>SUMIFS($M$27:$M$86,$A$27:$A$86,20)</f>
        <v>130050.345</v>
      </c>
      <c r="X17" s="24">
        <f>SUM(D17:G17)</f>
        <v>462191.8</v>
      </c>
      <c r="Y17" s="24">
        <f>SUM(H17:K17)</f>
        <v>476057.31</v>
      </c>
      <c r="Z17" s="24">
        <f>SUM(L17:O17)</f>
        <v>490338.83</v>
      </c>
      <c r="AA17" s="24">
        <f>SUM(P17:S17)</f>
        <v>505051.06</v>
      </c>
      <c r="AB17" s="24">
        <f>SUM(T17:W17)</f>
        <v>520201.38</v>
      </c>
    </row>
    <row r="18" spans="1:28" x14ac:dyDescent="0.3">
      <c r="A18" s="20" t="s">
        <v>99</v>
      </c>
      <c r="B18" s="20" t="s">
        <v>133</v>
      </c>
      <c r="C18" s="25">
        <f>'Revenue Drivers'!C20</f>
        <v>1528800</v>
      </c>
      <c r="D18" s="25">
        <f>'Revenue Drivers'!D20</f>
        <v>274877.56073520612</v>
      </c>
      <c r="E18" s="25">
        <f>'Revenue Drivers'!E20</f>
        <v>277227.24987836578</v>
      </c>
      <c r="F18" s="25">
        <f>'Revenue Drivers'!F20</f>
        <v>281912.37828704889</v>
      </c>
      <c r="G18" s="25">
        <f>'Revenue Drivers'!G20</f>
        <v>286019.97403268429</v>
      </c>
      <c r="H18" s="25">
        <f>'Revenue Drivers'!H20</f>
        <v>297884.00606214564</v>
      </c>
      <c r="I18" s="25">
        <f>'Revenue Drivers'!I20</f>
        <v>299958.21699956188</v>
      </c>
      <c r="J18" s="25">
        <f>'Revenue Drivers'!J20</f>
        <v>305514.83464646013</v>
      </c>
      <c r="K18" s="25">
        <f>'Revenue Drivers'!K20</f>
        <v>310633.40387490141</v>
      </c>
      <c r="L18" s="25">
        <f>'Revenue Drivers'!L20</f>
        <v>322368.63895439368</v>
      </c>
      <c r="M18" s="25">
        <f>'Revenue Drivers'!M20</f>
        <v>327892.98824799201</v>
      </c>
      <c r="N18" s="25">
        <f>'Revenue Drivers'!N20</f>
        <v>399522.50544253911</v>
      </c>
      <c r="O18" s="25">
        <f>'Revenue Drivers'!O20</f>
        <v>478359.77686206251</v>
      </c>
      <c r="P18" s="25">
        <f>'Revenue Drivers'!P20</f>
        <v>535397.39179925504</v>
      </c>
      <c r="Q18" s="25">
        <f>'Revenue Drivers'!Q20</f>
        <v>571797.05845715338</v>
      </c>
      <c r="R18" s="25">
        <f>'Revenue Drivers'!R20</f>
        <v>594487.69266826869</v>
      </c>
      <c r="S18" s="25">
        <f>'Revenue Drivers'!S20</f>
        <v>609311.253452654</v>
      </c>
      <c r="T18" s="25">
        <f>'Revenue Drivers'!T20</f>
        <v>619767.63823466282</v>
      </c>
      <c r="U18" s="25">
        <f>'Revenue Drivers'!U20</f>
        <v>627708.66535912873</v>
      </c>
      <c r="V18" s="25">
        <f>'Revenue Drivers'!V20</f>
        <v>634084.3514572992</v>
      </c>
      <c r="W18" s="25">
        <f>'Revenue Drivers'!W20</f>
        <v>639387.23374430416</v>
      </c>
      <c r="X18" s="25">
        <f>SUM(D18:G18)</f>
        <v>1120037.1629333051</v>
      </c>
      <c r="Y18" s="25">
        <f>SUM(H18:K18)</f>
        <v>1213990.4615830691</v>
      </c>
      <c r="Z18" s="25">
        <f>SUM(L18:O18)</f>
        <v>1528143.9095069873</v>
      </c>
      <c r="AA18" s="25">
        <f>SUM(P18:S18)</f>
        <v>2310993.3963773311</v>
      </c>
      <c r="AB18" s="25">
        <f>SUM(T18:W18)</f>
        <v>2520947.8887953949</v>
      </c>
    </row>
    <row r="19" spans="1:28" x14ac:dyDescent="0.3">
      <c r="A19" s="20" t="s">
        <v>97</v>
      </c>
      <c r="B19" s="20" t="s">
        <v>133</v>
      </c>
      <c r="C19" s="22">
        <f>'Revenue Drivers'!C19</f>
        <v>234</v>
      </c>
      <c r="D19" s="22">
        <f>'Revenue Drivers'!D19</f>
        <v>103.08</v>
      </c>
      <c r="E19" s="22">
        <f>'Revenue Drivers'!E19</f>
        <v>103.08</v>
      </c>
      <c r="F19" s="22">
        <f>'Revenue Drivers'!F19</f>
        <v>103.08</v>
      </c>
      <c r="G19" s="22">
        <f>'Revenue Drivers'!G19</f>
        <v>103.08</v>
      </c>
      <c r="H19" s="22">
        <f>'Revenue Drivers'!H19</f>
        <v>103.08</v>
      </c>
      <c r="I19" s="22">
        <f>'Revenue Drivers'!I19</f>
        <v>103.08</v>
      </c>
      <c r="J19" s="22">
        <f>'Revenue Drivers'!J19</f>
        <v>103.08</v>
      </c>
      <c r="K19" s="22">
        <f>'Revenue Drivers'!K19</f>
        <v>103.08</v>
      </c>
      <c r="L19" s="22">
        <f>'Revenue Drivers'!L19</f>
        <v>103.08</v>
      </c>
      <c r="M19" s="22">
        <f>'Revenue Drivers'!M19</f>
        <v>103.08</v>
      </c>
      <c r="N19" s="22">
        <f>'Revenue Drivers'!N19</f>
        <v>103.08</v>
      </c>
      <c r="O19" s="22">
        <f>'Revenue Drivers'!O19</f>
        <v>103.08</v>
      </c>
      <c r="P19" s="22">
        <f>'Revenue Drivers'!P19</f>
        <v>103.08</v>
      </c>
      <c r="Q19" s="22">
        <f>'Revenue Drivers'!Q19</f>
        <v>103.08</v>
      </c>
      <c r="R19" s="22">
        <f>'Revenue Drivers'!R19</f>
        <v>103.08</v>
      </c>
      <c r="S19" s="22">
        <f>'Revenue Drivers'!S19</f>
        <v>103.08</v>
      </c>
      <c r="T19" s="22">
        <f>'Revenue Drivers'!T19</f>
        <v>103.08</v>
      </c>
      <c r="U19" s="22">
        <f>'Revenue Drivers'!U19</f>
        <v>103.08</v>
      </c>
      <c r="V19" s="22">
        <f>'Revenue Drivers'!V19</f>
        <v>103.08</v>
      </c>
      <c r="W19" s="22">
        <f>'Revenue Drivers'!W19</f>
        <v>103.08</v>
      </c>
      <c r="X19" s="22">
        <f>SUM(D19:G19)</f>
        <v>412.32</v>
      </c>
      <c r="Y19" s="22">
        <f>SUM(H19:K19)</f>
        <v>412.32</v>
      </c>
      <c r="Z19" s="22">
        <f>SUM(L19:O19)</f>
        <v>412.32</v>
      </c>
      <c r="AA19" s="22">
        <f>SUM(P19:S19)</f>
        <v>412.32</v>
      </c>
      <c r="AB19" s="22">
        <f>SUM(T19:W19)</f>
        <v>412.32</v>
      </c>
    </row>
    <row r="20" spans="1:28" x14ac:dyDescent="0.3">
      <c r="A20" s="23" t="s">
        <v>134</v>
      </c>
      <c r="B20" s="23" t="s">
        <v>135</v>
      </c>
      <c r="C20" s="24">
        <f t="shared" ref="C20:AB20" si="0">IFERROR(C18/C16,0)</f>
        <v>0</v>
      </c>
      <c r="D20" s="24">
        <f t="shared" si="0"/>
        <v>91625.853578402035</v>
      </c>
      <c r="E20" s="24">
        <f t="shared" si="0"/>
        <v>92409.083292788593</v>
      </c>
      <c r="F20" s="24">
        <f t="shared" si="0"/>
        <v>93970.792762349636</v>
      </c>
      <c r="G20" s="24">
        <f t="shared" si="0"/>
        <v>95339.991344228096</v>
      </c>
      <c r="H20" s="24">
        <f t="shared" si="0"/>
        <v>99294.668687381884</v>
      </c>
      <c r="I20" s="24">
        <f t="shared" si="0"/>
        <v>99986.072333187287</v>
      </c>
      <c r="J20" s="24">
        <f t="shared" si="0"/>
        <v>101838.27821548672</v>
      </c>
      <c r="K20" s="24">
        <f t="shared" si="0"/>
        <v>103544.46795830048</v>
      </c>
      <c r="L20" s="24">
        <f t="shared" si="0"/>
        <v>107456.21298479789</v>
      </c>
      <c r="M20" s="24">
        <f t="shared" si="0"/>
        <v>109297.66274933067</v>
      </c>
      <c r="N20" s="24">
        <f t="shared" si="0"/>
        <v>133174.16848084636</v>
      </c>
      <c r="O20" s="24">
        <f t="shared" si="0"/>
        <v>159453.25895402083</v>
      </c>
      <c r="P20" s="24">
        <f t="shared" si="0"/>
        <v>178465.79726641835</v>
      </c>
      <c r="Q20" s="24">
        <f t="shared" si="0"/>
        <v>190599.01948571778</v>
      </c>
      <c r="R20" s="24">
        <f t="shared" si="0"/>
        <v>198162.56422275622</v>
      </c>
      <c r="S20" s="24">
        <f t="shared" si="0"/>
        <v>203103.75115088467</v>
      </c>
      <c r="T20" s="24">
        <f t="shared" si="0"/>
        <v>206589.2127448876</v>
      </c>
      <c r="U20" s="24">
        <f t="shared" si="0"/>
        <v>209236.22178637623</v>
      </c>
      <c r="V20" s="24">
        <f t="shared" si="0"/>
        <v>211361.4504857664</v>
      </c>
      <c r="W20" s="24">
        <f t="shared" si="0"/>
        <v>213129.07791476804</v>
      </c>
      <c r="X20" s="24">
        <f t="shared" si="0"/>
        <v>373345.72097776836</v>
      </c>
      <c r="Y20" s="24">
        <f t="shared" si="0"/>
        <v>404663.48719435633</v>
      </c>
      <c r="Z20" s="24">
        <f t="shared" si="0"/>
        <v>509381.30316899577</v>
      </c>
      <c r="AA20" s="24">
        <f t="shared" si="0"/>
        <v>770331.13212577708</v>
      </c>
      <c r="AB20" s="24">
        <f t="shared" si="0"/>
        <v>840315.96293179831</v>
      </c>
    </row>
    <row r="21" spans="1:28" x14ac:dyDescent="0.3">
      <c r="A21" s="23" t="s">
        <v>136</v>
      </c>
      <c r="B21" s="23" t="s">
        <v>135</v>
      </c>
      <c r="C21" s="26">
        <f t="shared" ref="C21:AB21" si="1">IFERROR(C19/C16,0)</f>
        <v>0</v>
      </c>
      <c r="D21" s="26">
        <f t="shared" si="1"/>
        <v>34.36</v>
      </c>
      <c r="E21" s="26">
        <f t="shared" si="1"/>
        <v>34.36</v>
      </c>
      <c r="F21" s="26">
        <f t="shared" si="1"/>
        <v>34.36</v>
      </c>
      <c r="G21" s="26">
        <f t="shared" si="1"/>
        <v>34.36</v>
      </c>
      <c r="H21" s="26">
        <f t="shared" si="1"/>
        <v>34.36</v>
      </c>
      <c r="I21" s="26">
        <f t="shared" si="1"/>
        <v>34.36</v>
      </c>
      <c r="J21" s="26">
        <f t="shared" si="1"/>
        <v>34.36</v>
      </c>
      <c r="K21" s="26">
        <f t="shared" si="1"/>
        <v>34.36</v>
      </c>
      <c r="L21" s="26">
        <f t="shared" si="1"/>
        <v>34.36</v>
      </c>
      <c r="M21" s="26">
        <f t="shared" si="1"/>
        <v>34.36</v>
      </c>
      <c r="N21" s="26">
        <f t="shared" si="1"/>
        <v>34.36</v>
      </c>
      <c r="O21" s="26">
        <f t="shared" si="1"/>
        <v>34.36</v>
      </c>
      <c r="P21" s="26">
        <f t="shared" si="1"/>
        <v>34.36</v>
      </c>
      <c r="Q21" s="26">
        <f t="shared" si="1"/>
        <v>34.36</v>
      </c>
      <c r="R21" s="26">
        <f t="shared" si="1"/>
        <v>34.36</v>
      </c>
      <c r="S21" s="26">
        <f t="shared" si="1"/>
        <v>34.36</v>
      </c>
      <c r="T21" s="26">
        <f t="shared" si="1"/>
        <v>34.36</v>
      </c>
      <c r="U21" s="26">
        <f t="shared" si="1"/>
        <v>34.36</v>
      </c>
      <c r="V21" s="26">
        <f t="shared" si="1"/>
        <v>34.36</v>
      </c>
      <c r="W21" s="26">
        <f t="shared" si="1"/>
        <v>34.36</v>
      </c>
      <c r="X21" s="26">
        <f t="shared" si="1"/>
        <v>137.44</v>
      </c>
      <c r="Y21" s="26">
        <f t="shared" si="1"/>
        <v>137.44</v>
      </c>
      <c r="Z21" s="26">
        <f t="shared" si="1"/>
        <v>137.44</v>
      </c>
      <c r="AA21" s="26">
        <f t="shared" si="1"/>
        <v>137.44</v>
      </c>
      <c r="AB21" s="26">
        <f t="shared" si="1"/>
        <v>137.44</v>
      </c>
    </row>
    <row r="22" spans="1:28" x14ac:dyDescent="0.3">
      <c r="A22" s="20" t="s">
        <v>137</v>
      </c>
      <c r="B22" s="20" t="s">
        <v>135</v>
      </c>
      <c r="C22" s="21">
        <f t="shared" ref="C22:AB22" si="2">IFERROR(C17/C18,0)</f>
        <v>0</v>
      </c>
      <c r="D22" s="21">
        <f t="shared" si="2"/>
        <v>0.42036152274833793</v>
      </c>
      <c r="E22" s="21">
        <f t="shared" si="2"/>
        <v>0.41679867347346616</v>
      </c>
      <c r="F22" s="21">
        <f t="shared" si="2"/>
        <v>0.40987185700071221</v>
      </c>
      <c r="G22" s="21">
        <f t="shared" si="2"/>
        <v>0.40398559712754889</v>
      </c>
      <c r="H22" s="21">
        <f t="shared" si="2"/>
        <v>0.39953245249149361</v>
      </c>
      <c r="I22" s="21">
        <f t="shared" si="2"/>
        <v>0.39676968575984645</v>
      </c>
      <c r="J22" s="21">
        <f t="shared" si="2"/>
        <v>0.3895533506178927</v>
      </c>
      <c r="K22" s="21">
        <f t="shared" si="2"/>
        <v>0.38313435070212076</v>
      </c>
      <c r="L22" s="21">
        <f t="shared" si="2"/>
        <v>0.38026250908774778</v>
      </c>
      <c r="M22" s="21">
        <f t="shared" si="2"/>
        <v>0.37385583679296841</v>
      </c>
      <c r="N22" s="21">
        <f t="shared" si="2"/>
        <v>0.30682804054859586</v>
      </c>
      <c r="O22" s="21">
        <f t="shared" si="2"/>
        <v>0.25626048307014726</v>
      </c>
      <c r="P22" s="21">
        <f t="shared" si="2"/>
        <v>0.23582999643625774</v>
      </c>
      <c r="Q22" s="21">
        <f t="shared" si="2"/>
        <v>0.22081744411327936</v>
      </c>
      <c r="R22" s="21">
        <f t="shared" si="2"/>
        <v>0.21238919923352584</v>
      </c>
      <c r="S22" s="21">
        <f t="shared" si="2"/>
        <v>0.20722211231867743</v>
      </c>
      <c r="T22" s="21">
        <f t="shared" si="2"/>
        <v>0.20983726315629117</v>
      </c>
      <c r="U22" s="21">
        <f t="shared" si="2"/>
        <v>0.20718265045073858</v>
      </c>
      <c r="V22" s="21">
        <f t="shared" si="2"/>
        <v>0.20509943937444403</v>
      </c>
      <c r="W22" s="21">
        <f t="shared" si="2"/>
        <v>0.20339840731322473</v>
      </c>
      <c r="X22" s="21">
        <f t="shared" si="2"/>
        <v>0.41265755753099248</v>
      </c>
      <c r="Y22" s="21">
        <f t="shared" si="2"/>
        <v>0.39214254564999734</v>
      </c>
      <c r="Z22" s="21">
        <f t="shared" si="2"/>
        <v>0.32087215539680031</v>
      </c>
      <c r="AA22" s="21">
        <f t="shared" si="2"/>
        <v>0.21854283997163659</v>
      </c>
      <c r="AB22" s="21">
        <f t="shared" si="2"/>
        <v>0.20635150068436048</v>
      </c>
    </row>
    <row r="25" spans="1:28" x14ac:dyDescent="0.3">
      <c r="A25" s="51" t="s">
        <v>138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 spans="1:28" x14ac:dyDescent="0.3">
      <c r="A26" s="27" t="s">
        <v>139</v>
      </c>
      <c r="B26" s="27" t="s">
        <v>140</v>
      </c>
      <c r="C26" s="27" t="s">
        <v>141</v>
      </c>
      <c r="D26" s="27" t="s">
        <v>142</v>
      </c>
      <c r="E26" s="27" t="s">
        <v>143</v>
      </c>
      <c r="F26" s="27" t="s">
        <v>144</v>
      </c>
      <c r="G26" s="27" t="s">
        <v>145</v>
      </c>
      <c r="H26" s="27" t="s">
        <v>146</v>
      </c>
      <c r="I26" s="27" t="s">
        <v>147</v>
      </c>
      <c r="J26" s="27" t="s">
        <v>148</v>
      </c>
      <c r="K26" s="27" t="s">
        <v>149</v>
      </c>
      <c r="L26" s="27" t="s">
        <v>150</v>
      </c>
      <c r="M26" s="27" t="s">
        <v>132</v>
      </c>
      <c r="N26" s="27" t="s">
        <v>151</v>
      </c>
    </row>
    <row r="27" spans="1:28" x14ac:dyDescent="0.3">
      <c r="A27">
        <v>1</v>
      </c>
      <c r="B27" t="s">
        <v>152</v>
      </c>
      <c r="C27" t="s">
        <v>153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143470</v>
      </c>
      <c r="J27" s="31">
        <v>0.22</v>
      </c>
      <c r="K27" s="32">
        <f t="shared" ref="K27:K58" si="5">H27*I27/4</f>
        <v>35867.5</v>
      </c>
      <c r="L27" s="32">
        <f t="shared" ref="L27:L58" si="6">K27*J27</f>
        <v>7890.85</v>
      </c>
      <c r="M27" s="32">
        <f t="shared" ref="M27:M58" si="7">K27+L27</f>
        <v>43758.35</v>
      </c>
      <c r="N27" t="s">
        <v>154</v>
      </c>
    </row>
    <row r="28" spans="1:28" x14ac:dyDescent="0.3">
      <c r="A28">
        <v>2</v>
      </c>
      <c r="B28" t="s">
        <v>152</v>
      </c>
      <c r="C28" t="s">
        <v>153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143470</v>
      </c>
      <c r="J28" s="31">
        <v>0.22</v>
      </c>
      <c r="K28" s="32">
        <f t="shared" si="5"/>
        <v>35867.5</v>
      </c>
      <c r="L28" s="32">
        <f t="shared" si="6"/>
        <v>7890.85</v>
      </c>
      <c r="M28" s="32">
        <f t="shared" si="7"/>
        <v>43758.35</v>
      </c>
      <c r="N28" t="s">
        <v>154</v>
      </c>
    </row>
    <row r="29" spans="1:28" x14ac:dyDescent="0.3">
      <c r="A29">
        <v>3</v>
      </c>
      <c r="B29" t="s">
        <v>152</v>
      </c>
      <c r="C29" t="s">
        <v>153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143470</v>
      </c>
      <c r="J29" s="31">
        <v>0.22</v>
      </c>
      <c r="K29" s="32">
        <f t="shared" si="5"/>
        <v>35867.5</v>
      </c>
      <c r="L29" s="32">
        <f t="shared" si="6"/>
        <v>7890.85</v>
      </c>
      <c r="M29" s="32">
        <f t="shared" si="7"/>
        <v>43758.35</v>
      </c>
      <c r="N29" t="s">
        <v>154</v>
      </c>
    </row>
    <row r="30" spans="1:28" x14ac:dyDescent="0.3">
      <c r="A30">
        <v>4</v>
      </c>
      <c r="B30" t="s">
        <v>152</v>
      </c>
      <c r="C30" t="s">
        <v>153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143470</v>
      </c>
      <c r="J30" s="31">
        <v>0.22</v>
      </c>
      <c r="K30" s="32">
        <f t="shared" si="5"/>
        <v>35867.5</v>
      </c>
      <c r="L30" s="32">
        <f t="shared" si="6"/>
        <v>7890.85</v>
      </c>
      <c r="M30" s="32">
        <f t="shared" si="7"/>
        <v>43758.35</v>
      </c>
      <c r="N30" t="s">
        <v>154</v>
      </c>
    </row>
    <row r="31" spans="1:28" x14ac:dyDescent="0.3">
      <c r="A31">
        <v>5</v>
      </c>
      <c r="B31" t="s">
        <v>152</v>
      </c>
      <c r="C31" t="s">
        <v>153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147774</v>
      </c>
      <c r="J31" s="31">
        <v>0.22</v>
      </c>
      <c r="K31" s="32">
        <f t="shared" si="5"/>
        <v>36943.5</v>
      </c>
      <c r="L31" s="32">
        <f t="shared" si="6"/>
        <v>8127.57</v>
      </c>
      <c r="M31" s="32">
        <f t="shared" si="7"/>
        <v>45071.07</v>
      </c>
      <c r="N31" t="s">
        <v>154</v>
      </c>
    </row>
    <row r="32" spans="1:28" x14ac:dyDescent="0.3">
      <c r="A32">
        <v>6</v>
      </c>
      <c r="B32" t="s">
        <v>152</v>
      </c>
      <c r="C32" t="s">
        <v>153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147774</v>
      </c>
      <c r="J32" s="31">
        <v>0.22</v>
      </c>
      <c r="K32" s="32">
        <f t="shared" si="5"/>
        <v>36943.5</v>
      </c>
      <c r="L32" s="32">
        <f t="shared" si="6"/>
        <v>8127.57</v>
      </c>
      <c r="M32" s="32">
        <f t="shared" si="7"/>
        <v>45071.07</v>
      </c>
      <c r="N32" t="s">
        <v>154</v>
      </c>
    </row>
    <row r="33" spans="1:14" x14ac:dyDescent="0.3">
      <c r="A33">
        <v>7</v>
      </c>
      <c r="B33" t="s">
        <v>152</v>
      </c>
      <c r="C33" t="s">
        <v>153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147774</v>
      </c>
      <c r="J33" s="31">
        <v>0.22</v>
      </c>
      <c r="K33" s="32">
        <f t="shared" si="5"/>
        <v>36943.5</v>
      </c>
      <c r="L33" s="32">
        <f t="shared" si="6"/>
        <v>8127.57</v>
      </c>
      <c r="M33" s="32">
        <f t="shared" si="7"/>
        <v>45071.07</v>
      </c>
      <c r="N33" t="s">
        <v>154</v>
      </c>
    </row>
    <row r="34" spans="1:14" x14ac:dyDescent="0.3">
      <c r="A34">
        <v>8</v>
      </c>
      <c r="B34" t="s">
        <v>152</v>
      </c>
      <c r="C34" t="s">
        <v>153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147774</v>
      </c>
      <c r="J34" s="31">
        <v>0.22</v>
      </c>
      <c r="K34" s="32">
        <f t="shared" si="5"/>
        <v>36943.5</v>
      </c>
      <c r="L34" s="32">
        <f t="shared" si="6"/>
        <v>8127.57</v>
      </c>
      <c r="M34" s="32">
        <f t="shared" si="7"/>
        <v>45071.07</v>
      </c>
      <c r="N34" t="s">
        <v>154</v>
      </c>
    </row>
    <row r="35" spans="1:14" x14ac:dyDescent="0.3">
      <c r="A35">
        <v>9</v>
      </c>
      <c r="B35" t="s">
        <v>152</v>
      </c>
      <c r="C35" t="s">
        <v>153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152207</v>
      </c>
      <c r="J35" s="31">
        <v>0.22</v>
      </c>
      <c r="K35" s="32">
        <f t="shared" si="5"/>
        <v>38051.75</v>
      </c>
      <c r="L35" s="32">
        <f t="shared" si="6"/>
        <v>8371.3850000000002</v>
      </c>
      <c r="M35" s="32">
        <f t="shared" si="7"/>
        <v>46423.135000000002</v>
      </c>
      <c r="N35" t="s">
        <v>154</v>
      </c>
    </row>
    <row r="36" spans="1:14" x14ac:dyDescent="0.3">
      <c r="A36">
        <v>10</v>
      </c>
      <c r="B36" t="s">
        <v>152</v>
      </c>
      <c r="C36" t="s">
        <v>153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152207</v>
      </c>
      <c r="J36" s="31">
        <v>0.22</v>
      </c>
      <c r="K36" s="32">
        <f t="shared" si="5"/>
        <v>38051.75</v>
      </c>
      <c r="L36" s="32">
        <f t="shared" si="6"/>
        <v>8371.3850000000002</v>
      </c>
      <c r="M36" s="32">
        <f t="shared" si="7"/>
        <v>46423.135000000002</v>
      </c>
      <c r="N36" t="s">
        <v>154</v>
      </c>
    </row>
    <row r="37" spans="1:14" x14ac:dyDescent="0.3">
      <c r="A37">
        <v>11</v>
      </c>
      <c r="B37" t="s">
        <v>152</v>
      </c>
      <c r="C37" t="s">
        <v>153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152207</v>
      </c>
      <c r="J37" s="31">
        <v>0.22</v>
      </c>
      <c r="K37" s="32">
        <f t="shared" si="5"/>
        <v>38051.75</v>
      </c>
      <c r="L37" s="32">
        <f t="shared" si="6"/>
        <v>8371.3850000000002</v>
      </c>
      <c r="M37" s="32">
        <f t="shared" si="7"/>
        <v>46423.135000000002</v>
      </c>
      <c r="N37" t="s">
        <v>154</v>
      </c>
    </row>
    <row r="38" spans="1:14" x14ac:dyDescent="0.3">
      <c r="A38">
        <v>12</v>
      </c>
      <c r="B38" t="s">
        <v>152</v>
      </c>
      <c r="C38" t="s">
        <v>153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152207</v>
      </c>
      <c r="J38" s="31">
        <v>0.22</v>
      </c>
      <c r="K38" s="32">
        <f t="shared" si="5"/>
        <v>38051.75</v>
      </c>
      <c r="L38" s="32">
        <f t="shared" si="6"/>
        <v>8371.3850000000002</v>
      </c>
      <c r="M38" s="32">
        <f t="shared" si="7"/>
        <v>46423.135000000002</v>
      </c>
      <c r="N38" t="s">
        <v>154</v>
      </c>
    </row>
    <row r="39" spans="1:14" x14ac:dyDescent="0.3">
      <c r="A39">
        <v>13</v>
      </c>
      <c r="B39" t="s">
        <v>152</v>
      </c>
      <c r="C39" t="s">
        <v>153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156774</v>
      </c>
      <c r="J39" s="31">
        <v>0.22</v>
      </c>
      <c r="K39" s="32">
        <f t="shared" si="5"/>
        <v>39193.5</v>
      </c>
      <c r="L39" s="32">
        <f t="shared" si="6"/>
        <v>8622.57</v>
      </c>
      <c r="M39" s="32">
        <f t="shared" si="7"/>
        <v>47816.07</v>
      </c>
      <c r="N39" t="s">
        <v>154</v>
      </c>
    </row>
    <row r="40" spans="1:14" x14ac:dyDescent="0.3">
      <c r="A40">
        <v>14</v>
      </c>
      <c r="B40" t="s">
        <v>152</v>
      </c>
      <c r="C40" t="s">
        <v>153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156774</v>
      </c>
      <c r="J40" s="31">
        <v>0.22</v>
      </c>
      <c r="K40" s="32">
        <f t="shared" si="5"/>
        <v>39193.5</v>
      </c>
      <c r="L40" s="32">
        <f t="shared" si="6"/>
        <v>8622.57</v>
      </c>
      <c r="M40" s="32">
        <f t="shared" si="7"/>
        <v>47816.07</v>
      </c>
      <c r="N40" t="s">
        <v>154</v>
      </c>
    </row>
    <row r="41" spans="1:14" x14ac:dyDescent="0.3">
      <c r="A41">
        <v>15</v>
      </c>
      <c r="B41" t="s">
        <v>152</v>
      </c>
      <c r="C41" t="s">
        <v>153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156774</v>
      </c>
      <c r="J41" s="31">
        <v>0.22</v>
      </c>
      <c r="K41" s="32">
        <f t="shared" si="5"/>
        <v>39193.5</v>
      </c>
      <c r="L41" s="32">
        <f t="shared" si="6"/>
        <v>8622.57</v>
      </c>
      <c r="M41" s="32">
        <f t="shared" si="7"/>
        <v>47816.07</v>
      </c>
      <c r="N41" t="s">
        <v>154</v>
      </c>
    </row>
    <row r="42" spans="1:14" x14ac:dyDescent="0.3">
      <c r="A42">
        <v>16</v>
      </c>
      <c r="B42" t="s">
        <v>152</v>
      </c>
      <c r="C42" t="s">
        <v>153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156774</v>
      </c>
      <c r="J42" s="31">
        <v>0.22</v>
      </c>
      <c r="K42" s="32">
        <f t="shared" si="5"/>
        <v>39193.5</v>
      </c>
      <c r="L42" s="32">
        <f t="shared" si="6"/>
        <v>8622.57</v>
      </c>
      <c r="M42" s="32">
        <f t="shared" si="7"/>
        <v>47816.07</v>
      </c>
      <c r="N42" t="s">
        <v>154</v>
      </c>
    </row>
    <row r="43" spans="1:14" x14ac:dyDescent="0.3">
      <c r="A43">
        <v>17</v>
      </c>
      <c r="B43" t="s">
        <v>152</v>
      </c>
      <c r="C43" t="s">
        <v>153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161477</v>
      </c>
      <c r="J43" s="31">
        <v>0.22</v>
      </c>
      <c r="K43" s="32">
        <f t="shared" si="5"/>
        <v>40369.25</v>
      </c>
      <c r="L43" s="32">
        <f t="shared" si="6"/>
        <v>8881.2350000000006</v>
      </c>
      <c r="M43" s="32">
        <f t="shared" si="7"/>
        <v>49250.485000000001</v>
      </c>
      <c r="N43" t="s">
        <v>154</v>
      </c>
    </row>
    <row r="44" spans="1:14" x14ac:dyDescent="0.3">
      <c r="A44">
        <v>18</v>
      </c>
      <c r="B44" t="s">
        <v>152</v>
      </c>
      <c r="C44" t="s">
        <v>153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161477</v>
      </c>
      <c r="J44" s="31">
        <v>0.22</v>
      </c>
      <c r="K44" s="32">
        <f t="shared" si="5"/>
        <v>40369.25</v>
      </c>
      <c r="L44" s="32">
        <f t="shared" si="6"/>
        <v>8881.2350000000006</v>
      </c>
      <c r="M44" s="32">
        <f t="shared" si="7"/>
        <v>49250.485000000001</v>
      </c>
      <c r="N44" t="s">
        <v>154</v>
      </c>
    </row>
    <row r="45" spans="1:14" x14ac:dyDescent="0.3">
      <c r="A45">
        <v>19</v>
      </c>
      <c r="B45" t="s">
        <v>152</v>
      </c>
      <c r="C45" t="s">
        <v>153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161477</v>
      </c>
      <c r="J45" s="31">
        <v>0.22</v>
      </c>
      <c r="K45" s="32">
        <f t="shared" si="5"/>
        <v>40369.25</v>
      </c>
      <c r="L45" s="32">
        <f t="shared" si="6"/>
        <v>8881.2350000000006</v>
      </c>
      <c r="M45" s="32">
        <f t="shared" si="7"/>
        <v>49250.485000000001</v>
      </c>
      <c r="N45" t="s">
        <v>154</v>
      </c>
    </row>
    <row r="46" spans="1:14" x14ac:dyDescent="0.3">
      <c r="A46">
        <v>20</v>
      </c>
      <c r="B46" t="s">
        <v>152</v>
      </c>
      <c r="C46" t="s">
        <v>153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161477</v>
      </c>
      <c r="J46" s="31">
        <v>0.22</v>
      </c>
      <c r="K46" s="32">
        <f t="shared" si="5"/>
        <v>40369.25</v>
      </c>
      <c r="L46" s="32">
        <f t="shared" si="6"/>
        <v>8881.2350000000006</v>
      </c>
      <c r="M46" s="32">
        <f t="shared" si="7"/>
        <v>49250.485000000001</v>
      </c>
      <c r="N46" t="s">
        <v>154</v>
      </c>
    </row>
    <row r="47" spans="1:14" x14ac:dyDescent="0.3">
      <c r="A47">
        <v>1</v>
      </c>
      <c r="B47" t="s">
        <v>152</v>
      </c>
      <c r="C47" t="s">
        <v>155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143470</v>
      </c>
      <c r="J47" s="31">
        <v>0.22</v>
      </c>
      <c r="K47" s="32">
        <f t="shared" si="5"/>
        <v>35867.5</v>
      </c>
      <c r="L47" s="32">
        <f t="shared" si="6"/>
        <v>7890.85</v>
      </c>
      <c r="M47" s="32">
        <f t="shared" si="7"/>
        <v>43758.35</v>
      </c>
      <c r="N47" t="s">
        <v>154</v>
      </c>
    </row>
    <row r="48" spans="1:14" x14ac:dyDescent="0.3">
      <c r="A48">
        <v>2</v>
      </c>
      <c r="B48" t="s">
        <v>152</v>
      </c>
      <c r="C48" t="s">
        <v>155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143470</v>
      </c>
      <c r="J48" s="31">
        <v>0.22</v>
      </c>
      <c r="K48" s="32">
        <f t="shared" si="5"/>
        <v>35867.5</v>
      </c>
      <c r="L48" s="32">
        <f t="shared" si="6"/>
        <v>7890.85</v>
      </c>
      <c r="M48" s="32">
        <f t="shared" si="7"/>
        <v>43758.35</v>
      </c>
      <c r="N48" t="s">
        <v>154</v>
      </c>
    </row>
    <row r="49" spans="1:14" x14ac:dyDescent="0.3">
      <c r="A49">
        <v>3</v>
      </c>
      <c r="B49" t="s">
        <v>152</v>
      </c>
      <c r="C49" t="s">
        <v>155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143470</v>
      </c>
      <c r="J49" s="31">
        <v>0.22</v>
      </c>
      <c r="K49" s="32">
        <f t="shared" si="5"/>
        <v>35867.5</v>
      </c>
      <c r="L49" s="32">
        <f t="shared" si="6"/>
        <v>7890.85</v>
      </c>
      <c r="M49" s="32">
        <f t="shared" si="7"/>
        <v>43758.35</v>
      </c>
      <c r="N49" t="s">
        <v>154</v>
      </c>
    </row>
    <row r="50" spans="1:14" x14ac:dyDescent="0.3">
      <c r="A50">
        <v>4</v>
      </c>
      <c r="B50" t="s">
        <v>152</v>
      </c>
      <c r="C50" t="s">
        <v>155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143470</v>
      </c>
      <c r="J50" s="31">
        <v>0.22</v>
      </c>
      <c r="K50" s="32">
        <f t="shared" si="5"/>
        <v>35867.5</v>
      </c>
      <c r="L50" s="32">
        <f t="shared" si="6"/>
        <v>7890.85</v>
      </c>
      <c r="M50" s="32">
        <f t="shared" si="7"/>
        <v>43758.35</v>
      </c>
      <c r="N50" t="s">
        <v>154</v>
      </c>
    </row>
    <row r="51" spans="1:14" x14ac:dyDescent="0.3">
      <c r="A51">
        <v>5</v>
      </c>
      <c r="B51" t="s">
        <v>152</v>
      </c>
      <c r="C51" t="s">
        <v>155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147774</v>
      </c>
      <c r="J51" s="31">
        <v>0.22</v>
      </c>
      <c r="K51" s="32">
        <f t="shared" si="5"/>
        <v>36943.5</v>
      </c>
      <c r="L51" s="32">
        <f t="shared" si="6"/>
        <v>8127.57</v>
      </c>
      <c r="M51" s="32">
        <f t="shared" si="7"/>
        <v>45071.07</v>
      </c>
      <c r="N51" t="s">
        <v>154</v>
      </c>
    </row>
    <row r="52" spans="1:14" x14ac:dyDescent="0.3">
      <c r="A52">
        <v>6</v>
      </c>
      <c r="B52" t="s">
        <v>152</v>
      </c>
      <c r="C52" t="s">
        <v>155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147774</v>
      </c>
      <c r="J52" s="31">
        <v>0.22</v>
      </c>
      <c r="K52" s="32">
        <f t="shared" si="5"/>
        <v>36943.5</v>
      </c>
      <c r="L52" s="32">
        <f t="shared" si="6"/>
        <v>8127.57</v>
      </c>
      <c r="M52" s="32">
        <f t="shared" si="7"/>
        <v>45071.07</v>
      </c>
      <c r="N52" t="s">
        <v>154</v>
      </c>
    </row>
    <row r="53" spans="1:14" x14ac:dyDescent="0.3">
      <c r="A53">
        <v>7</v>
      </c>
      <c r="B53" t="s">
        <v>152</v>
      </c>
      <c r="C53" t="s">
        <v>155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147774</v>
      </c>
      <c r="J53" s="31">
        <v>0.22</v>
      </c>
      <c r="K53" s="32">
        <f t="shared" si="5"/>
        <v>36943.5</v>
      </c>
      <c r="L53" s="32">
        <f t="shared" si="6"/>
        <v>8127.57</v>
      </c>
      <c r="M53" s="32">
        <f t="shared" si="7"/>
        <v>45071.07</v>
      </c>
      <c r="N53" t="s">
        <v>154</v>
      </c>
    </row>
    <row r="54" spans="1:14" x14ac:dyDescent="0.3">
      <c r="A54">
        <v>8</v>
      </c>
      <c r="B54" t="s">
        <v>152</v>
      </c>
      <c r="C54" t="s">
        <v>155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147774</v>
      </c>
      <c r="J54" s="31">
        <v>0.22</v>
      </c>
      <c r="K54" s="32">
        <f t="shared" si="5"/>
        <v>36943.5</v>
      </c>
      <c r="L54" s="32">
        <f t="shared" si="6"/>
        <v>8127.57</v>
      </c>
      <c r="M54" s="32">
        <f t="shared" si="7"/>
        <v>45071.07</v>
      </c>
      <c r="N54" t="s">
        <v>154</v>
      </c>
    </row>
    <row r="55" spans="1:14" x14ac:dyDescent="0.3">
      <c r="A55">
        <v>9</v>
      </c>
      <c r="B55" t="s">
        <v>152</v>
      </c>
      <c r="C55" t="s">
        <v>155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152207</v>
      </c>
      <c r="J55" s="31">
        <v>0.22</v>
      </c>
      <c r="K55" s="32">
        <f t="shared" si="5"/>
        <v>38051.75</v>
      </c>
      <c r="L55" s="32">
        <f t="shared" si="6"/>
        <v>8371.3850000000002</v>
      </c>
      <c r="M55" s="32">
        <f t="shared" si="7"/>
        <v>46423.135000000002</v>
      </c>
      <c r="N55" t="s">
        <v>154</v>
      </c>
    </row>
    <row r="56" spans="1:14" x14ac:dyDescent="0.3">
      <c r="A56">
        <v>10</v>
      </c>
      <c r="B56" t="s">
        <v>152</v>
      </c>
      <c r="C56" t="s">
        <v>155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152207</v>
      </c>
      <c r="J56" s="31">
        <v>0.22</v>
      </c>
      <c r="K56" s="32">
        <f t="shared" si="5"/>
        <v>38051.75</v>
      </c>
      <c r="L56" s="32">
        <f t="shared" si="6"/>
        <v>8371.3850000000002</v>
      </c>
      <c r="M56" s="32">
        <f t="shared" si="7"/>
        <v>46423.135000000002</v>
      </c>
      <c r="N56" t="s">
        <v>154</v>
      </c>
    </row>
    <row r="57" spans="1:14" x14ac:dyDescent="0.3">
      <c r="A57">
        <v>11</v>
      </c>
      <c r="B57" t="s">
        <v>152</v>
      </c>
      <c r="C57" t="s">
        <v>155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152207</v>
      </c>
      <c r="J57" s="31">
        <v>0.22</v>
      </c>
      <c r="K57" s="32">
        <f t="shared" si="5"/>
        <v>38051.75</v>
      </c>
      <c r="L57" s="32">
        <f t="shared" si="6"/>
        <v>8371.3850000000002</v>
      </c>
      <c r="M57" s="32">
        <f t="shared" si="7"/>
        <v>46423.135000000002</v>
      </c>
      <c r="N57" t="s">
        <v>154</v>
      </c>
    </row>
    <row r="58" spans="1:14" x14ac:dyDescent="0.3">
      <c r="A58">
        <v>12</v>
      </c>
      <c r="B58" t="s">
        <v>152</v>
      </c>
      <c r="C58" t="s">
        <v>155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152207</v>
      </c>
      <c r="J58" s="31">
        <v>0.22</v>
      </c>
      <c r="K58" s="32">
        <f t="shared" si="5"/>
        <v>38051.75</v>
      </c>
      <c r="L58" s="32">
        <f t="shared" si="6"/>
        <v>8371.3850000000002</v>
      </c>
      <c r="M58" s="32">
        <f t="shared" si="7"/>
        <v>46423.135000000002</v>
      </c>
      <c r="N58" t="s">
        <v>154</v>
      </c>
    </row>
    <row r="59" spans="1:14" x14ac:dyDescent="0.3">
      <c r="A59">
        <v>13</v>
      </c>
      <c r="B59" t="s">
        <v>152</v>
      </c>
      <c r="C59" t="s">
        <v>155</v>
      </c>
      <c r="E59" s="28">
        <v>1</v>
      </c>
      <c r="F59" s="28">
        <v>0</v>
      </c>
      <c r="G59" s="29">
        <f t="shared" ref="G59:G86" si="8">E59+F59</f>
        <v>1</v>
      </c>
      <c r="H59" s="29">
        <f t="shared" ref="H59:H86" si="9">(E59+G59)/2</f>
        <v>1</v>
      </c>
      <c r="I59" s="30">
        <v>156774</v>
      </c>
      <c r="J59" s="31">
        <v>0.22</v>
      </c>
      <c r="K59" s="32">
        <f t="shared" ref="K59:K86" si="10">H59*I59/4</f>
        <v>39193.5</v>
      </c>
      <c r="L59" s="32">
        <f t="shared" ref="L59:L86" si="11">K59*J59</f>
        <v>8622.57</v>
      </c>
      <c r="M59" s="32">
        <f t="shared" ref="M59:M86" si="12">K59+L59</f>
        <v>47816.07</v>
      </c>
      <c r="N59" t="s">
        <v>154</v>
      </c>
    </row>
    <row r="60" spans="1:14" x14ac:dyDescent="0.3">
      <c r="A60">
        <v>14</v>
      </c>
      <c r="B60" t="s">
        <v>152</v>
      </c>
      <c r="C60" t="s">
        <v>155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156774</v>
      </c>
      <c r="J60" s="31">
        <v>0.22</v>
      </c>
      <c r="K60" s="32">
        <f t="shared" si="10"/>
        <v>39193.5</v>
      </c>
      <c r="L60" s="32">
        <f t="shared" si="11"/>
        <v>8622.57</v>
      </c>
      <c r="M60" s="32">
        <f t="shared" si="12"/>
        <v>47816.07</v>
      </c>
      <c r="N60" t="s">
        <v>154</v>
      </c>
    </row>
    <row r="61" spans="1:14" x14ac:dyDescent="0.3">
      <c r="A61">
        <v>15</v>
      </c>
      <c r="B61" t="s">
        <v>152</v>
      </c>
      <c r="C61" t="s">
        <v>155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156774</v>
      </c>
      <c r="J61" s="31">
        <v>0.22</v>
      </c>
      <c r="K61" s="32">
        <f t="shared" si="10"/>
        <v>39193.5</v>
      </c>
      <c r="L61" s="32">
        <f t="shared" si="11"/>
        <v>8622.57</v>
      </c>
      <c r="M61" s="32">
        <f t="shared" si="12"/>
        <v>47816.07</v>
      </c>
      <c r="N61" t="s">
        <v>154</v>
      </c>
    </row>
    <row r="62" spans="1:14" x14ac:dyDescent="0.3">
      <c r="A62">
        <v>16</v>
      </c>
      <c r="B62" t="s">
        <v>152</v>
      </c>
      <c r="C62" t="s">
        <v>155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156774</v>
      </c>
      <c r="J62" s="31">
        <v>0.22</v>
      </c>
      <c r="K62" s="32">
        <f t="shared" si="10"/>
        <v>39193.5</v>
      </c>
      <c r="L62" s="32">
        <f t="shared" si="11"/>
        <v>8622.57</v>
      </c>
      <c r="M62" s="32">
        <f t="shared" si="12"/>
        <v>47816.07</v>
      </c>
      <c r="N62" t="s">
        <v>154</v>
      </c>
    </row>
    <row r="63" spans="1:14" x14ac:dyDescent="0.3">
      <c r="A63">
        <v>17</v>
      </c>
      <c r="B63" t="s">
        <v>152</v>
      </c>
      <c r="C63" t="s">
        <v>155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161477</v>
      </c>
      <c r="J63" s="31">
        <v>0.22</v>
      </c>
      <c r="K63" s="32">
        <f t="shared" si="10"/>
        <v>40369.25</v>
      </c>
      <c r="L63" s="32">
        <f t="shared" si="11"/>
        <v>8881.2350000000006</v>
      </c>
      <c r="M63" s="32">
        <f t="shared" si="12"/>
        <v>49250.485000000001</v>
      </c>
      <c r="N63" t="s">
        <v>154</v>
      </c>
    </row>
    <row r="64" spans="1:14" x14ac:dyDescent="0.3">
      <c r="A64">
        <v>18</v>
      </c>
      <c r="B64" t="s">
        <v>152</v>
      </c>
      <c r="C64" t="s">
        <v>155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161477</v>
      </c>
      <c r="J64" s="31">
        <v>0.22</v>
      </c>
      <c r="K64" s="32">
        <f t="shared" si="10"/>
        <v>40369.25</v>
      </c>
      <c r="L64" s="32">
        <f t="shared" si="11"/>
        <v>8881.2350000000006</v>
      </c>
      <c r="M64" s="32">
        <f t="shared" si="12"/>
        <v>49250.485000000001</v>
      </c>
      <c r="N64" t="s">
        <v>154</v>
      </c>
    </row>
    <row r="65" spans="1:14" x14ac:dyDescent="0.3">
      <c r="A65">
        <v>19</v>
      </c>
      <c r="B65" t="s">
        <v>152</v>
      </c>
      <c r="C65" t="s">
        <v>155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161477</v>
      </c>
      <c r="J65" s="31">
        <v>0.22</v>
      </c>
      <c r="K65" s="32">
        <f t="shared" si="10"/>
        <v>40369.25</v>
      </c>
      <c r="L65" s="32">
        <f t="shared" si="11"/>
        <v>8881.2350000000006</v>
      </c>
      <c r="M65" s="32">
        <f t="shared" si="12"/>
        <v>49250.485000000001</v>
      </c>
      <c r="N65" t="s">
        <v>154</v>
      </c>
    </row>
    <row r="66" spans="1:14" x14ac:dyDescent="0.3">
      <c r="A66">
        <v>20</v>
      </c>
      <c r="B66" t="s">
        <v>152</v>
      </c>
      <c r="C66" t="s">
        <v>155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161477</v>
      </c>
      <c r="J66" s="31">
        <v>0.22</v>
      </c>
      <c r="K66" s="32">
        <f t="shared" si="10"/>
        <v>40369.25</v>
      </c>
      <c r="L66" s="32">
        <f t="shared" si="11"/>
        <v>8881.2350000000006</v>
      </c>
      <c r="M66" s="32">
        <f t="shared" si="12"/>
        <v>49250.485000000001</v>
      </c>
      <c r="N66" t="s">
        <v>154</v>
      </c>
    </row>
    <row r="67" spans="1:14" x14ac:dyDescent="0.3">
      <c r="A67">
        <v>1</v>
      </c>
      <c r="B67" t="s">
        <v>156</v>
      </c>
      <c r="C67" t="s">
        <v>157</v>
      </c>
      <c r="D67" t="s">
        <v>157</v>
      </c>
      <c r="E67" s="28">
        <v>1</v>
      </c>
      <c r="F67" s="28">
        <v>0</v>
      </c>
      <c r="G67" s="29">
        <f t="shared" si="8"/>
        <v>1</v>
      </c>
      <c r="H67" s="29">
        <f t="shared" si="9"/>
        <v>1</v>
      </c>
      <c r="I67" s="30">
        <v>89700</v>
      </c>
      <c r="J67" s="31">
        <v>0.25</v>
      </c>
      <c r="K67" s="32">
        <f t="shared" si="10"/>
        <v>22425</v>
      </c>
      <c r="L67" s="32">
        <f t="shared" si="11"/>
        <v>5606.25</v>
      </c>
      <c r="M67" s="32">
        <f t="shared" si="12"/>
        <v>28031.25</v>
      </c>
      <c r="N67" t="s">
        <v>158</v>
      </c>
    </row>
    <row r="68" spans="1:14" x14ac:dyDescent="0.3">
      <c r="A68">
        <v>2</v>
      </c>
      <c r="B68" t="s">
        <v>156</v>
      </c>
      <c r="C68" t="s">
        <v>157</v>
      </c>
      <c r="D68" t="s">
        <v>157</v>
      </c>
      <c r="E68" s="28">
        <v>1</v>
      </c>
      <c r="F68" s="28">
        <v>0</v>
      </c>
      <c r="G68" s="29">
        <f t="shared" si="8"/>
        <v>1</v>
      </c>
      <c r="H68" s="29">
        <f t="shared" si="9"/>
        <v>1</v>
      </c>
      <c r="I68" s="30">
        <v>89700</v>
      </c>
      <c r="J68" s="31">
        <v>0.25</v>
      </c>
      <c r="K68" s="32">
        <f t="shared" si="10"/>
        <v>22425</v>
      </c>
      <c r="L68" s="32">
        <f t="shared" si="11"/>
        <v>5606.25</v>
      </c>
      <c r="M68" s="32">
        <f t="shared" si="12"/>
        <v>28031.25</v>
      </c>
      <c r="N68" t="s">
        <v>158</v>
      </c>
    </row>
    <row r="69" spans="1:14" x14ac:dyDescent="0.3">
      <c r="A69">
        <v>3</v>
      </c>
      <c r="B69" t="s">
        <v>156</v>
      </c>
      <c r="C69" t="s">
        <v>157</v>
      </c>
      <c r="D69" t="s">
        <v>157</v>
      </c>
      <c r="E69" s="28">
        <v>1</v>
      </c>
      <c r="F69" s="28">
        <v>0</v>
      </c>
      <c r="G69" s="29">
        <f t="shared" si="8"/>
        <v>1</v>
      </c>
      <c r="H69" s="29">
        <f t="shared" si="9"/>
        <v>1</v>
      </c>
      <c r="I69" s="30">
        <v>89700</v>
      </c>
      <c r="J69" s="31">
        <v>0.25</v>
      </c>
      <c r="K69" s="32">
        <f t="shared" si="10"/>
        <v>22425</v>
      </c>
      <c r="L69" s="32">
        <f t="shared" si="11"/>
        <v>5606.25</v>
      </c>
      <c r="M69" s="32">
        <f t="shared" si="12"/>
        <v>28031.25</v>
      </c>
      <c r="N69" t="s">
        <v>158</v>
      </c>
    </row>
    <row r="70" spans="1:14" x14ac:dyDescent="0.3">
      <c r="A70">
        <v>4</v>
      </c>
      <c r="B70" t="s">
        <v>156</v>
      </c>
      <c r="C70" t="s">
        <v>157</v>
      </c>
      <c r="D70" t="s">
        <v>157</v>
      </c>
      <c r="E70" s="28">
        <v>1</v>
      </c>
      <c r="F70" s="28">
        <v>0</v>
      </c>
      <c r="G70" s="29">
        <f t="shared" si="8"/>
        <v>1</v>
      </c>
      <c r="H70" s="29">
        <f t="shared" si="9"/>
        <v>1</v>
      </c>
      <c r="I70" s="30">
        <v>89700</v>
      </c>
      <c r="J70" s="31">
        <v>0.25</v>
      </c>
      <c r="K70" s="32">
        <f t="shared" si="10"/>
        <v>22425</v>
      </c>
      <c r="L70" s="32">
        <f t="shared" si="11"/>
        <v>5606.25</v>
      </c>
      <c r="M70" s="32">
        <f t="shared" si="12"/>
        <v>28031.25</v>
      </c>
      <c r="N70" t="s">
        <v>158</v>
      </c>
    </row>
    <row r="71" spans="1:14" x14ac:dyDescent="0.3">
      <c r="A71">
        <v>5</v>
      </c>
      <c r="B71" t="s">
        <v>156</v>
      </c>
      <c r="C71" t="s">
        <v>157</v>
      </c>
      <c r="D71" t="s">
        <v>157</v>
      </c>
      <c r="E71" s="28">
        <v>1</v>
      </c>
      <c r="F71" s="28">
        <v>0</v>
      </c>
      <c r="G71" s="29">
        <f t="shared" si="8"/>
        <v>1</v>
      </c>
      <c r="H71" s="29">
        <f t="shared" si="9"/>
        <v>1</v>
      </c>
      <c r="I71" s="30">
        <v>92391</v>
      </c>
      <c r="J71" s="31">
        <v>0.25</v>
      </c>
      <c r="K71" s="32">
        <f t="shared" si="10"/>
        <v>23097.75</v>
      </c>
      <c r="L71" s="32">
        <f t="shared" si="11"/>
        <v>5774.4375</v>
      </c>
      <c r="M71" s="32">
        <f t="shared" si="12"/>
        <v>28872.1875</v>
      </c>
      <c r="N71" t="s">
        <v>158</v>
      </c>
    </row>
    <row r="72" spans="1:14" x14ac:dyDescent="0.3">
      <c r="A72">
        <v>6</v>
      </c>
      <c r="B72" t="s">
        <v>156</v>
      </c>
      <c r="C72" t="s">
        <v>157</v>
      </c>
      <c r="D72" t="s">
        <v>157</v>
      </c>
      <c r="E72" s="28">
        <v>1</v>
      </c>
      <c r="F72" s="28">
        <v>0</v>
      </c>
      <c r="G72" s="29">
        <f t="shared" si="8"/>
        <v>1</v>
      </c>
      <c r="H72" s="29">
        <f t="shared" si="9"/>
        <v>1</v>
      </c>
      <c r="I72" s="30">
        <v>92391</v>
      </c>
      <c r="J72" s="31">
        <v>0.25</v>
      </c>
      <c r="K72" s="32">
        <f t="shared" si="10"/>
        <v>23097.75</v>
      </c>
      <c r="L72" s="32">
        <f t="shared" si="11"/>
        <v>5774.4375</v>
      </c>
      <c r="M72" s="32">
        <f t="shared" si="12"/>
        <v>28872.1875</v>
      </c>
      <c r="N72" t="s">
        <v>158</v>
      </c>
    </row>
    <row r="73" spans="1:14" x14ac:dyDescent="0.3">
      <c r="A73">
        <v>7</v>
      </c>
      <c r="B73" t="s">
        <v>156</v>
      </c>
      <c r="C73" t="s">
        <v>157</v>
      </c>
      <c r="D73" t="s">
        <v>157</v>
      </c>
      <c r="E73" s="28">
        <v>1</v>
      </c>
      <c r="F73" s="28">
        <v>0</v>
      </c>
      <c r="G73" s="29">
        <f t="shared" si="8"/>
        <v>1</v>
      </c>
      <c r="H73" s="29">
        <f t="shared" si="9"/>
        <v>1</v>
      </c>
      <c r="I73" s="30">
        <v>92391</v>
      </c>
      <c r="J73" s="31">
        <v>0.25</v>
      </c>
      <c r="K73" s="32">
        <f t="shared" si="10"/>
        <v>23097.75</v>
      </c>
      <c r="L73" s="32">
        <f t="shared" si="11"/>
        <v>5774.4375</v>
      </c>
      <c r="M73" s="32">
        <f t="shared" si="12"/>
        <v>28872.1875</v>
      </c>
      <c r="N73" t="s">
        <v>158</v>
      </c>
    </row>
    <row r="74" spans="1:14" x14ac:dyDescent="0.3">
      <c r="A74">
        <v>8</v>
      </c>
      <c r="B74" t="s">
        <v>156</v>
      </c>
      <c r="C74" t="s">
        <v>157</v>
      </c>
      <c r="D74" t="s">
        <v>157</v>
      </c>
      <c r="E74" s="28">
        <v>1</v>
      </c>
      <c r="F74" s="28">
        <v>0</v>
      </c>
      <c r="G74" s="29">
        <f t="shared" si="8"/>
        <v>1</v>
      </c>
      <c r="H74" s="29">
        <f t="shared" si="9"/>
        <v>1</v>
      </c>
      <c r="I74" s="30">
        <v>92391</v>
      </c>
      <c r="J74" s="31">
        <v>0.25</v>
      </c>
      <c r="K74" s="32">
        <f t="shared" si="10"/>
        <v>23097.75</v>
      </c>
      <c r="L74" s="32">
        <f t="shared" si="11"/>
        <v>5774.4375</v>
      </c>
      <c r="M74" s="32">
        <f t="shared" si="12"/>
        <v>28872.1875</v>
      </c>
      <c r="N74" t="s">
        <v>158</v>
      </c>
    </row>
    <row r="75" spans="1:14" x14ac:dyDescent="0.3">
      <c r="A75">
        <v>9</v>
      </c>
      <c r="B75" t="s">
        <v>156</v>
      </c>
      <c r="C75" t="s">
        <v>157</v>
      </c>
      <c r="D75" t="s">
        <v>157</v>
      </c>
      <c r="E75" s="28">
        <v>1</v>
      </c>
      <c r="F75" s="28">
        <v>0</v>
      </c>
      <c r="G75" s="29">
        <f t="shared" si="8"/>
        <v>1</v>
      </c>
      <c r="H75" s="29">
        <f t="shared" si="9"/>
        <v>1</v>
      </c>
      <c r="I75" s="30">
        <v>95163</v>
      </c>
      <c r="J75" s="31">
        <v>0.25</v>
      </c>
      <c r="K75" s="32">
        <f t="shared" si="10"/>
        <v>23790.75</v>
      </c>
      <c r="L75" s="32">
        <f t="shared" si="11"/>
        <v>5947.6875</v>
      </c>
      <c r="M75" s="32">
        <f t="shared" si="12"/>
        <v>29738.4375</v>
      </c>
      <c r="N75" t="s">
        <v>158</v>
      </c>
    </row>
    <row r="76" spans="1:14" x14ac:dyDescent="0.3">
      <c r="A76">
        <v>10</v>
      </c>
      <c r="B76" t="s">
        <v>156</v>
      </c>
      <c r="C76" t="s">
        <v>157</v>
      </c>
      <c r="D76" t="s">
        <v>157</v>
      </c>
      <c r="E76" s="28">
        <v>1</v>
      </c>
      <c r="F76" s="28">
        <v>0</v>
      </c>
      <c r="G76" s="29">
        <f t="shared" si="8"/>
        <v>1</v>
      </c>
      <c r="H76" s="29">
        <f t="shared" si="9"/>
        <v>1</v>
      </c>
      <c r="I76" s="30">
        <v>95163</v>
      </c>
      <c r="J76" s="31">
        <v>0.25</v>
      </c>
      <c r="K76" s="32">
        <f t="shared" si="10"/>
        <v>23790.75</v>
      </c>
      <c r="L76" s="32">
        <f t="shared" si="11"/>
        <v>5947.6875</v>
      </c>
      <c r="M76" s="32">
        <f t="shared" si="12"/>
        <v>29738.4375</v>
      </c>
      <c r="N76" t="s">
        <v>158</v>
      </c>
    </row>
    <row r="77" spans="1:14" x14ac:dyDescent="0.3">
      <c r="A77">
        <v>11</v>
      </c>
      <c r="B77" t="s">
        <v>156</v>
      </c>
      <c r="C77" t="s">
        <v>157</v>
      </c>
      <c r="D77" t="s">
        <v>157</v>
      </c>
      <c r="E77" s="28">
        <v>1</v>
      </c>
      <c r="F77" s="28">
        <v>0</v>
      </c>
      <c r="G77" s="29">
        <f t="shared" si="8"/>
        <v>1</v>
      </c>
      <c r="H77" s="29">
        <f t="shared" si="9"/>
        <v>1</v>
      </c>
      <c r="I77" s="30">
        <v>95163</v>
      </c>
      <c r="J77" s="31">
        <v>0.25</v>
      </c>
      <c r="K77" s="32">
        <f t="shared" si="10"/>
        <v>23790.75</v>
      </c>
      <c r="L77" s="32">
        <f t="shared" si="11"/>
        <v>5947.6875</v>
      </c>
      <c r="M77" s="32">
        <f t="shared" si="12"/>
        <v>29738.4375</v>
      </c>
      <c r="N77" t="s">
        <v>158</v>
      </c>
    </row>
    <row r="78" spans="1:14" x14ac:dyDescent="0.3">
      <c r="A78">
        <v>12</v>
      </c>
      <c r="B78" t="s">
        <v>156</v>
      </c>
      <c r="C78" t="s">
        <v>157</v>
      </c>
      <c r="D78" t="s">
        <v>157</v>
      </c>
      <c r="E78" s="28">
        <v>1</v>
      </c>
      <c r="F78" s="28">
        <v>0</v>
      </c>
      <c r="G78" s="29">
        <f t="shared" si="8"/>
        <v>1</v>
      </c>
      <c r="H78" s="29">
        <f t="shared" si="9"/>
        <v>1</v>
      </c>
      <c r="I78" s="30">
        <v>95163</v>
      </c>
      <c r="J78" s="31">
        <v>0.25</v>
      </c>
      <c r="K78" s="32">
        <f t="shared" si="10"/>
        <v>23790.75</v>
      </c>
      <c r="L78" s="32">
        <f t="shared" si="11"/>
        <v>5947.6875</v>
      </c>
      <c r="M78" s="32">
        <f t="shared" si="12"/>
        <v>29738.4375</v>
      </c>
      <c r="N78" t="s">
        <v>158</v>
      </c>
    </row>
    <row r="79" spans="1:14" x14ac:dyDescent="0.3">
      <c r="A79">
        <v>13</v>
      </c>
      <c r="B79" t="s">
        <v>156</v>
      </c>
      <c r="C79" t="s">
        <v>157</v>
      </c>
      <c r="D79" t="s">
        <v>157</v>
      </c>
      <c r="E79" s="28">
        <v>1</v>
      </c>
      <c r="F79" s="28">
        <v>0</v>
      </c>
      <c r="G79" s="29">
        <f t="shared" si="8"/>
        <v>1</v>
      </c>
      <c r="H79" s="29">
        <f t="shared" si="9"/>
        <v>1</v>
      </c>
      <c r="I79" s="30">
        <v>98018</v>
      </c>
      <c r="J79" s="31">
        <v>0.25</v>
      </c>
      <c r="K79" s="32">
        <f t="shared" si="10"/>
        <v>24504.5</v>
      </c>
      <c r="L79" s="32">
        <f t="shared" si="11"/>
        <v>6126.125</v>
      </c>
      <c r="M79" s="32">
        <f t="shared" si="12"/>
        <v>30630.625</v>
      </c>
      <c r="N79" t="s">
        <v>158</v>
      </c>
    </row>
    <row r="80" spans="1:14" x14ac:dyDescent="0.3">
      <c r="A80">
        <v>14</v>
      </c>
      <c r="B80" t="s">
        <v>156</v>
      </c>
      <c r="C80" t="s">
        <v>157</v>
      </c>
      <c r="D80" t="s">
        <v>157</v>
      </c>
      <c r="E80" s="28">
        <v>1</v>
      </c>
      <c r="F80" s="28">
        <v>0</v>
      </c>
      <c r="G80" s="29">
        <f t="shared" si="8"/>
        <v>1</v>
      </c>
      <c r="H80" s="29">
        <f t="shared" si="9"/>
        <v>1</v>
      </c>
      <c r="I80" s="30">
        <v>98018</v>
      </c>
      <c r="J80" s="31">
        <v>0.25</v>
      </c>
      <c r="K80" s="32">
        <f t="shared" si="10"/>
        <v>24504.5</v>
      </c>
      <c r="L80" s="32">
        <f t="shared" si="11"/>
        <v>6126.125</v>
      </c>
      <c r="M80" s="32">
        <f t="shared" si="12"/>
        <v>30630.625</v>
      </c>
      <c r="N80" t="s">
        <v>158</v>
      </c>
    </row>
    <row r="81" spans="1:14" x14ac:dyDescent="0.3">
      <c r="A81">
        <v>15</v>
      </c>
      <c r="B81" t="s">
        <v>156</v>
      </c>
      <c r="C81" t="s">
        <v>157</v>
      </c>
      <c r="D81" t="s">
        <v>157</v>
      </c>
      <c r="E81" s="28">
        <v>1</v>
      </c>
      <c r="F81" s="28">
        <v>0</v>
      </c>
      <c r="G81" s="29">
        <f t="shared" si="8"/>
        <v>1</v>
      </c>
      <c r="H81" s="29">
        <f t="shared" si="9"/>
        <v>1</v>
      </c>
      <c r="I81" s="30">
        <v>98018</v>
      </c>
      <c r="J81" s="31">
        <v>0.25</v>
      </c>
      <c r="K81" s="32">
        <f t="shared" si="10"/>
        <v>24504.5</v>
      </c>
      <c r="L81" s="32">
        <f t="shared" si="11"/>
        <v>6126.125</v>
      </c>
      <c r="M81" s="32">
        <f t="shared" si="12"/>
        <v>30630.625</v>
      </c>
      <c r="N81" t="s">
        <v>158</v>
      </c>
    </row>
    <row r="82" spans="1:14" x14ac:dyDescent="0.3">
      <c r="A82">
        <v>16</v>
      </c>
      <c r="B82" t="s">
        <v>156</v>
      </c>
      <c r="C82" t="s">
        <v>157</v>
      </c>
      <c r="D82" t="s">
        <v>157</v>
      </c>
      <c r="E82" s="28">
        <v>1</v>
      </c>
      <c r="F82" s="28">
        <v>0</v>
      </c>
      <c r="G82" s="29">
        <f t="shared" si="8"/>
        <v>1</v>
      </c>
      <c r="H82" s="29">
        <f t="shared" si="9"/>
        <v>1</v>
      </c>
      <c r="I82" s="30">
        <v>98018</v>
      </c>
      <c r="J82" s="31">
        <v>0.25</v>
      </c>
      <c r="K82" s="32">
        <f t="shared" si="10"/>
        <v>24504.5</v>
      </c>
      <c r="L82" s="32">
        <f t="shared" si="11"/>
        <v>6126.125</v>
      </c>
      <c r="M82" s="32">
        <f t="shared" si="12"/>
        <v>30630.625</v>
      </c>
      <c r="N82" t="s">
        <v>158</v>
      </c>
    </row>
    <row r="83" spans="1:14" x14ac:dyDescent="0.3">
      <c r="A83">
        <v>17</v>
      </c>
      <c r="B83" t="s">
        <v>156</v>
      </c>
      <c r="C83" t="s">
        <v>157</v>
      </c>
      <c r="D83" t="s">
        <v>157</v>
      </c>
      <c r="E83" s="28">
        <v>1</v>
      </c>
      <c r="F83" s="28">
        <v>0</v>
      </c>
      <c r="G83" s="29">
        <f t="shared" si="8"/>
        <v>1</v>
      </c>
      <c r="H83" s="29">
        <f t="shared" si="9"/>
        <v>1</v>
      </c>
      <c r="I83" s="30">
        <v>100958</v>
      </c>
      <c r="J83" s="31">
        <v>0.25</v>
      </c>
      <c r="K83" s="32">
        <f t="shared" si="10"/>
        <v>25239.5</v>
      </c>
      <c r="L83" s="32">
        <f t="shared" si="11"/>
        <v>6309.875</v>
      </c>
      <c r="M83" s="32">
        <f t="shared" si="12"/>
        <v>31549.375</v>
      </c>
      <c r="N83" t="s">
        <v>158</v>
      </c>
    </row>
    <row r="84" spans="1:14" x14ac:dyDescent="0.3">
      <c r="A84">
        <v>18</v>
      </c>
      <c r="B84" t="s">
        <v>156</v>
      </c>
      <c r="C84" t="s">
        <v>157</v>
      </c>
      <c r="D84" t="s">
        <v>157</v>
      </c>
      <c r="E84" s="28">
        <v>1</v>
      </c>
      <c r="F84" s="28">
        <v>0</v>
      </c>
      <c r="G84" s="29">
        <f t="shared" si="8"/>
        <v>1</v>
      </c>
      <c r="H84" s="29">
        <f t="shared" si="9"/>
        <v>1</v>
      </c>
      <c r="I84" s="30">
        <v>100958</v>
      </c>
      <c r="J84" s="31">
        <v>0.25</v>
      </c>
      <c r="K84" s="32">
        <f t="shared" si="10"/>
        <v>25239.5</v>
      </c>
      <c r="L84" s="32">
        <f t="shared" si="11"/>
        <v>6309.875</v>
      </c>
      <c r="M84" s="32">
        <f t="shared" si="12"/>
        <v>31549.375</v>
      </c>
      <c r="N84" t="s">
        <v>158</v>
      </c>
    </row>
    <row r="85" spans="1:14" x14ac:dyDescent="0.3">
      <c r="A85">
        <v>19</v>
      </c>
      <c r="B85" t="s">
        <v>156</v>
      </c>
      <c r="C85" t="s">
        <v>157</v>
      </c>
      <c r="D85" t="s">
        <v>157</v>
      </c>
      <c r="E85" s="28">
        <v>1</v>
      </c>
      <c r="F85" s="28">
        <v>0</v>
      </c>
      <c r="G85" s="29">
        <f t="shared" si="8"/>
        <v>1</v>
      </c>
      <c r="H85" s="29">
        <f t="shared" si="9"/>
        <v>1</v>
      </c>
      <c r="I85" s="30">
        <v>100958</v>
      </c>
      <c r="J85" s="31">
        <v>0.25</v>
      </c>
      <c r="K85" s="32">
        <f t="shared" si="10"/>
        <v>25239.5</v>
      </c>
      <c r="L85" s="32">
        <f t="shared" si="11"/>
        <v>6309.875</v>
      </c>
      <c r="M85" s="32">
        <f t="shared" si="12"/>
        <v>31549.375</v>
      </c>
      <c r="N85" t="s">
        <v>158</v>
      </c>
    </row>
    <row r="86" spans="1:14" x14ac:dyDescent="0.3">
      <c r="A86">
        <v>20</v>
      </c>
      <c r="B86" t="s">
        <v>156</v>
      </c>
      <c r="C86" t="s">
        <v>157</v>
      </c>
      <c r="D86" t="s">
        <v>157</v>
      </c>
      <c r="E86" s="28">
        <v>1</v>
      </c>
      <c r="F86" s="28">
        <v>0</v>
      </c>
      <c r="G86" s="29">
        <f t="shared" si="8"/>
        <v>1</v>
      </c>
      <c r="H86" s="29">
        <f t="shared" si="9"/>
        <v>1</v>
      </c>
      <c r="I86" s="30">
        <v>100958</v>
      </c>
      <c r="J86" s="31">
        <v>0.25</v>
      </c>
      <c r="K86" s="32">
        <f t="shared" si="10"/>
        <v>25239.5</v>
      </c>
      <c r="L86" s="32">
        <f t="shared" si="11"/>
        <v>6309.875</v>
      </c>
      <c r="M86" s="32">
        <f t="shared" si="12"/>
        <v>31549.375</v>
      </c>
      <c r="N86" t="s">
        <v>158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159</v>
      </c>
    </row>
    <row r="2" spans="1:28" x14ac:dyDescent="0.3">
      <c r="A2" s="2" t="s">
        <v>160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161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162</v>
      </c>
      <c r="B7" s="7" t="s">
        <v>163</v>
      </c>
      <c r="C7" s="11">
        <v>0</v>
      </c>
      <c r="D7" s="11">
        <f t="shared" ref="D7:W7" si="0">C11</f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1">
        <f t="shared" si="0"/>
        <v>0</v>
      </c>
      <c r="T7" s="11">
        <f t="shared" si="0"/>
        <v>0</v>
      </c>
      <c r="U7" s="11">
        <f t="shared" si="0"/>
        <v>0</v>
      </c>
      <c r="V7" s="11">
        <f t="shared" si="0"/>
        <v>0</v>
      </c>
      <c r="W7" s="11">
        <f t="shared" si="0"/>
        <v>0</v>
      </c>
      <c r="X7" s="11">
        <f>G7</f>
        <v>0</v>
      </c>
      <c r="Y7" s="11">
        <f>K7</f>
        <v>0</v>
      </c>
      <c r="Z7" s="11">
        <f>O7</f>
        <v>0</v>
      </c>
      <c r="AA7" s="11">
        <f>S7</f>
        <v>0</v>
      </c>
      <c r="AB7" s="11">
        <f>W7</f>
        <v>0</v>
      </c>
    </row>
    <row r="8" spans="1:28" x14ac:dyDescent="0.3">
      <c r="A8" s="7" t="s">
        <v>164</v>
      </c>
      <c r="B8" s="7" t="s">
        <v>165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166</v>
      </c>
      <c r="B9" s="7" t="s">
        <v>167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33" t="s">
        <v>168</v>
      </c>
      <c r="B10" s="33" t="s">
        <v>169</v>
      </c>
      <c r="C10" s="34">
        <f t="shared" ref="C10:W10" si="1">MIN(C9,C7+C8)</f>
        <v>0</v>
      </c>
      <c r="D10" s="34">
        <f t="shared" si="1"/>
        <v>0</v>
      </c>
      <c r="E10" s="34">
        <f t="shared" si="1"/>
        <v>0</v>
      </c>
      <c r="F10" s="34">
        <f t="shared" si="1"/>
        <v>0</v>
      </c>
      <c r="G10" s="34">
        <f t="shared" si="1"/>
        <v>0</v>
      </c>
      <c r="H10" s="34">
        <f t="shared" si="1"/>
        <v>0</v>
      </c>
      <c r="I10" s="34">
        <f t="shared" si="1"/>
        <v>0</v>
      </c>
      <c r="J10" s="34">
        <f t="shared" si="1"/>
        <v>0</v>
      </c>
      <c r="K10" s="34">
        <f t="shared" si="1"/>
        <v>0</v>
      </c>
      <c r="L10" s="34">
        <f t="shared" si="1"/>
        <v>0</v>
      </c>
      <c r="M10" s="34">
        <f t="shared" si="1"/>
        <v>0</v>
      </c>
      <c r="N10" s="34">
        <f t="shared" si="1"/>
        <v>0</v>
      </c>
      <c r="O10" s="34">
        <f t="shared" si="1"/>
        <v>0</v>
      </c>
      <c r="P10" s="34">
        <f t="shared" si="1"/>
        <v>0</v>
      </c>
      <c r="Q10" s="34">
        <f t="shared" si="1"/>
        <v>0</v>
      </c>
      <c r="R10" s="34">
        <f t="shared" si="1"/>
        <v>0</v>
      </c>
      <c r="S10" s="34">
        <f t="shared" si="1"/>
        <v>0</v>
      </c>
      <c r="T10" s="34">
        <f t="shared" si="1"/>
        <v>0</v>
      </c>
      <c r="U10" s="34">
        <f t="shared" si="1"/>
        <v>0</v>
      </c>
      <c r="V10" s="34">
        <f t="shared" si="1"/>
        <v>0</v>
      </c>
      <c r="W10" s="34">
        <f t="shared" si="1"/>
        <v>0</v>
      </c>
      <c r="X10" s="34">
        <f>SUM(D10:G10)</f>
        <v>0</v>
      </c>
      <c r="Y10" s="34">
        <f>SUM(H10:K10)</f>
        <v>0</v>
      </c>
      <c r="Z10" s="34">
        <f>SUM(L10:O10)</f>
        <v>0</v>
      </c>
      <c r="AA10" s="34">
        <f>SUM(P10:S10)</f>
        <v>0</v>
      </c>
      <c r="AB10" s="34">
        <f>SUM(T10:W10)</f>
        <v>0</v>
      </c>
    </row>
    <row r="11" spans="1:28" x14ac:dyDescent="0.3">
      <c r="A11" s="23" t="s">
        <v>170</v>
      </c>
      <c r="B11" s="23" t="s">
        <v>163</v>
      </c>
      <c r="C11" s="24">
        <f t="shared" ref="C11:W11" si="2">MAX(0,C7+C8-C10)</f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24">
        <f t="shared" si="2"/>
        <v>0</v>
      </c>
      <c r="O11" s="24">
        <f t="shared" si="2"/>
        <v>0</v>
      </c>
      <c r="P11" s="24">
        <f t="shared" si="2"/>
        <v>0</v>
      </c>
      <c r="Q11" s="24">
        <f t="shared" si="2"/>
        <v>0</v>
      </c>
      <c r="R11" s="24">
        <f t="shared" si="2"/>
        <v>0</v>
      </c>
      <c r="S11" s="24">
        <f t="shared" si="2"/>
        <v>0</v>
      </c>
      <c r="T11" s="24">
        <f t="shared" si="2"/>
        <v>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>G11</f>
        <v>0</v>
      </c>
      <c r="Y11" s="24">
        <f>K11</f>
        <v>0</v>
      </c>
      <c r="Z11" s="24">
        <f>O11</f>
        <v>0</v>
      </c>
      <c r="AA11" s="24">
        <f>S11</f>
        <v>0</v>
      </c>
      <c r="AB11" s="24">
        <f>W11</f>
        <v>0</v>
      </c>
    </row>
    <row r="12" spans="1:28" x14ac:dyDescent="0.3">
      <c r="A12" s="7" t="s">
        <v>171</v>
      </c>
      <c r="B12" s="7" t="s">
        <v>172</v>
      </c>
      <c r="C12" s="12">
        <v>0</v>
      </c>
      <c r="D12" s="12">
        <v>2.3813000000000001E-2</v>
      </c>
      <c r="E12" s="12">
        <v>2.3813000000000001E-2</v>
      </c>
      <c r="F12" s="12">
        <v>2.3813000000000001E-2</v>
      </c>
      <c r="G12" s="12">
        <v>2.3813000000000001E-2</v>
      </c>
      <c r="H12" s="12">
        <v>2.3813000000000001E-2</v>
      </c>
      <c r="I12" s="12">
        <v>2.3813000000000001E-2</v>
      </c>
      <c r="J12" s="12">
        <v>2.3813000000000001E-2</v>
      </c>
      <c r="K12" s="12">
        <v>2.3813000000000001E-2</v>
      </c>
      <c r="L12" s="12">
        <v>2.3813000000000001E-2</v>
      </c>
      <c r="M12" s="12">
        <v>2.3813000000000001E-2</v>
      </c>
      <c r="N12" s="12">
        <v>2.3813000000000001E-2</v>
      </c>
      <c r="O12" s="12">
        <v>2.3813000000000001E-2</v>
      </c>
      <c r="P12" s="12">
        <v>2.3813000000000001E-2</v>
      </c>
      <c r="Q12" s="12">
        <v>2.3813000000000001E-2</v>
      </c>
      <c r="R12" s="12">
        <v>2.3813000000000001E-2</v>
      </c>
      <c r="S12" s="12">
        <v>2.3813000000000001E-2</v>
      </c>
      <c r="T12" s="12">
        <v>2.3813000000000001E-2</v>
      </c>
      <c r="U12" s="12">
        <v>2.3813000000000001E-2</v>
      </c>
      <c r="V12" s="12">
        <v>2.3813000000000001E-2</v>
      </c>
      <c r="W12" s="12">
        <v>2.3813000000000001E-2</v>
      </c>
      <c r="X12" s="13">
        <f>SUM(D12:G12)</f>
        <v>9.5252000000000003E-2</v>
      </c>
      <c r="Y12" s="13">
        <f>SUM(H12:K12)</f>
        <v>9.5252000000000003E-2</v>
      </c>
      <c r="Z12" s="13">
        <f>SUM(L12:O12)</f>
        <v>9.5252000000000003E-2</v>
      </c>
      <c r="AA12" s="13">
        <f>SUM(P12:S12)</f>
        <v>9.5252000000000003E-2</v>
      </c>
      <c r="AB12" s="13">
        <f>SUM(T12:W12)</f>
        <v>9.5252000000000003E-2</v>
      </c>
    </row>
    <row r="13" spans="1:28" x14ac:dyDescent="0.3">
      <c r="A13" s="23" t="s">
        <v>173</v>
      </c>
      <c r="B13" s="23" t="s">
        <v>174</v>
      </c>
      <c r="C13" s="24">
        <f t="shared" ref="C13:W13" si="3">((C7+C11)/2)*C12</f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24">
        <f t="shared" si="3"/>
        <v>0</v>
      </c>
      <c r="O13" s="24">
        <f t="shared" si="3"/>
        <v>0</v>
      </c>
      <c r="P13" s="24">
        <f t="shared" si="3"/>
        <v>0</v>
      </c>
      <c r="Q13" s="24">
        <f t="shared" si="3"/>
        <v>0</v>
      </c>
      <c r="R13" s="24">
        <f t="shared" si="3"/>
        <v>0</v>
      </c>
      <c r="S13" s="24">
        <f t="shared" si="3"/>
        <v>0</v>
      </c>
      <c r="T13" s="24">
        <f t="shared" si="3"/>
        <v>0</v>
      </c>
      <c r="U13" s="24">
        <f t="shared" si="3"/>
        <v>0</v>
      </c>
      <c r="V13" s="24">
        <f t="shared" si="3"/>
        <v>0</v>
      </c>
      <c r="W13" s="24">
        <f t="shared" si="3"/>
        <v>0</v>
      </c>
      <c r="X13" s="24">
        <f>SUM(D13:G13)</f>
        <v>0</v>
      </c>
      <c r="Y13" s="24">
        <f>SUM(H13:K13)</f>
        <v>0</v>
      </c>
      <c r="Z13" s="24">
        <f>SUM(L13:O13)</f>
        <v>0</v>
      </c>
      <c r="AA13" s="24">
        <f>SUM(P13:S13)</f>
        <v>0</v>
      </c>
      <c r="AB13" s="24">
        <f>SUM(T13:W13)</f>
        <v>0</v>
      </c>
    </row>
    <row r="14" spans="1:28" x14ac:dyDescent="0.3">
      <c r="A14" s="7" t="s">
        <v>175</v>
      </c>
      <c r="B14" s="7" t="s">
        <v>176</v>
      </c>
      <c r="C14" s="11">
        <f t="shared" ref="C14:W14" si="4">C13+C10</f>
        <v>0</v>
      </c>
      <c r="D14" s="11">
        <f t="shared" si="4"/>
        <v>0</v>
      </c>
      <c r="E14" s="11">
        <f t="shared" si="4"/>
        <v>0</v>
      </c>
      <c r="F14" s="11">
        <f t="shared" si="4"/>
        <v>0</v>
      </c>
      <c r="G14" s="11">
        <f t="shared" si="4"/>
        <v>0</v>
      </c>
      <c r="H14" s="11">
        <f t="shared" si="4"/>
        <v>0</v>
      </c>
      <c r="I14" s="11">
        <f t="shared" si="4"/>
        <v>0</v>
      </c>
      <c r="J14" s="11">
        <f t="shared" si="4"/>
        <v>0</v>
      </c>
      <c r="K14" s="11">
        <f t="shared" si="4"/>
        <v>0</v>
      </c>
      <c r="L14" s="11">
        <f t="shared" si="4"/>
        <v>0</v>
      </c>
      <c r="M14" s="11">
        <f t="shared" si="4"/>
        <v>0</v>
      </c>
      <c r="N14" s="11">
        <f t="shared" si="4"/>
        <v>0</v>
      </c>
      <c r="O14" s="11">
        <f t="shared" si="4"/>
        <v>0</v>
      </c>
      <c r="P14" s="11">
        <f t="shared" si="4"/>
        <v>0</v>
      </c>
      <c r="Q14" s="11">
        <f t="shared" si="4"/>
        <v>0</v>
      </c>
      <c r="R14" s="11">
        <f t="shared" si="4"/>
        <v>0</v>
      </c>
      <c r="S14" s="11">
        <f t="shared" si="4"/>
        <v>0</v>
      </c>
      <c r="T14" s="11">
        <f t="shared" si="4"/>
        <v>0</v>
      </c>
      <c r="U14" s="11">
        <f t="shared" si="4"/>
        <v>0</v>
      </c>
      <c r="V14" s="11">
        <f t="shared" si="4"/>
        <v>0</v>
      </c>
      <c r="W14" s="11">
        <f t="shared" si="4"/>
        <v>0</v>
      </c>
      <c r="X14" s="11">
        <f>SUM(D14:G14)</f>
        <v>0</v>
      </c>
      <c r="Y14" s="11">
        <f>SUM(H14:K14)</f>
        <v>0</v>
      </c>
      <c r="Z14" s="11">
        <f>SUM(L14:O14)</f>
        <v>0</v>
      </c>
      <c r="AA14" s="11">
        <f>SUM(P14:S14)</f>
        <v>0</v>
      </c>
      <c r="AB14" s="11">
        <f>SUM(T14:W14)</f>
        <v>0</v>
      </c>
    </row>
    <row r="17" spans="1:28" x14ac:dyDescent="0.3">
      <c r="A17" s="51" t="s">
        <v>177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spans="1:28" x14ac:dyDescent="0.3">
      <c r="A18" s="20" t="s">
        <v>178</v>
      </c>
      <c r="B18" s="20" t="s">
        <v>179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180</v>
      </c>
      <c r="B19" s="20" t="s">
        <v>179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f>SUM(D19:G19)</f>
        <v>0</v>
      </c>
      <c r="Y19" s="25">
        <f>SUM(H19:K19)</f>
        <v>0</v>
      </c>
      <c r="Z19" s="25">
        <f>SUM(L19:O19)</f>
        <v>0</v>
      </c>
      <c r="AA19" s="25">
        <f>SUM(P19:S19)</f>
        <v>0</v>
      </c>
      <c r="AB19" s="25">
        <f>SUM(T19:W19)</f>
        <v>0</v>
      </c>
    </row>
    <row r="20" spans="1:28" x14ac:dyDescent="0.3">
      <c r="A20" s="20" t="s">
        <v>181</v>
      </c>
      <c r="B20" s="20" t="s">
        <v>179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182</v>
      </c>
      <c r="B21" s="20" t="s">
        <v>179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183</v>
      </c>
      <c r="B22" s="20" t="s">
        <v>179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184</v>
      </c>
      <c r="B23" s="20" t="s">
        <v>179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185</v>
      </c>
      <c r="B24" s="20" t="s">
        <v>179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186</v>
      </c>
      <c r="B25" s="20" t="s">
        <v>179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187</v>
      </c>
      <c r="B26" s="20" t="s">
        <v>179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188</v>
      </c>
    </row>
    <row r="2" spans="1:28" x14ac:dyDescent="0.3">
      <c r="A2" s="2" t="s">
        <v>189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190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191</v>
      </c>
      <c r="B7" s="7" t="s">
        <v>163</v>
      </c>
      <c r="C7" s="11">
        <v>40000</v>
      </c>
      <c r="D7" s="11">
        <f t="shared" ref="D7:W7" si="0">C12</f>
        <v>40000</v>
      </c>
      <c r="E7" s="11">
        <f t="shared" si="0"/>
        <v>40190</v>
      </c>
      <c r="F7" s="11">
        <f t="shared" si="0"/>
        <v>40370.895189999996</v>
      </c>
      <c r="G7" s="11">
        <f t="shared" si="0"/>
        <v>40542.592607293067</v>
      </c>
      <c r="H7" s="11">
        <f t="shared" si="0"/>
        <v>40705.046775834024</v>
      </c>
      <c r="I7" s="11">
        <f t="shared" si="0"/>
        <v>40858.138456878769</v>
      </c>
      <c r="J7" s="11">
        <f t="shared" si="0"/>
        <v>41001.754813270309</v>
      </c>
      <c r="K7" s="11">
        <f t="shared" si="0"/>
        <v>41135.830551443352</v>
      </c>
      <c r="L7" s="11">
        <f t="shared" si="0"/>
        <v>41260.307574934799</v>
      </c>
      <c r="M7" s="11">
        <f t="shared" si="0"/>
        <v>41375.093750733591</v>
      </c>
      <c r="N7" s="11">
        <f t="shared" si="0"/>
        <v>41480.103738919286</v>
      </c>
      <c r="O7" s="11">
        <f t="shared" si="0"/>
        <v>41575.259097201772</v>
      </c>
      <c r="P7" s="11">
        <f t="shared" si="0"/>
        <v>41660.529953124125</v>
      </c>
      <c r="Q7" s="11">
        <f t="shared" si="0"/>
        <v>41735.810530983799</v>
      </c>
      <c r="R7" s="11">
        <f t="shared" si="0"/>
        <v>41801.001867378276</v>
      </c>
      <c r="S7" s="11">
        <f t="shared" si="0"/>
        <v>41856.09558750259</v>
      </c>
      <c r="T7" s="11">
        <f t="shared" si="0"/>
        <v>41901.007178130465</v>
      </c>
      <c r="U7" s="11">
        <f t="shared" si="0"/>
        <v>41935.659311176132</v>
      </c>
      <c r="V7" s="11">
        <f t="shared" si="0"/>
        <v>41959.981994020731</v>
      </c>
      <c r="W7" s="11">
        <f t="shared" si="0"/>
        <v>41973.954668054641</v>
      </c>
      <c r="X7" s="11">
        <f>G7</f>
        <v>40542.592607293067</v>
      </c>
      <c r="Y7" s="11">
        <f>K7</f>
        <v>41135.830551443352</v>
      </c>
      <c r="Z7" s="11">
        <f>O7</f>
        <v>41575.259097201772</v>
      </c>
      <c r="AA7" s="11">
        <f>S7</f>
        <v>41856.09558750259</v>
      </c>
      <c r="AB7" s="11">
        <f>W7</f>
        <v>41973.954668054641</v>
      </c>
    </row>
    <row r="8" spans="1:28" x14ac:dyDescent="0.3">
      <c r="A8" s="33" t="s">
        <v>72</v>
      </c>
      <c r="B8" s="33" t="s">
        <v>192</v>
      </c>
      <c r="C8" s="34">
        <v>0</v>
      </c>
      <c r="D8" s="34">
        <v>200</v>
      </c>
      <c r="E8" s="34">
        <v>200.95</v>
      </c>
      <c r="F8" s="34">
        <v>201.85447600000001</v>
      </c>
      <c r="G8" s="34">
        <v>202.712963</v>
      </c>
      <c r="H8" s="34">
        <v>203.52523400000001</v>
      </c>
      <c r="I8" s="34">
        <v>204.29069200000001</v>
      </c>
      <c r="J8" s="34">
        <v>205.00877399999999</v>
      </c>
      <c r="K8" s="34">
        <v>205.67915300000001</v>
      </c>
      <c r="L8" s="34">
        <v>206.30153799999999</v>
      </c>
      <c r="M8" s="34">
        <v>206.87546900000001</v>
      </c>
      <c r="N8" s="34">
        <v>207.400519</v>
      </c>
      <c r="O8" s="34">
        <v>207.876295</v>
      </c>
      <c r="P8" s="34">
        <v>208.30265</v>
      </c>
      <c r="Q8" s="34">
        <v>208.67905300000001</v>
      </c>
      <c r="R8" s="34">
        <v>209.005009</v>
      </c>
      <c r="S8" s="34">
        <v>209.28047799999999</v>
      </c>
      <c r="T8" s="34">
        <v>209.50503599999999</v>
      </c>
      <c r="U8" s="34">
        <v>209.67829699999999</v>
      </c>
      <c r="V8" s="34">
        <v>209.79991000000001</v>
      </c>
      <c r="W8" s="34">
        <v>209.86977300000001</v>
      </c>
      <c r="X8" s="34">
        <f>SUM(D8:G8)</f>
        <v>805.51743899999997</v>
      </c>
      <c r="Y8" s="34">
        <f>SUM(H8:K8)</f>
        <v>818.50385300000005</v>
      </c>
      <c r="Z8" s="34">
        <f>SUM(L8:O8)</f>
        <v>828.45382100000006</v>
      </c>
      <c r="AA8" s="34">
        <f>SUM(P8:S8)</f>
        <v>835.26719000000003</v>
      </c>
      <c r="AB8" s="34">
        <f>SUM(T8:W8)</f>
        <v>838.85301599999991</v>
      </c>
    </row>
    <row r="9" spans="1:28" x14ac:dyDescent="0.3">
      <c r="A9" s="7" t="s">
        <v>193</v>
      </c>
      <c r="B9" s="7" t="s">
        <v>192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194</v>
      </c>
      <c r="B10" s="7" t="s">
        <v>192</v>
      </c>
      <c r="C10" s="12">
        <v>0</v>
      </c>
      <c r="D10" s="12">
        <v>2.5000000000000001E-4</v>
      </c>
      <c r="E10" s="12">
        <v>4.9899999999999999E-4</v>
      </c>
      <c r="F10" s="12">
        <v>7.4700000000000005E-4</v>
      </c>
      <c r="G10" s="12">
        <v>9.9299999999999996E-4</v>
      </c>
      <c r="H10" s="12">
        <v>1.2390000000000001E-3</v>
      </c>
      <c r="I10" s="12">
        <v>1.485E-3</v>
      </c>
      <c r="J10" s="12">
        <v>1.73E-3</v>
      </c>
      <c r="K10" s="12">
        <v>1.9740000000000001E-3</v>
      </c>
      <c r="L10" s="12">
        <v>2.2179999999999999E-3</v>
      </c>
      <c r="M10" s="12">
        <v>2.4620000000000002E-3</v>
      </c>
      <c r="N10" s="12">
        <v>2.7060000000000001E-3</v>
      </c>
      <c r="O10" s="12">
        <v>2.9489999999999998E-3</v>
      </c>
      <c r="P10" s="12">
        <v>3.1930000000000001E-3</v>
      </c>
      <c r="Q10" s="12">
        <v>3.4380000000000001E-3</v>
      </c>
      <c r="R10" s="12">
        <v>3.6819999999999999E-3</v>
      </c>
      <c r="S10" s="12">
        <v>3.9269999999999999E-3</v>
      </c>
      <c r="T10" s="12">
        <v>4.1729999999999996E-3</v>
      </c>
      <c r="U10" s="12">
        <v>4.4200000000000003E-3</v>
      </c>
      <c r="V10" s="12">
        <v>4.6670000000000001E-3</v>
      </c>
      <c r="W10" s="12">
        <v>4.9160000000000002E-3</v>
      </c>
      <c r="X10" s="13">
        <f>SUM(D10:G10)</f>
        <v>2.4889999999999999E-3</v>
      </c>
      <c r="Y10" s="13">
        <f>SUM(H10:K10)</f>
        <v>6.4279999999999997E-3</v>
      </c>
      <c r="Z10" s="13">
        <f>SUM(L10:O10)</f>
        <v>1.0335E-2</v>
      </c>
      <c r="AA10" s="13">
        <f>SUM(P10:S10)</f>
        <v>1.4239999999999999E-2</v>
      </c>
      <c r="AB10" s="13">
        <f>SUM(T10:W10)</f>
        <v>1.8176000000000001E-2</v>
      </c>
    </row>
    <row r="11" spans="1:28" x14ac:dyDescent="0.3">
      <c r="A11" s="23" t="s">
        <v>195</v>
      </c>
      <c r="B11" s="23" t="s">
        <v>163</v>
      </c>
      <c r="C11" s="24">
        <f t="shared" ref="C11:W11" si="1">MIN(C7*C10,C7)</f>
        <v>0</v>
      </c>
      <c r="D11" s="24">
        <f t="shared" si="1"/>
        <v>10</v>
      </c>
      <c r="E11" s="24">
        <f t="shared" si="1"/>
        <v>20.05481</v>
      </c>
      <c r="F11" s="24">
        <f t="shared" si="1"/>
        <v>30.157058706929998</v>
      </c>
      <c r="G11" s="24">
        <f t="shared" si="1"/>
        <v>40.258794459042015</v>
      </c>
      <c r="H11" s="24">
        <f t="shared" si="1"/>
        <v>50.433552955258357</v>
      </c>
      <c r="I11" s="24">
        <f t="shared" si="1"/>
        <v>60.674335608464972</v>
      </c>
      <c r="J11" s="24">
        <f t="shared" si="1"/>
        <v>70.933035826957635</v>
      </c>
      <c r="K11" s="24">
        <f t="shared" si="1"/>
        <v>81.202129508549177</v>
      </c>
      <c r="L11" s="24">
        <f t="shared" si="1"/>
        <v>91.515362201205377</v>
      </c>
      <c r="M11" s="24">
        <f t="shared" si="1"/>
        <v>101.86548081430611</v>
      </c>
      <c r="N11" s="24">
        <f t="shared" si="1"/>
        <v>112.24516071751559</v>
      </c>
      <c r="O11" s="24">
        <f t="shared" si="1"/>
        <v>122.60543907764801</v>
      </c>
      <c r="P11" s="24">
        <f t="shared" si="1"/>
        <v>133.02207214032535</v>
      </c>
      <c r="Q11" s="24">
        <f t="shared" si="1"/>
        <v>143.48771660552231</v>
      </c>
      <c r="R11" s="24">
        <f t="shared" si="1"/>
        <v>153.91128887568681</v>
      </c>
      <c r="S11" s="24">
        <f t="shared" si="1"/>
        <v>164.36888737212266</v>
      </c>
      <c r="T11" s="24">
        <f t="shared" si="1"/>
        <v>174.85290295433842</v>
      </c>
      <c r="U11" s="24">
        <f t="shared" si="1"/>
        <v>185.35561415539851</v>
      </c>
      <c r="V11" s="24">
        <f t="shared" si="1"/>
        <v>195.82723596609475</v>
      </c>
      <c r="W11" s="24">
        <f t="shared" si="1"/>
        <v>206.34396114815664</v>
      </c>
      <c r="X11" s="24">
        <f>SUM(D11:G11)</f>
        <v>100.47066316597201</v>
      </c>
      <c r="Y11" s="24">
        <f>SUM(H11:K11)</f>
        <v>263.24305389923018</v>
      </c>
      <c r="Z11" s="24">
        <f>SUM(L11:O11)</f>
        <v>428.23144281067505</v>
      </c>
      <c r="AA11" s="24">
        <f>SUM(P11:S11)</f>
        <v>594.78996499365712</v>
      </c>
      <c r="AB11" s="24">
        <f>SUM(T11:W11)</f>
        <v>762.37971422398834</v>
      </c>
    </row>
    <row r="12" spans="1:28" x14ac:dyDescent="0.3">
      <c r="A12" s="23" t="s">
        <v>196</v>
      </c>
      <c r="B12" s="23" t="s">
        <v>163</v>
      </c>
      <c r="C12" s="24">
        <f t="shared" ref="C12:W12" si="2">MAX(0,C7+C8+C9-C11)</f>
        <v>40000</v>
      </c>
      <c r="D12" s="24">
        <f t="shared" si="2"/>
        <v>40190</v>
      </c>
      <c r="E12" s="24">
        <f t="shared" si="2"/>
        <v>40370.895189999996</v>
      </c>
      <c r="F12" s="24">
        <f t="shared" si="2"/>
        <v>40542.592607293067</v>
      </c>
      <c r="G12" s="24">
        <f t="shared" si="2"/>
        <v>40705.046775834024</v>
      </c>
      <c r="H12" s="24">
        <f t="shared" si="2"/>
        <v>40858.138456878769</v>
      </c>
      <c r="I12" s="24">
        <f t="shared" si="2"/>
        <v>41001.754813270309</v>
      </c>
      <c r="J12" s="24">
        <f t="shared" si="2"/>
        <v>41135.830551443352</v>
      </c>
      <c r="K12" s="24">
        <f t="shared" si="2"/>
        <v>41260.307574934799</v>
      </c>
      <c r="L12" s="24">
        <f t="shared" si="2"/>
        <v>41375.093750733591</v>
      </c>
      <c r="M12" s="24">
        <f t="shared" si="2"/>
        <v>41480.103738919286</v>
      </c>
      <c r="N12" s="24">
        <f t="shared" si="2"/>
        <v>41575.259097201772</v>
      </c>
      <c r="O12" s="24">
        <f t="shared" si="2"/>
        <v>41660.529953124125</v>
      </c>
      <c r="P12" s="24">
        <f t="shared" si="2"/>
        <v>41735.810530983799</v>
      </c>
      <c r="Q12" s="24">
        <f t="shared" si="2"/>
        <v>41801.001867378276</v>
      </c>
      <c r="R12" s="24">
        <f t="shared" si="2"/>
        <v>41856.09558750259</v>
      </c>
      <c r="S12" s="24">
        <f t="shared" si="2"/>
        <v>41901.007178130465</v>
      </c>
      <c r="T12" s="24">
        <f t="shared" si="2"/>
        <v>41935.659311176132</v>
      </c>
      <c r="U12" s="24">
        <f t="shared" si="2"/>
        <v>41959.981994020731</v>
      </c>
      <c r="V12" s="24">
        <f t="shared" si="2"/>
        <v>41973.954668054641</v>
      </c>
      <c r="W12" s="24">
        <f t="shared" si="2"/>
        <v>41977.48047990648</v>
      </c>
      <c r="X12" s="24">
        <f>G12</f>
        <v>40705.046775834024</v>
      </c>
      <c r="Y12" s="24">
        <f>K12</f>
        <v>41260.307574934799</v>
      </c>
      <c r="Z12" s="24">
        <f>O12</f>
        <v>41660.529953124125</v>
      </c>
      <c r="AA12" s="24">
        <f>S12</f>
        <v>41901.007178130465</v>
      </c>
      <c r="AB12" s="24">
        <f>W12</f>
        <v>41977.48047990648</v>
      </c>
    </row>
    <row r="13" spans="1:28" x14ac:dyDescent="0.3">
      <c r="A13" s="7" t="s">
        <v>197</v>
      </c>
      <c r="B13" s="7" t="s">
        <v>163</v>
      </c>
      <c r="C13" s="11">
        <v>0</v>
      </c>
      <c r="D13" s="11">
        <f t="shared" ref="D13:W13" si="3">C14</f>
        <v>0</v>
      </c>
      <c r="E13" s="11">
        <f t="shared" si="3"/>
        <v>-10</v>
      </c>
      <c r="F13" s="11">
        <f t="shared" si="3"/>
        <v>-30.05481</v>
      </c>
      <c r="G13" s="11">
        <f t="shared" si="3"/>
        <v>-60.211868706929998</v>
      </c>
      <c r="H13" s="11">
        <f t="shared" si="3"/>
        <v>-100.47066316597201</v>
      </c>
      <c r="I13" s="11">
        <f t="shared" si="3"/>
        <v>-150.90421612123038</v>
      </c>
      <c r="J13" s="11">
        <f t="shared" si="3"/>
        <v>-211.57855172969533</v>
      </c>
      <c r="K13" s="11">
        <f t="shared" si="3"/>
        <v>-282.51158755665296</v>
      </c>
      <c r="L13" s="11">
        <f t="shared" si="3"/>
        <v>-363.7137170652021</v>
      </c>
      <c r="M13" s="11">
        <f t="shared" si="3"/>
        <v>-455.2290792664075</v>
      </c>
      <c r="N13" s="11">
        <f t="shared" si="3"/>
        <v>-557.09456008071356</v>
      </c>
      <c r="O13" s="11">
        <f t="shared" si="3"/>
        <v>-669.33972079822911</v>
      </c>
      <c r="P13" s="11">
        <f t="shared" si="3"/>
        <v>-791.94515987587715</v>
      </c>
      <c r="Q13" s="11">
        <f t="shared" si="3"/>
        <v>-924.9672320162025</v>
      </c>
      <c r="R13" s="11">
        <f t="shared" si="3"/>
        <v>-1068.4549486217247</v>
      </c>
      <c r="S13" s="11">
        <f t="shared" si="3"/>
        <v>-1222.3662374974115</v>
      </c>
      <c r="T13" s="11">
        <f t="shared" si="3"/>
        <v>-1386.735124869534</v>
      </c>
      <c r="U13" s="11">
        <f t="shared" si="3"/>
        <v>-1561.5880278238724</v>
      </c>
      <c r="V13" s="11">
        <f t="shared" si="3"/>
        <v>-1746.943641979271</v>
      </c>
      <c r="W13" s="11">
        <f t="shared" si="3"/>
        <v>-1942.7708779453658</v>
      </c>
      <c r="X13" s="11">
        <f>G13</f>
        <v>-60.211868706929998</v>
      </c>
      <c r="Y13" s="11">
        <f>K13</f>
        <v>-282.51158755665296</v>
      </c>
      <c r="Z13" s="11">
        <f>O13</f>
        <v>-669.33972079822911</v>
      </c>
      <c r="AA13" s="11">
        <f>S13</f>
        <v>-1222.3662374974115</v>
      </c>
      <c r="AB13" s="11">
        <f>W13</f>
        <v>-1942.7708779453658</v>
      </c>
    </row>
    <row r="14" spans="1:28" x14ac:dyDescent="0.3">
      <c r="A14" s="7" t="s">
        <v>53</v>
      </c>
      <c r="B14" s="7" t="s">
        <v>163</v>
      </c>
      <c r="C14" s="11">
        <f t="shared" ref="C14:W14" si="4">C13-C11</f>
        <v>0</v>
      </c>
      <c r="D14" s="11">
        <f t="shared" si="4"/>
        <v>-10</v>
      </c>
      <c r="E14" s="11">
        <f t="shared" si="4"/>
        <v>-30.05481</v>
      </c>
      <c r="F14" s="11">
        <f t="shared" si="4"/>
        <v>-60.211868706929998</v>
      </c>
      <c r="G14" s="11">
        <f t="shared" si="4"/>
        <v>-100.47066316597201</v>
      </c>
      <c r="H14" s="11">
        <f t="shared" si="4"/>
        <v>-150.90421612123038</v>
      </c>
      <c r="I14" s="11">
        <f t="shared" si="4"/>
        <v>-211.57855172969533</v>
      </c>
      <c r="J14" s="11">
        <f t="shared" si="4"/>
        <v>-282.51158755665296</v>
      </c>
      <c r="K14" s="11">
        <f t="shared" si="4"/>
        <v>-363.7137170652021</v>
      </c>
      <c r="L14" s="11">
        <f t="shared" si="4"/>
        <v>-455.2290792664075</v>
      </c>
      <c r="M14" s="11">
        <f t="shared" si="4"/>
        <v>-557.09456008071356</v>
      </c>
      <c r="N14" s="11">
        <f t="shared" si="4"/>
        <v>-669.33972079822911</v>
      </c>
      <c r="O14" s="11">
        <f t="shared" si="4"/>
        <v>-791.94515987587715</v>
      </c>
      <c r="P14" s="11">
        <f t="shared" si="4"/>
        <v>-924.9672320162025</v>
      </c>
      <c r="Q14" s="11">
        <f t="shared" si="4"/>
        <v>-1068.4549486217247</v>
      </c>
      <c r="R14" s="11">
        <f t="shared" si="4"/>
        <v>-1222.3662374974115</v>
      </c>
      <c r="S14" s="11">
        <f t="shared" si="4"/>
        <v>-1386.735124869534</v>
      </c>
      <c r="T14" s="11">
        <f t="shared" si="4"/>
        <v>-1561.5880278238724</v>
      </c>
      <c r="U14" s="11">
        <f t="shared" si="4"/>
        <v>-1746.943641979271</v>
      </c>
      <c r="V14" s="11">
        <f t="shared" si="4"/>
        <v>-1942.7708779453658</v>
      </c>
      <c r="W14" s="11">
        <f t="shared" si="4"/>
        <v>-2149.1148390935223</v>
      </c>
      <c r="X14" s="11">
        <f>G14</f>
        <v>-100.47066316597201</v>
      </c>
      <c r="Y14" s="11">
        <f>K14</f>
        <v>-363.7137170652021</v>
      </c>
      <c r="Z14" s="11">
        <f>O14</f>
        <v>-791.94515987587715</v>
      </c>
      <c r="AA14" s="11">
        <f>S14</f>
        <v>-1386.735124869534</v>
      </c>
      <c r="AB14" s="11">
        <f>W14</f>
        <v>-2149.1148390935223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198</v>
      </c>
    </row>
    <row r="2" spans="1:28" x14ac:dyDescent="0.3">
      <c r="A2" s="2" t="s">
        <v>199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200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201</v>
      </c>
      <c r="B7" s="7" t="s">
        <v>202</v>
      </c>
      <c r="C7" s="8">
        <v>0</v>
      </c>
      <c r="D7" s="8">
        <v>30</v>
      </c>
      <c r="E7" s="8">
        <v>40.918174999999998</v>
      </c>
      <c r="F7" s="8">
        <v>40.918174999999998</v>
      </c>
      <c r="G7" s="8">
        <v>40.918174999999998</v>
      </c>
      <c r="H7" s="8">
        <v>40.918174999999998</v>
      </c>
      <c r="I7" s="8">
        <v>40.918174999999998</v>
      </c>
      <c r="J7" s="8">
        <v>40.918174999999998</v>
      </c>
      <c r="K7" s="8">
        <v>40.918174999999998</v>
      </c>
      <c r="L7" s="8">
        <v>40.918174999999998</v>
      </c>
      <c r="M7" s="8">
        <v>40.918174999999998</v>
      </c>
      <c r="N7" s="8">
        <v>40.918174999999998</v>
      </c>
      <c r="O7" s="8">
        <v>40.918174999999998</v>
      </c>
      <c r="P7" s="8">
        <v>40.918174999999998</v>
      </c>
      <c r="Q7" s="8">
        <v>40.918174999999998</v>
      </c>
      <c r="R7" s="8">
        <v>40.918174999999998</v>
      </c>
      <c r="S7" s="8">
        <v>40.918174999999998</v>
      </c>
      <c r="T7" s="8">
        <v>40.918174999999998</v>
      </c>
      <c r="U7" s="8">
        <v>40.918174999999998</v>
      </c>
      <c r="V7" s="8">
        <v>40.918174999999998</v>
      </c>
      <c r="W7" s="8">
        <v>40.918174999999998</v>
      </c>
      <c r="X7" s="9"/>
      <c r="Y7" s="9"/>
      <c r="Z7" s="9"/>
      <c r="AA7" s="9"/>
      <c r="AB7" s="9"/>
    </row>
    <row r="8" spans="1:28" x14ac:dyDescent="0.3">
      <c r="A8" s="7" t="s">
        <v>203</v>
      </c>
      <c r="B8" s="7" t="s">
        <v>202</v>
      </c>
      <c r="C8" s="8">
        <v>0</v>
      </c>
      <c r="D8" s="8">
        <v>87.338515999999998</v>
      </c>
      <c r="E8" s="8">
        <v>38.363791999999997</v>
      </c>
      <c r="F8" s="8">
        <v>36.246985000000002</v>
      </c>
      <c r="G8" s="8">
        <v>43.193838999999997</v>
      </c>
      <c r="H8" s="8">
        <v>50.091365000000003</v>
      </c>
      <c r="I8" s="8">
        <v>54.001195000000003</v>
      </c>
      <c r="J8" s="8">
        <v>54.914437999999997</v>
      </c>
      <c r="K8" s="8">
        <v>58.653382999999998</v>
      </c>
      <c r="L8" s="8">
        <v>65.001324999999994</v>
      </c>
      <c r="M8" s="8">
        <v>68.472739000000004</v>
      </c>
      <c r="N8" s="8">
        <v>57.859672000000003</v>
      </c>
      <c r="O8" s="8">
        <v>57.220095999999998</v>
      </c>
      <c r="P8" s="8">
        <v>60.092872</v>
      </c>
      <c r="Q8" s="8">
        <v>61.160117999999997</v>
      </c>
      <c r="R8" s="8">
        <v>58.232635999999999</v>
      </c>
      <c r="S8" s="8">
        <v>62.555872000000001</v>
      </c>
      <c r="T8" s="8">
        <v>67.389343999999994</v>
      </c>
      <c r="U8" s="8">
        <v>69.496630999999994</v>
      </c>
      <c r="V8" s="8">
        <v>67.333483000000001</v>
      </c>
      <c r="W8" s="8">
        <v>71.665289999999999</v>
      </c>
      <c r="X8" s="9"/>
      <c r="Y8" s="9"/>
      <c r="Z8" s="9"/>
      <c r="AA8" s="9"/>
      <c r="AB8" s="9"/>
    </row>
    <row r="9" spans="1:28" x14ac:dyDescent="0.3">
      <c r="A9" s="7" t="s">
        <v>204</v>
      </c>
      <c r="B9" s="7" t="s">
        <v>202</v>
      </c>
      <c r="C9" s="8">
        <v>0</v>
      </c>
      <c r="D9" s="8">
        <v>41.7</v>
      </c>
      <c r="E9" s="8">
        <v>45.544201999999999</v>
      </c>
      <c r="F9" s="8">
        <v>43.522382</v>
      </c>
      <c r="G9" s="8">
        <v>43.306918000000003</v>
      </c>
      <c r="H9" s="8">
        <v>44.763831000000003</v>
      </c>
      <c r="I9" s="8">
        <v>44.676716999999996</v>
      </c>
      <c r="J9" s="8">
        <v>43.861466999999998</v>
      </c>
      <c r="K9" s="8">
        <v>45.768116999999997</v>
      </c>
      <c r="L9" s="8">
        <v>54.123773999999997</v>
      </c>
      <c r="M9" s="8">
        <v>59.769252999999999</v>
      </c>
      <c r="N9" s="8">
        <v>72.201373000000004</v>
      </c>
      <c r="O9" s="8">
        <v>78.849581999999998</v>
      </c>
      <c r="P9" s="8">
        <v>82.052104</v>
      </c>
      <c r="Q9" s="8">
        <v>84.986986000000002</v>
      </c>
      <c r="R9" s="8">
        <v>84.986986000000002</v>
      </c>
      <c r="S9" s="8">
        <v>84.986986000000002</v>
      </c>
      <c r="T9" s="8">
        <v>84.986986000000002</v>
      </c>
      <c r="U9" s="8">
        <v>84.986986000000002</v>
      </c>
      <c r="V9" s="8">
        <v>84.986986000000002</v>
      </c>
      <c r="W9" s="8">
        <v>84.986986000000002</v>
      </c>
      <c r="X9" s="9"/>
      <c r="Y9" s="9"/>
      <c r="Z9" s="9"/>
      <c r="AA9" s="9"/>
      <c r="AB9" s="9"/>
    </row>
    <row r="10" spans="1:28" x14ac:dyDescent="0.3">
      <c r="A10" s="7" t="s">
        <v>205</v>
      </c>
      <c r="B10" s="7" t="s">
        <v>202</v>
      </c>
      <c r="C10" s="12">
        <v>0</v>
      </c>
      <c r="D10" s="12">
        <v>0.02</v>
      </c>
      <c r="E10" s="12">
        <v>2.8268999999999999E-2</v>
      </c>
      <c r="F10" s="12">
        <v>2.8268999999999999E-2</v>
      </c>
      <c r="G10" s="12">
        <v>2.8268999999999999E-2</v>
      </c>
      <c r="H10" s="12">
        <v>2.8268999999999999E-2</v>
      </c>
      <c r="I10" s="12">
        <v>2.8268999999999999E-2</v>
      </c>
      <c r="J10" s="12">
        <v>2.8268999999999999E-2</v>
      </c>
      <c r="K10" s="12">
        <v>2.8673000000000001E-2</v>
      </c>
      <c r="L10" s="12">
        <v>3.0023999999999999E-2</v>
      </c>
      <c r="M10" s="12">
        <v>3.108E-2</v>
      </c>
      <c r="N10" s="12">
        <v>2.8268999999999999E-2</v>
      </c>
      <c r="O10" s="12">
        <v>2.8268999999999999E-2</v>
      </c>
      <c r="P10" s="12">
        <v>2.8268999999999999E-2</v>
      </c>
      <c r="Q10" s="12">
        <v>2.8268999999999999E-2</v>
      </c>
      <c r="R10" s="12">
        <v>2.8268999999999999E-2</v>
      </c>
      <c r="S10" s="12">
        <v>2.8864000000000001E-2</v>
      </c>
      <c r="T10" s="12">
        <v>3.0453999999999998E-2</v>
      </c>
      <c r="U10" s="12">
        <v>3.1405000000000002E-2</v>
      </c>
      <c r="V10" s="12">
        <v>3.1116000000000001E-2</v>
      </c>
      <c r="W10" s="12">
        <v>3.2856000000000003E-2</v>
      </c>
      <c r="X10" s="13"/>
      <c r="Y10" s="13"/>
      <c r="Z10" s="13"/>
      <c r="AA10" s="13"/>
      <c r="AB10" s="13"/>
    </row>
    <row r="11" spans="1:28" x14ac:dyDescent="0.3">
      <c r="A11" s="7" t="s">
        <v>206</v>
      </c>
      <c r="B11" s="7" t="s">
        <v>202</v>
      </c>
      <c r="C11" s="12">
        <v>0</v>
      </c>
      <c r="D11" s="12">
        <v>0.15</v>
      </c>
      <c r="E11" s="12">
        <v>0.10804800000000001</v>
      </c>
      <c r="F11" s="12">
        <v>9.2135999999999996E-2</v>
      </c>
      <c r="G11" s="12">
        <v>9.0162999999999993E-2</v>
      </c>
      <c r="H11" s="12">
        <v>9.5003000000000004E-2</v>
      </c>
      <c r="I11" s="12">
        <v>9.4687999999999994E-2</v>
      </c>
      <c r="J11" s="12">
        <v>9.1910000000000006E-2</v>
      </c>
      <c r="K11" s="12">
        <v>9.8403000000000004E-2</v>
      </c>
      <c r="L11" s="12">
        <v>0.126861</v>
      </c>
      <c r="M11" s="12">
        <v>0.146088</v>
      </c>
      <c r="N11" s="12">
        <v>0.18842999999999999</v>
      </c>
      <c r="O11" s="12">
        <v>0.21107200000000001</v>
      </c>
      <c r="P11" s="12">
        <v>0.22197900000000001</v>
      </c>
      <c r="Q11" s="12">
        <v>0.23197499999999999</v>
      </c>
      <c r="R11" s="12">
        <v>0.23197499999999999</v>
      </c>
      <c r="S11" s="12">
        <v>0.23197499999999999</v>
      </c>
      <c r="T11" s="12">
        <v>0.23197499999999999</v>
      </c>
      <c r="U11" s="12">
        <v>0.23197499999999999</v>
      </c>
      <c r="V11" s="12">
        <v>0.23197499999999999</v>
      </c>
      <c r="W11" s="12">
        <v>0.23197499999999999</v>
      </c>
      <c r="X11" s="13"/>
      <c r="Y11" s="13"/>
      <c r="Z11" s="13"/>
      <c r="AA11" s="13"/>
      <c r="AB11" s="13"/>
    </row>
    <row r="12" spans="1:28" x14ac:dyDescent="0.3">
      <c r="A12" s="7" t="s">
        <v>207</v>
      </c>
      <c r="B12" s="7" t="s">
        <v>202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1" t="s">
        <v>208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209</v>
      </c>
      <c r="B15" s="20" t="s">
        <v>210</v>
      </c>
      <c r="C15" s="25">
        <v>80000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211</v>
      </c>
      <c r="B16" s="20" t="s">
        <v>210</v>
      </c>
      <c r="C16" s="25">
        <v>12000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212</v>
      </c>
      <c r="B17" s="20" t="s">
        <v>210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213</v>
      </c>
      <c r="B18" s="20" t="s">
        <v>210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214</v>
      </c>
      <c r="B19" s="20" t="s">
        <v>210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215</v>
      </c>
    </row>
    <row r="2" spans="1:28" x14ac:dyDescent="0.3">
      <c r="A2" s="2" t="s">
        <v>216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217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62</v>
      </c>
      <c r="B7" s="7" t="s">
        <v>218</v>
      </c>
      <c r="C7" s="10">
        <v>100000</v>
      </c>
      <c r="D7" s="10">
        <v>157098</v>
      </c>
      <c r="E7" s="10">
        <v>162529</v>
      </c>
      <c r="F7" s="10">
        <v>170541</v>
      </c>
      <c r="G7" s="10">
        <v>173163</v>
      </c>
      <c r="H7" s="10">
        <v>173163</v>
      </c>
      <c r="I7" s="10">
        <v>173163</v>
      </c>
      <c r="J7" s="10">
        <v>173163</v>
      </c>
      <c r="K7" s="10">
        <v>173163</v>
      </c>
      <c r="L7" s="10">
        <v>173163</v>
      </c>
      <c r="M7" s="10">
        <v>173163</v>
      </c>
      <c r="N7" s="10">
        <v>173163</v>
      </c>
      <c r="O7" s="10">
        <v>173163</v>
      </c>
      <c r="P7" s="10">
        <v>173163</v>
      </c>
      <c r="Q7" s="10">
        <v>173163</v>
      </c>
      <c r="R7" s="10">
        <v>173163</v>
      </c>
      <c r="S7" s="10">
        <v>173163</v>
      </c>
      <c r="T7" s="10">
        <v>173163</v>
      </c>
      <c r="U7" s="10">
        <v>173163</v>
      </c>
      <c r="V7" s="10">
        <v>173163</v>
      </c>
      <c r="W7" s="10">
        <v>173163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27903</v>
      </c>
      <c r="N9" s="10">
        <v>20347</v>
      </c>
      <c r="O9" s="10">
        <v>0</v>
      </c>
      <c r="P9" s="10">
        <v>0</v>
      </c>
      <c r="Q9" s="10">
        <v>19113</v>
      </c>
      <c r="R9" s="10">
        <v>20352</v>
      </c>
      <c r="S9" s="10">
        <v>12743</v>
      </c>
      <c r="T9" s="10">
        <v>17757</v>
      </c>
      <c r="U9" s="10">
        <v>21932</v>
      </c>
      <c r="V9" s="10">
        <v>31847</v>
      </c>
      <c r="W9" s="10">
        <v>19557</v>
      </c>
      <c r="X9" s="11"/>
      <c r="Y9" s="11"/>
      <c r="Z9" s="11"/>
      <c r="AA9" s="11"/>
      <c r="AB9" s="11"/>
    </row>
    <row r="11" spans="1:28" x14ac:dyDescent="0.3">
      <c r="A11" s="51" t="s">
        <v>219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 spans="1:28" x14ac:dyDescent="0.3">
      <c r="A12" s="7" t="s">
        <v>220</v>
      </c>
      <c r="B12" s="7" t="s">
        <v>221</v>
      </c>
      <c r="C12" s="10">
        <v>12600</v>
      </c>
      <c r="D12" s="10">
        <v>12600</v>
      </c>
      <c r="E12" s="10">
        <v>12600</v>
      </c>
      <c r="F12" s="10">
        <v>12600</v>
      </c>
      <c r="G12" s="10">
        <v>12600</v>
      </c>
      <c r="H12" s="10">
        <v>12600</v>
      </c>
      <c r="I12" s="10">
        <v>12600</v>
      </c>
      <c r="J12" s="10">
        <v>12600</v>
      </c>
      <c r="K12" s="10">
        <v>12600</v>
      </c>
      <c r="L12" s="10">
        <v>12600</v>
      </c>
      <c r="M12" s="10">
        <v>12600</v>
      </c>
      <c r="N12" s="10">
        <v>12600</v>
      </c>
      <c r="O12" s="10">
        <v>12600</v>
      </c>
      <c r="P12" s="10">
        <v>12600</v>
      </c>
      <c r="Q12" s="10">
        <v>12600</v>
      </c>
      <c r="R12" s="10">
        <v>12600</v>
      </c>
      <c r="S12" s="10">
        <v>12600</v>
      </c>
      <c r="T12" s="10">
        <v>12600</v>
      </c>
      <c r="U12" s="10">
        <v>12600</v>
      </c>
      <c r="V12" s="10">
        <v>12600</v>
      </c>
      <c r="W12" s="10">
        <v>12600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222</v>
      </c>
    </row>
    <row r="2" spans="1:28" x14ac:dyDescent="0.3">
      <c r="A2" s="2" t="s">
        <v>223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224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86</v>
      </c>
      <c r="B7" s="7" t="s">
        <v>225</v>
      </c>
      <c r="C7" s="9">
        <f>'Revenue Drivers'!C8</f>
        <v>130</v>
      </c>
      <c r="D7" s="9">
        <f>'Revenue Drivers'!D8</f>
        <v>57.266666999999998</v>
      </c>
      <c r="E7" s="9">
        <f>'Revenue Drivers'!E8</f>
        <v>57.266666999999998</v>
      </c>
      <c r="F7" s="9">
        <f>'Revenue Drivers'!F8</f>
        <v>57.266666999999998</v>
      </c>
      <c r="G7" s="9">
        <f>'Revenue Drivers'!G8</f>
        <v>57.266666999999998</v>
      </c>
      <c r="H7" s="9">
        <f>'Revenue Drivers'!H8</f>
        <v>57.266666999999998</v>
      </c>
      <c r="I7" s="9">
        <f>'Revenue Drivers'!I8</f>
        <v>57.266666999999998</v>
      </c>
      <c r="J7" s="9">
        <f>'Revenue Drivers'!J8</f>
        <v>57.266666999999998</v>
      </c>
      <c r="K7" s="9">
        <f>'Revenue Drivers'!K8</f>
        <v>57.266666999999998</v>
      </c>
      <c r="L7" s="9">
        <f>'Revenue Drivers'!L8</f>
        <v>57.266666999999998</v>
      </c>
      <c r="M7" s="9">
        <f>'Revenue Drivers'!M8</f>
        <v>57.266666999999998</v>
      </c>
      <c r="N7" s="9">
        <f>'Revenue Drivers'!N8</f>
        <v>57.266666999999998</v>
      </c>
      <c r="O7" s="9">
        <f>'Revenue Drivers'!O8</f>
        <v>57.266666999999998</v>
      </c>
      <c r="P7" s="9">
        <f>'Revenue Drivers'!P8</f>
        <v>57.266666999999998</v>
      </c>
      <c r="Q7" s="9">
        <f>'Revenue Drivers'!Q8</f>
        <v>57.266666999999998</v>
      </c>
      <c r="R7" s="9">
        <f>'Revenue Drivers'!R8</f>
        <v>57.266666999999998</v>
      </c>
      <c r="S7" s="9">
        <f>'Revenue Drivers'!S8</f>
        <v>57.266666999999998</v>
      </c>
      <c r="T7" s="9">
        <f>'Revenue Drivers'!T8</f>
        <v>57.266666999999998</v>
      </c>
      <c r="U7" s="9">
        <f>'Revenue Drivers'!U8</f>
        <v>57.266666999999998</v>
      </c>
      <c r="V7" s="9">
        <f>'Revenue Drivers'!V8</f>
        <v>57.266666999999998</v>
      </c>
      <c r="W7" s="9">
        <f>'Revenue Drivers'!W8</f>
        <v>57.266666999999998</v>
      </c>
      <c r="X7" s="9">
        <f t="shared" ref="X7:X26" si="0">SUM(D7:G7)</f>
        <v>229.06666799999999</v>
      </c>
      <c r="Y7" s="9">
        <f t="shared" ref="Y7:Y26" si="1">SUM(H7:K7)</f>
        <v>229.06666799999999</v>
      </c>
      <c r="Z7" s="9">
        <f t="shared" ref="Z7:Z26" si="2">SUM(L7:O7)</f>
        <v>229.06666799999999</v>
      </c>
      <c r="AA7" s="9">
        <f t="shared" ref="AA7:AA26" si="3">SUM(P7:S7)</f>
        <v>229.06666799999999</v>
      </c>
      <c r="AB7" s="9">
        <f t="shared" ref="AB7:AB26" si="4">SUM(T7:W7)</f>
        <v>229.06666799999999</v>
      </c>
    </row>
    <row r="8" spans="1:28" x14ac:dyDescent="0.3">
      <c r="A8" s="7" t="s">
        <v>88</v>
      </c>
      <c r="B8" s="7" t="s">
        <v>225</v>
      </c>
      <c r="C8" s="11">
        <f>'Revenue Drivers'!C9</f>
        <v>12000</v>
      </c>
      <c r="D8" s="11">
        <f>'Revenue Drivers'!D9</f>
        <v>3228.064805828792</v>
      </c>
      <c r="E8" s="11">
        <f>'Revenue Drivers'!E9</f>
        <v>4687.3752679999998</v>
      </c>
      <c r="F8" s="11">
        <f>'Revenue Drivers'!F9</f>
        <v>5633.9904210000004</v>
      </c>
      <c r="G8" s="11">
        <f>'Revenue Drivers'!G9</f>
        <v>6458.0667750000002</v>
      </c>
      <c r="H8" s="11">
        <f>'Revenue Drivers'!H9</f>
        <v>7175.4669089999998</v>
      </c>
      <c r="I8" s="11">
        <f>'Revenue Drivers'!I9</f>
        <v>7800</v>
      </c>
      <c r="J8" s="11">
        <f>'Revenue Drivers'!J9</f>
        <v>8343.6876339999999</v>
      </c>
      <c r="K8" s="11">
        <f>'Revenue Drivers'!K9</f>
        <v>8816.9952099999991</v>
      </c>
      <c r="L8" s="11">
        <f>'Revenue Drivers'!L9</f>
        <v>9229.0333869999995</v>
      </c>
      <c r="M8" s="11">
        <f>'Revenue Drivers'!M9</f>
        <v>9587.7334549999996</v>
      </c>
      <c r="N8" s="11">
        <f>'Revenue Drivers'!N9</f>
        <v>9900</v>
      </c>
      <c r="O8" s="11">
        <f>'Revenue Drivers'!O9</f>
        <v>10171.843817000001</v>
      </c>
      <c r="P8" s="11">
        <f>'Revenue Drivers'!P9</f>
        <v>10408.497605</v>
      </c>
      <c r="Q8" s="11">
        <f>'Revenue Drivers'!Q9</f>
        <v>10614.516694</v>
      </c>
      <c r="R8" s="11">
        <f>'Revenue Drivers'!R9</f>
        <v>10793.866727000001</v>
      </c>
      <c r="S8" s="11">
        <f>'Revenue Drivers'!S9</f>
        <v>10950</v>
      </c>
      <c r="T8" s="11">
        <f>'Revenue Drivers'!T9</f>
        <v>11085.921909000001</v>
      </c>
      <c r="U8" s="11">
        <f>'Revenue Drivers'!U9</f>
        <v>11204.248803</v>
      </c>
      <c r="V8" s="11">
        <f>'Revenue Drivers'!V9</f>
        <v>11307.258347000001</v>
      </c>
      <c r="W8" s="11">
        <f>'Revenue Drivers'!W9</f>
        <v>11396.933364</v>
      </c>
      <c r="X8" s="11">
        <f t="shared" si="0"/>
        <v>20007.497269828793</v>
      </c>
      <c r="Y8" s="11">
        <f t="shared" si="1"/>
        <v>32136.149752999998</v>
      </c>
      <c r="Z8" s="11">
        <f t="shared" si="2"/>
        <v>38888.610658999998</v>
      </c>
      <c r="AA8" s="11">
        <f t="shared" si="3"/>
        <v>42766.881026000003</v>
      </c>
      <c r="AB8" s="11">
        <f t="shared" si="4"/>
        <v>44994.362422999999</v>
      </c>
    </row>
    <row r="9" spans="1:28" x14ac:dyDescent="0.3">
      <c r="A9" s="7" t="s">
        <v>89</v>
      </c>
      <c r="B9" s="7" t="s">
        <v>225</v>
      </c>
      <c r="C9" s="13">
        <f>'Revenue Drivers'!C10</f>
        <v>0.7</v>
      </c>
      <c r="D9" s="13">
        <f>'Revenue Drivers'!D10</f>
        <v>0.82608099999999995</v>
      </c>
      <c r="E9" s="13">
        <f>'Revenue Drivers'!E10</f>
        <v>0.73769399999999996</v>
      </c>
      <c r="F9" s="13">
        <f>'Revenue Drivers'!F10</f>
        <v>0.62412000000000001</v>
      </c>
      <c r="G9" s="13">
        <f>'Revenue Drivers'!G10</f>
        <v>0.55241300000000004</v>
      </c>
      <c r="H9" s="13">
        <f>'Revenue Drivers'!H10</f>
        <v>0.51780599999999999</v>
      </c>
      <c r="I9" s="13">
        <f>'Revenue Drivers'!I10</f>
        <v>0.47966300000000001</v>
      </c>
      <c r="J9" s="13">
        <f>'Revenue Drivers'!J10</f>
        <v>0.45671400000000001</v>
      </c>
      <c r="K9" s="13">
        <f>'Revenue Drivers'!K10</f>
        <v>0.439438</v>
      </c>
      <c r="L9" s="13">
        <f>'Revenue Drivers'!L10</f>
        <v>0.43567899999999998</v>
      </c>
      <c r="M9" s="13">
        <f>'Revenue Drivers'!M10</f>
        <v>0.426566</v>
      </c>
      <c r="N9" s="13">
        <f>'Revenue Drivers'!N10</f>
        <v>0.50335700000000005</v>
      </c>
      <c r="O9" s="13">
        <f>'Revenue Drivers'!O10</f>
        <v>0.58657700000000002</v>
      </c>
      <c r="P9" s="13">
        <f>'Revenue Drivers'!P10</f>
        <v>0.64159100000000002</v>
      </c>
      <c r="Q9" s="13">
        <f>'Revenue Drivers'!Q10</f>
        <v>0.67191100000000004</v>
      </c>
      <c r="R9" s="13">
        <f>'Revenue Drivers'!R10</f>
        <v>0.68696699999999999</v>
      </c>
      <c r="S9" s="13">
        <f>'Revenue Drivers'!S10</f>
        <v>0.69405700000000004</v>
      </c>
      <c r="T9" s="13">
        <f>'Revenue Drivers'!T10</f>
        <v>0.69731200000000004</v>
      </c>
      <c r="U9" s="13">
        <f>'Revenue Drivers'!U10</f>
        <v>0.69878799999999996</v>
      </c>
      <c r="V9" s="13">
        <f>'Revenue Drivers'!V10</f>
        <v>0.69945500000000005</v>
      </c>
      <c r="W9" s="13">
        <f>'Revenue Drivers'!W10</f>
        <v>0.69975500000000002</v>
      </c>
      <c r="X9" s="13">
        <f t="shared" si="0"/>
        <v>2.7403080000000002</v>
      </c>
      <c r="Y9" s="13">
        <f t="shared" si="1"/>
        <v>1.893621</v>
      </c>
      <c r="Z9" s="13">
        <f t="shared" si="2"/>
        <v>1.9521790000000001</v>
      </c>
      <c r="AA9" s="13">
        <f t="shared" si="3"/>
        <v>2.6945260000000002</v>
      </c>
      <c r="AB9" s="13">
        <f t="shared" si="4"/>
        <v>2.7953100000000002</v>
      </c>
    </row>
    <row r="10" spans="1:28" x14ac:dyDescent="0.3">
      <c r="A10" s="7" t="s">
        <v>90</v>
      </c>
      <c r="B10" s="7" t="s">
        <v>225</v>
      </c>
      <c r="C10" s="11">
        <f>'Revenue Drivers'!C11</f>
        <v>1092000</v>
      </c>
      <c r="D10" s="11">
        <f>'Revenue Drivers'!D11</f>
        <v>152709.7568528844</v>
      </c>
      <c r="E10" s="11">
        <f>'Revenue Drivers'!E11</f>
        <v>198019.46493980024</v>
      </c>
      <c r="F10" s="11">
        <f>'Revenue Drivers'!F11</f>
        <v>201365.98525445088</v>
      </c>
      <c r="G10" s="11">
        <f>'Revenue Drivers'!G11</f>
        <v>204299.98222542446</v>
      </c>
      <c r="H10" s="11">
        <f>'Revenue Drivers'!H11</f>
        <v>212774.29083209598</v>
      </c>
      <c r="I10" s="11">
        <f>'Revenue Drivers'!I11</f>
        <v>214255.8700871238</v>
      </c>
      <c r="J10" s="11">
        <f>'Revenue Drivers'!J11</f>
        <v>218224.88270690275</v>
      </c>
      <c r="K10" s="11">
        <f>'Revenue Drivers'!K11</f>
        <v>221881.0035980416</v>
      </c>
      <c r="L10" s="11">
        <f>'Revenue Drivers'!L11</f>
        <v>230263.31439334466</v>
      </c>
      <c r="M10" s="11">
        <f>'Revenue Drivers'!M11</f>
        <v>234209.27820335969</v>
      </c>
      <c r="N10" s="11">
        <f>'Revenue Drivers'!N11</f>
        <v>285373.21924107813</v>
      </c>
      <c r="O10" s="11">
        <f>'Revenue Drivers'!O11</f>
        <v>341685.55617042637</v>
      </c>
      <c r="P10" s="11">
        <f>'Revenue Drivers'!P11</f>
        <v>382426.70984854136</v>
      </c>
      <c r="Q10" s="11">
        <f>'Revenue Drivers'!Q11</f>
        <v>408426.47185482614</v>
      </c>
      <c r="R10" s="11">
        <f>'Revenue Drivers'!R11</f>
        <v>424634.0677693155</v>
      </c>
      <c r="S10" s="11">
        <f>'Revenue Drivers'!S11</f>
        <v>435222.32552330807</v>
      </c>
      <c r="T10" s="11">
        <f>'Revenue Drivers'!T11</f>
        <v>442691.1718355284</v>
      </c>
      <c r="U10" s="11">
        <f>'Revenue Drivers'!U11</f>
        <v>448363.3340885386</v>
      </c>
      <c r="V10" s="11">
        <f>'Revenue Drivers'!V11</f>
        <v>452917.39560428349</v>
      </c>
      <c r="W10" s="11">
        <f>'Revenue Drivers'!W11</f>
        <v>456705.16866915894</v>
      </c>
      <c r="X10" s="11">
        <f t="shared" si="0"/>
        <v>756395.18927256006</v>
      </c>
      <c r="Y10" s="11">
        <f t="shared" si="1"/>
        <v>867136.04722416413</v>
      </c>
      <c r="Z10" s="11">
        <f t="shared" si="2"/>
        <v>1091531.3680082089</v>
      </c>
      <c r="AA10" s="11">
        <f t="shared" si="3"/>
        <v>1650709.5749959911</v>
      </c>
      <c r="AB10" s="11">
        <f t="shared" si="4"/>
        <v>1800677.0701975096</v>
      </c>
    </row>
    <row r="11" spans="1:28" x14ac:dyDescent="0.3">
      <c r="A11" s="7" t="s">
        <v>93</v>
      </c>
      <c r="B11" s="7" t="s">
        <v>225</v>
      </c>
      <c r="C11" s="9">
        <f>'Revenue Drivers'!C14</f>
        <v>104</v>
      </c>
      <c r="D11" s="9">
        <f>'Revenue Drivers'!D14</f>
        <v>45.813333</v>
      </c>
      <c r="E11" s="9">
        <f>'Revenue Drivers'!E14</f>
        <v>45.813333</v>
      </c>
      <c r="F11" s="9">
        <f>'Revenue Drivers'!F14</f>
        <v>45.813333</v>
      </c>
      <c r="G11" s="9">
        <f>'Revenue Drivers'!G14</f>
        <v>45.813333</v>
      </c>
      <c r="H11" s="9">
        <f>'Revenue Drivers'!H14</f>
        <v>45.813333</v>
      </c>
      <c r="I11" s="9">
        <f>'Revenue Drivers'!I14</f>
        <v>45.813333</v>
      </c>
      <c r="J11" s="9">
        <f>'Revenue Drivers'!J14</f>
        <v>45.813333</v>
      </c>
      <c r="K11" s="9">
        <f>'Revenue Drivers'!K14</f>
        <v>45.813333</v>
      </c>
      <c r="L11" s="9">
        <f>'Revenue Drivers'!L14</f>
        <v>45.813333</v>
      </c>
      <c r="M11" s="9">
        <f>'Revenue Drivers'!M14</f>
        <v>45.813333</v>
      </c>
      <c r="N11" s="9">
        <f>'Revenue Drivers'!N14</f>
        <v>45.813333</v>
      </c>
      <c r="O11" s="9">
        <f>'Revenue Drivers'!O14</f>
        <v>45.813333</v>
      </c>
      <c r="P11" s="9">
        <f>'Revenue Drivers'!P14</f>
        <v>45.813333</v>
      </c>
      <c r="Q11" s="9">
        <f>'Revenue Drivers'!Q14</f>
        <v>45.813333</v>
      </c>
      <c r="R11" s="9">
        <f>'Revenue Drivers'!R14</f>
        <v>45.813333</v>
      </c>
      <c r="S11" s="9">
        <f>'Revenue Drivers'!S14</f>
        <v>45.813333</v>
      </c>
      <c r="T11" s="9">
        <f>'Revenue Drivers'!T14</f>
        <v>45.813333</v>
      </c>
      <c r="U11" s="9">
        <f>'Revenue Drivers'!U14</f>
        <v>45.813333</v>
      </c>
      <c r="V11" s="9">
        <f>'Revenue Drivers'!V14</f>
        <v>45.813333</v>
      </c>
      <c r="W11" s="9">
        <f>'Revenue Drivers'!W14</f>
        <v>45.813333</v>
      </c>
      <c r="X11" s="9">
        <f t="shared" si="0"/>
        <v>183.253332</v>
      </c>
      <c r="Y11" s="9">
        <f t="shared" si="1"/>
        <v>183.253332</v>
      </c>
      <c r="Z11" s="9">
        <f t="shared" si="2"/>
        <v>183.253332</v>
      </c>
      <c r="AA11" s="9">
        <f t="shared" si="3"/>
        <v>183.253332</v>
      </c>
      <c r="AB11" s="9">
        <f t="shared" si="4"/>
        <v>183.253332</v>
      </c>
    </row>
    <row r="12" spans="1:28" x14ac:dyDescent="0.3">
      <c r="A12" s="7" t="s">
        <v>94</v>
      </c>
      <c r="B12" s="7" t="s">
        <v>225</v>
      </c>
      <c r="C12" s="11">
        <f>'Revenue Drivers'!C15</f>
        <v>6000</v>
      </c>
      <c r="D12" s="11">
        <f>'Revenue Drivers'!D15</f>
        <v>3228.064805828792</v>
      </c>
      <c r="E12" s="11">
        <f>'Revenue Drivers'!E15</f>
        <v>2343.6876339999999</v>
      </c>
      <c r="F12" s="11">
        <f>'Revenue Drivers'!F15</f>
        <v>2816.99521</v>
      </c>
      <c r="G12" s="11">
        <f>'Revenue Drivers'!G15</f>
        <v>3229.0333869999999</v>
      </c>
      <c r="H12" s="11">
        <f>'Revenue Drivers'!H15</f>
        <v>3587.733455</v>
      </c>
      <c r="I12" s="11">
        <f>'Revenue Drivers'!I15</f>
        <v>3900</v>
      </c>
      <c r="J12" s="11">
        <f>'Revenue Drivers'!J15</f>
        <v>4171.8438169999999</v>
      </c>
      <c r="K12" s="11">
        <f>'Revenue Drivers'!K15</f>
        <v>4408.4976049999996</v>
      </c>
      <c r="L12" s="11">
        <f>'Revenue Drivers'!L15</f>
        <v>4614.5166939999999</v>
      </c>
      <c r="M12" s="11">
        <f>'Revenue Drivers'!M15</f>
        <v>4793.8667269999996</v>
      </c>
      <c r="N12" s="11">
        <f>'Revenue Drivers'!N15</f>
        <v>4950</v>
      </c>
      <c r="O12" s="11">
        <f>'Revenue Drivers'!O15</f>
        <v>5085.9219089999997</v>
      </c>
      <c r="P12" s="11">
        <f>'Revenue Drivers'!P15</f>
        <v>5204.2488030000004</v>
      </c>
      <c r="Q12" s="11">
        <f>'Revenue Drivers'!Q15</f>
        <v>5307.258347</v>
      </c>
      <c r="R12" s="11">
        <f>'Revenue Drivers'!R15</f>
        <v>5396.9333640000004</v>
      </c>
      <c r="S12" s="11">
        <f>'Revenue Drivers'!S15</f>
        <v>5475</v>
      </c>
      <c r="T12" s="11">
        <f>'Revenue Drivers'!T15</f>
        <v>5542.9609540000001</v>
      </c>
      <c r="U12" s="11">
        <f>'Revenue Drivers'!U15</f>
        <v>5602.124401</v>
      </c>
      <c r="V12" s="11">
        <f>'Revenue Drivers'!V15</f>
        <v>5653.6291730000003</v>
      </c>
      <c r="W12" s="11">
        <f>'Revenue Drivers'!W15</f>
        <v>5698.4666820000002</v>
      </c>
      <c r="X12" s="11">
        <f t="shared" si="0"/>
        <v>11617.78103682879</v>
      </c>
      <c r="Y12" s="11">
        <f t="shared" si="1"/>
        <v>16068.074876999999</v>
      </c>
      <c r="Z12" s="11">
        <f t="shared" si="2"/>
        <v>19444.305329999999</v>
      </c>
      <c r="AA12" s="11">
        <f t="shared" si="3"/>
        <v>21383.440514000002</v>
      </c>
      <c r="AB12" s="11">
        <f t="shared" si="4"/>
        <v>22497.181210000002</v>
      </c>
    </row>
    <row r="13" spans="1:28" x14ac:dyDescent="0.3">
      <c r="A13" s="7" t="s">
        <v>95</v>
      </c>
      <c r="B13" s="7" t="s">
        <v>225</v>
      </c>
      <c r="C13" s="13">
        <f>'Revenue Drivers'!C16</f>
        <v>0.7</v>
      </c>
      <c r="D13" s="13">
        <f>'Revenue Drivers'!D16</f>
        <v>0.82608099999999995</v>
      </c>
      <c r="E13" s="13">
        <f>'Revenue Drivers'!E16</f>
        <v>0.73769399999999996</v>
      </c>
      <c r="F13" s="13">
        <f>'Revenue Drivers'!F16</f>
        <v>0.62412000000000001</v>
      </c>
      <c r="G13" s="13">
        <f>'Revenue Drivers'!G16</f>
        <v>0.55241300000000004</v>
      </c>
      <c r="H13" s="13">
        <f>'Revenue Drivers'!H16</f>
        <v>0.51780599999999999</v>
      </c>
      <c r="I13" s="13">
        <f>'Revenue Drivers'!I16</f>
        <v>0.47966300000000001</v>
      </c>
      <c r="J13" s="13">
        <f>'Revenue Drivers'!J16</f>
        <v>0.45671400000000001</v>
      </c>
      <c r="K13" s="13">
        <f>'Revenue Drivers'!K16</f>
        <v>0.439438</v>
      </c>
      <c r="L13" s="13">
        <f>'Revenue Drivers'!L16</f>
        <v>0.43567899999999998</v>
      </c>
      <c r="M13" s="13">
        <f>'Revenue Drivers'!M16</f>
        <v>0.426566</v>
      </c>
      <c r="N13" s="13">
        <f>'Revenue Drivers'!N16</f>
        <v>0.50335700000000005</v>
      </c>
      <c r="O13" s="13">
        <f>'Revenue Drivers'!O16</f>
        <v>0.58657700000000002</v>
      </c>
      <c r="P13" s="13">
        <f>'Revenue Drivers'!P16</f>
        <v>0.64159100000000002</v>
      </c>
      <c r="Q13" s="13">
        <f>'Revenue Drivers'!Q16</f>
        <v>0.67191100000000004</v>
      </c>
      <c r="R13" s="13">
        <f>'Revenue Drivers'!R16</f>
        <v>0.68696699999999999</v>
      </c>
      <c r="S13" s="13">
        <f>'Revenue Drivers'!S16</f>
        <v>0.69405700000000004</v>
      </c>
      <c r="T13" s="13">
        <f>'Revenue Drivers'!T16</f>
        <v>0.69731200000000004</v>
      </c>
      <c r="U13" s="13">
        <f>'Revenue Drivers'!U16</f>
        <v>0.69878799999999996</v>
      </c>
      <c r="V13" s="13">
        <f>'Revenue Drivers'!V16</f>
        <v>0.69945500000000005</v>
      </c>
      <c r="W13" s="13">
        <f>'Revenue Drivers'!W16</f>
        <v>0.69975500000000002</v>
      </c>
      <c r="X13" s="13">
        <f t="shared" si="0"/>
        <v>2.7403080000000002</v>
      </c>
      <c r="Y13" s="13">
        <f t="shared" si="1"/>
        <v>1.893621</v>
      </c>
      <c r="Z13" s="13">
        <f t="shared" si="2"/>
        <v>1.9521790000000001</v>
      </c>
      <c r="AA13" s="13">
        <f t="shared" si="3"/>
        <v>2.6945260000000002</v>
      </c>
      <c r="AB13" s="13">
        <f t="shared" si="4"/>
        <v>2.7953100000000002</v>
      </c>
    </row>
    <row r="14" spans="1:28" x14ac:dyDescent="0.3">
      <c r="A14" s="7" t="s">
        <v>96</v>
      </c>
      <c r="B14" s="7" t="s">
        <v>225</v>
      </c>
      <c r="C14" s="11">
        <f>'Revenue Drivers'!C17</f>
        <v>436800</v>
      </c>
      <c r="D14" s="11">
        <f>'Revenue Drivers'!D17</f>
        <v>122167.80388232171</v>
      </c>
      <c r="E14" s="11">
        <f>'Revenue Drivers'!E17</f>
        <v>79207.784938565514</v>
      </c>
      <c r="F14" s="11">
        <f>'Revenue Drivers'!F17</f>
        <v>80546.393032598018</v>
      </c>
      <c r="G14" s="11">
        <f>'Revenue Drivers'!G17</f>
        <v>81719.991807259823</v>
      </c>
      <c r="H14" s="11">
        <f>'Revenue Drivers'!H17</f>
        <v>85109.715230049667</v>
      </c>
      <c r="I14" s="11">
        <f>'Revenue Drivers'!I17</f>
        <v>85702.346912438094</v>
      </c>
      <c r="J14" s="11">
        <f>'Revenue Drivers'!J17</f>
        <v>87289.951939557417</v>
      </c>
      <c r="K14" s="11">
        <f>'Revenue Drivers'!K17</f>
        <v>88752.400276859815</v>
      </c>
      <c r="L14" s="11">
        <f>'Revenue Drivers'!L17</f>
        <v>92105.324561049012</v>
      </c>
      <c r="M14" s="11">
        <f>'Revenue Drivers'!M17</f>
        <v>93683.710044632346</v>
      </c>
      <c r="N14" s="11">
        <f>'Revenue Drivers'!N17</f>
        <v>114149.28620146097</v>
      </c>
      <c r="O14" s="11">
        <f>'Revenue Drivers'!O17</f>
        <v>136674.22069163618</v>
      </c>
      <c r="P14" s="11">
        <f>'Revenue Drivers'!P17</f>
        <v>152970.68195071374</v>
      </c>
      <c r="Q14" s="11">
        <f>'Revenue Drivers'!Q17</f>
        <v>163370.5866023273</v>
      </c>
      <c r="R14" s="11">
        <f>'Revenue Drivers'!R17</f>
        <v>169853.62489895325</v>
      </c>
      <c r="S14" s="11">
        <f>'Revenue Drivers'!S17</f>
        <v>174088.92792934598</v>
      </c>
      <c r="T14" s="11">
        <f>'Revenue Drivers'!T17</f>
        <v>177076.46639913437</v>
      </c>
      <c r="U14" s="11">
        <f>'Revenue Drivers'!U17</f>
        <v>179345.33127059016</v>
      </c>
      <c r="V14" s="11">
        <f>'Revenue Drivers'!V17</f>
        <v>181166.95585301574</v>
      </c>
      <c r="W14" s="11">
        <f>'Revenue Drivers'!W17</f>
        <v>182682.06507514528</v>
      </c>
      <c r="X14" s="11">
        <f t="shared" si="0"/>
        <v>363641.97366074508</v>
      </c>
      <c r="Y14" s="11">
        <f t="shared" si="1"/>
        <v>346854.41435890499</v>
      </c>
      <c r="Z14" s="11">
        <f t="shared" si="2"/>
        <v>436612.5414987785</v>
      </c>
      <c r="AA14" s="11">
        <f t="shared" si="3"/>
        <v>660283.82138134027</v>
      </c>
      <c r="AB14" s="11">
        <f t="shared" si="4"/>
        <v>720270.81859788555</v>
      </c>
    </row>
    <row r="15" spans="1:28" x14ac:dyDescent="0.3">
      <c r="A15" s="18" t="s">
        <v>31</v>
      </c>
      <c r="B15" s="18" t="s">
        <v>225</v>
      </c>
      <c r="C15" s="19">
        <f>'Revenue Drivers'!C20</f>
        <v>1528800</v>
      </c>
      <c r="D15" s="19">
        <f>'Revenue Drivers'!D20</f>
        <v>274877.56073520612</v>
      </c>
      <c r="E15" s="19">
        <f>'Revenue Drivers'!E20</f>
        <v>277227.24987836578</v>
      </c>
      <c r="F15" s="19">
        <f>'Revenue Drivers'!F20</f>
        <v>281912.37828704889</v>
      </c>
      <c r="G15" s="19">
        <f>'Revenue Drivers'!G20</f>
        <v>286019.97403268429</v>
      </c>
      <c r="H15" s="19">
        <f>'Revenue Drivers'!H20</f>
        <v>297884.00606214564</v>
      </c>
      <c r="I15" s="19">
        <f>'Revenue Drivers'!I20</f>
        <v>299958.21699956188</v>
      </c>
      <c r="J15" s="19">
        <f>'Revenue Drivers'!J20</f>
        <v>305514.83464646013</v>
      </c>
      <c r="K15" s="19">
        <f>'Revenue Drivers'!K20</f>
        <v>310633.40387490141</v>
      </c>
      <c r="L15" s="19">
        <f>'Revenue Drivers'!L20</f>
        <v>322368.63895439368</v>
      </c>
      <c r="M15" s="19">
        <f>'Revenue Drivers'!M20</f>
        <v>327892.98824799201</v>
      </c>
      <c r="N15" s="19">
        <f>'Revenue Drivers'!N20</f>
        <v>399522.50544253911</v>
      </c>
      <c r="O15" s="19">
        <f>'Revenue Drivers'!O20</f>
        <v>478359.77686206251</v>
      </c>
      <c r="P15" s="19">
        <f>'Revenue Drivers'!P20</f>
        <v>535397.39179925504</v>
      </c>
      <c r="Q15" s="19">
        <f>'Revenue Drivers'!Q20</f>
        <v>571797.05845715338</v>
      </c>
      <c r="R15" s="19">
        <f>'Revenue Drivers'!R20</f>
        <v>594487.69266826869</v>
      </c>
      <c r="S15" s="19">
        <f>'Revenue Drivers'!S20</f>
        <v>609311.253452654</v>
      </c>
      <c r="T15" s="19">
        <f>'Revenue Drivers'!T20</f>
        <v>619767.63823466282</v>
      </c>
      <c r="U15" s="19">
        <f>'Revenue Drivers'!U20</f>
        <v>627708.66535912873</v>
      </c>
      <c r="V15" s="19">
        <f>'Revenue Drivers'!V20</f>
        <v>634084.3514572992</v>
      </c>
      <c r="W15" s="19">
        <f>'Revenue Drivers'!W20</f>
        <v>639387.23374430416</v>
      </c>
      <c r="X15" s="19">
        <f t="shared" si="0"/>
        <v>1120037.1629333051</v>
      </c>
      <c r="Y15" s="19">
        <f t="shared" si="1"/>
        <v>1213990.4615830691</v>
      </c>
      <c r="Z15" s="19">
        <f t="shared" si="2"/>
        <v>1528143.9095069873</v>
      </c>
      <c r="AA15" s="19">
        <f t="shared" si="3"/>
        <v>2310993.3963773311</v>
      </c>
      <c r="AB15" s="19">
        <f t="shared" si="4"/>
        <v>2520947.8887953949</v>
      </c>
    </row>
    <row r="16" spans="1:28" x14ac:dyDescent="0.3">
      <c r="A16" s="7" t="s">
        <v>33</v>
      </c>
      <c r="B16" s="7" t="s">
        <v>226</v>
      </c>
      <c r="C16" s="13">
        <v>0.16</v>
      </c>
      <c r="D16" s="13">
        <v>0.2160425</v>
      </c>
      <c r="E16" s="13">
        <v>0.2160425</v>
      </c>
      <c r="F16" s="13">
        <v>0.2160425</v>
      </c>
      <c r="G16" s="13">
        <v>0.2160425</v>
      </c>
      <c r="H16" s="13">
        <v>0.2160425</v>
      </c>
      <c r="I16" s="13">
        <v>0.2160425</v>
      </c>
      <c r="J16" s="13">
        <v>0.2160425</v>
      </c>
      <c r="K16" s="13">
        <v>0.2160425</v>
      </c>
      <c r="L16" s="13">
        <v>0.2160425</v>
      </c>
      <c r="M16" s="13">
        <v>0.2160425</v>
      </c>
      <c r="N16" s="13">
        <v>0.25195657915672931</v>
      </c>
      <c r="O16" s="13">
        <v>0.28193057771009022</v>
      </c>
      <c r="P16" s="13">
        <v>0.29441938265246781</v>
      </c>
      <c r="Q16" s="13">
        <v>0.30329399525986289</v>
      </c>
      <c r="R16" s="13">
        <v>0.30827631982857789</v>
      </c>
      <c r="S16" s="13">
        <v>0.31133082340000651</v>
      </c>
      <c r="T16" s="13">
        <v>0.31011408922507522</v>
      </c>
      <c r="U16" s="13">
        <v>0.31167918864718858</v>
      </c>
      <c r="V16" s="13">
        <v>0.31290740263259897</v>
      </c>
      <c r="W16" s="13">
        <v>0.31391029254202718</v>
      </c>
      <c r="X16" s="13">
        <f t="shared" si="0"/>
        <v>0.86416999999999999</v>
      </c>
      <c r="Y16" s="13">
        <f t="shared" si="1"/>
        <v>0.86416999999999999</v>
      </c>
      <c r="Z16" s="13">
        <f t="shared" si="2"/>
        <v>0.96597215686681959</v>
      </c>
      <c r="AA16" s="13">
        <f t="shared" si="3"/>
        <v>1.217320521140915</v>
      </c>
      <c r="AB16" s="13">
        <f t="shared" si="4"/>
        <v>1.2486109730468899</v>
      </c>
    </row>
    <row r="17" spans="1:28" x14ac:dyDescent="0.3">
      <c r="A17" s="7" t="s">
        <v>35</v>
      </c>
      <c r="B17" s="7" t="s">
        <v>226</v>
      </c>
      <c r="C17" s="13">
        <v>0.12</v>
      </c>
      <c r="D17" s="13">
        <v>0.15641125</v>
      </c>
      <c r="E17" s="13">
        <v>0.15641125</v>
      </c>
      <c r="F17" s="13">
        <v>0.15641125</v>
      </c>
      <c r="G17" s="13">
        <v>0.15641125</v>
      </c>
      <c r="H17" s="13">
        <v>0.15641125</v>
      </c>
      <c r="I17" s="13">
        <v>0.15641125</v>
      </c>
      <c r="J17" s="13">
        <v>0.15641125</v>
      </c>
      <c r="K17" s="13">
        <v>0.15641125</v>
      </c>
      <c r="L17" s="13">
        <v>0.15641125</v>
      </c>
      <c r="M17" s="13">
        <v>0.15641125</v>
      </c>
      <c r="N17" s="13">
        <v>0.17186250026678651</v>
      </c>
      <c r="O17" s="13">
        <v>0.1847581602424509</v>
      </c>
      <c r="P17" s="13">
        <v>0.1901311965343086</v>
      </c>
      <c r="Q17" s="13">
        <v>0.19394930529937621</v>
      </c>
      <c r="R17" s="13">
        <v>0.1960928419186953</v>
      </c>
      <c r="S17" s="13">
        <v>0.19740697554626169</v>
      </c>
      <c r="T17" s="13">
        <v>0.1968835021707375</v>
      </c>
      <c r="U17" s="13">
        <v>0.19755685210567361</v>
      </c>
      <c r="V17" s="13">
        <v>0.19808526441960009</v>
      </c>
      <c r="W17" s="13">
        <v>0.19851673595790639</v>
      </c>
      <c r="X17" s="13">
        <f t="shared" si="0"/>
        <v>0.62564500000000001</v>
      </c>
      <c r="Y17" s="13">
        <f t="shared" si="1"/>
        <v>0.62564500000000001</v>
      </c>
      <c r="Z17" s="13">
        <f t="shared" si="2"/>
        <v>0.66944316050923747</v>
      </c>
      <c r="AA17" s="13">
        <f t="shared" si="3"/>
        <v>0.77758031929864191</v>
      </c>
      <c r="AB17" s="13">
        <f t="shared" si="4"/>
        <v>0.79104235465391759</v>
      </c>
    </row>
    <row r="18" spans="1:28" x14ac:dyDescent="0.3">
      <c r="A18" s="7" t="s">
        <v>36</v>
      </c>
      <c r="B18" s="7" t="s">
        <v>226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f t="shared" si="0"/>
        <v>0</v>
      </c>
      <c r="Y18" s="13">
        <f t="shared" si="1"/>
        <v>0</v>
      </c>
      <c r="Z18" s="13">
        <f t="shared" si="2"/>
        <v>0</v>
      </c>
      <c r="AA18" s="13">
        <f t="shared" si="3"/>
        <v>0</v>
      </c>
      <c r="AB18" s="13">
        <f t="shared" si="4"/>
        <v>0</v>
      </c>
    </row>
    <row r="19" spans="1:28" x14ac:dyDescent="0.3">
      <c r="A19" s="33" t="s">
        <v>220</v>
      </c>
      <c r="B19" s="33" t="s">
        <v>227</v>
      </c>
      <c r="C19" s="34">
        <f>'Cash Equity Schedule'!C12</f>
        <v>12600</v>
      </c>
      <c r="D19" s="34">
        <f>'Cash Equity Schedule'!D12</f>
        <v>12600</v>
      </c>
      <c r="E19" s="34">
        <f>'Cash Equity Schedule'!E12</f>
        <v>12600</v>
      </c>
      <c r="F19" s="34">
        <f>'Cash Equity Schedule'!F12</f>
        <v>12600</v>
      </c>
      <c r="G19" s="34">
        <f>'Cash Equity Schedule'!G12</f>
        <v>12600</v>
      </c>
      <c r="H19" s="34">
        <f>'Cash Equity Schedule'!H12</f>
        <v>12600</v>
      </c>
      <c r="I19" s="34">
        <f>'Cash Equity Schedule'!I12</f>
        <v>12600</v>
      </c>
      <c r="J19" s="34">
        <f>'Cash Equity Schedule'!J12</f>
        <v>12600</v>
      </c>
      <c r="K19" s="34">
        <f>'Cash Equity Schedule'!K12</f>
        <v>12600</v>
      </c>
      <c r="L19" s="34">
        <f>'Cash Equity Schedule'!L12</f>
        <v>12600</v>
      </c>
      <c r="M19" s="34">
        <f>'Cash Equity Schedule'!M12</f>
        <v>12600</v>
      </c>
      <c r="N19" s="34">
        <f>'Cash Equity Schedule'!N12</f>
        <v>12600</v>
      </c>
      <c r="O19" s="34">
        <f>'Cash Equity Schedule'!O12</f>
        <v>12600</v>
      </c>
      <c r="P19" s="34">
        <f>'Cash Equity Schedule'!P12</f>
        <v>12600</v>
      </c>
      <c r="Q19" s="34">
        <f>'Cash Equity Schedule'!Q12</f>
        <v>12600</v>
      </c>
      <c r="R19" s="34">
        <f>'Cash Equity Schedule'!R12</f>
        <v>12600</v>
      </c>
      <c r="S19" s="34">
        <f>'Cash Equity Schedule'!S12</f>
        <v>12600</v>
      </c>
      <c r="T19" s="34">
        <f>'Cash Equity Schedule'!T12</f>
        <v>12600</v>
      </c>
      <c r="U19" s="34">
        <f>'Cash Equity Schedule'!U12</f>
        <v>12600</v>
      </c>
      <c r="V19" s="34">
        <f>'Cash Equity Schedule'!V12</f>
        <v>12600</v>
      </c>
      <c r="W19" s="34">
        <f>'Cash Equity Schedule'!W12</f>
        <v>12600</v>
      </c>
      <c r="X19" s="34">
        <f t="shared" si="0"/>
        <v>50400</v>
      </c>
      <c r="Y19" s="34">
        <f t="shared" si="1"/>
        <v>50400</v>
      </c>
      <c r="Z19" s="34">
        <f t="shared" si="2"/>
        <v>50400</v>
      </c>
      <c r="AA19" s="34">
        <f t="shared" si="3"/>
        <v>50400</v>
      </c>
      <c r="AB19" s="34">
        <f t="shared" si="4"/>
        <v>50400</v>
      </c>
    </row>
    <row r="20" spans="1:28" x14ac:dyDescent="0.3">
      <c r="A20" s="33" t="s">
        <v>38</v>
      </c>
      <c r="B20" s="33" t="s">
        <v>228</v>
      </c>
      <c r="C20" s="34">
        <v>134521.875</v>
      </c>
      <c r="D20" s="34">
        <f>'Payroll Schedule'!D17</f>
        <v>115547.95</v>
      </c>
      <c r="E20" s="34">
        <f>'Payroll Schedule'!E17</f>
        <v>115547.95</v>
      </c>
      <c r="F20" s="34">
        <f>'Payroll Schedule'!F17</f>
        <v>115547.95</v>
      </c>
      <c r="G20" s="34">
        <f>'Payroll Schedule'!G17</f>
        <v>115547.95</v>
      </c>
      <c r="H20" s="34">
        <f>'Payroll Schedule'!H17</f>
        <v>119014.3275</v>
      </c>
      <c r="I20" s="34">
        <f>'Payroll Schedule'!I17</f>
        <v>119014.3275</v>
      </c>
      <c r="J20" s="34">
        <f>'Payroll Schedule'!J17</f>
        <v>119014.3275</v>
      </c>
      <c r="K20" s="34">
        <f>'Payroll Schedule'!K17</f>
        <v>119014.3275</v>
      </c>
      <c r="L20" s="34">
        <f>'Payroll Schedule'!L17</f>
        <v>122584.7075</v>
      </c>
      <c r="M20" s="34">
        <f>'Payroll Schedule'!M17</f>
        <v>122584.7075</v>
      </c>
      <c r="N20" s="34">
        <f>'Payroll Schedule'!N17</f>
        <v>122584.7075</v>
      </c>
      <c r="O20" s="34">
        <f>'Payroll Schedule'!O17</f>
        <v>122584.7075</v>
      </c>
      <c r="P20" s="34">
        <f>'Payroll Schedule'!P17</f>
        <v>126262.765</v>
      </c>
      <c r="Q20" s="34">
        <f>'Payroll Schedule'!Q17</f>
        <v>126262.765</v>
      </c>
      <c r="R20" s="34">
        <f>'Payroll Schedule'!R17</f>
        <v>126262.765</v>
      </c>
      <c r="S20" s="34">
        <f>'Payroll Schedule'!S17</f>
        <v>126262.765</v>
      </c>
      <c r="T20" s="34">
        <f>'Payroll Schedule'!T17</f>
        <v>130050.345</v>
      </c>
      <c r="U20" s="34">
        <f>'Payroll Schedule'!U17</f>
        <v>130050.345</v>
      </c>
      <c r="V20" s="34">
        <f>'Payroll Schedule'!V17</f>
        <v>130050.345</v>
      </c>
      <c r="W20" s="34">
        <f>'Payroll Schedule'!W17</f>
        <v>130050.345</v>
      </c>
      <c r="X20" s="34">
        <f t="shared" si="0"/>
        <v>462191.8</v>
      </c>
      <c r="Y20" s="34">
        <f t="shared" si="1"/>
        <v>476057.31</v>
      </c>
      <c r="Z20" s="34">
        <f t="shared" si="2"/>
        <v>490338.83</v>
      </c>
      <c r="AA20" s="34">
        <f t="shared" si="3"/>
        <v>505051.06</v>
      </c>
      <c r="AB20" s="34">
        <f t="shared" si="4"/>
        <v>520201.38</v>
      </c>
    </row>
    <row r="21" spans="1:28" x14ac:dyDescent="0.3">
      <c r="A21" s="7" t="s">
        <v>39</v>
      </c>
      <c r="B21" s="7" t="s">
        <v>226</v>
      </c>
      <c r="C21" s="13">
        <v>4.5800000000000002E-4</v>
      </c>
      <c r="D21" s="13">
        <v>0.15641125</v>
      </c>
      <c r="E21" s="13">
        <v>0.15641125</v>
      </c>
      <c r="F21" s="13">
        <v>0.15641125</v>
      </c>
      <c r="G21" s="13">
        <v>0.15641125</v>
      </c>
      <c r="H21" s="13">
        <v>0.15641125</v>
      </c>
      <c r="I21" s="13">
        <v>0.15641125</v>
      </c>
      <c r="J21" s="13">
        <v>0.15641125</v>
      </c>
      <c r="K21" s="13">
        <v>0.15641125</v>
      </c>
      <c r="L21" s="13">
        <v>0.15641125</v>
      </c>
      <c r="M21" s="13">
        <v>0.15641125</v>
      </c>
      <c r="N21" s="13">
        <v>0.17186250026678651</v>
      </c>
      <c r="O21" s="13">
        <v>0.1847581602424509</v>
      </c>
      <c r="P21" s="13">
        <v>0.1901311965343086</v>
      </c>
      <c r="Q21" s="13">
        <v>0.19394930529937621</v>
      </c>
      <c r="R21" s="13">
        <v>0.1960928419186953</v>
      </c>
      <c r="S21" s="13">
        <v>0.19740697554626169</v>
      </c>
      <c r="T21" s="13">
        <v>0.1968835021707375</v>
      </c>
      <c r="U21" s="13">
        <v>0.19755685210567361</v>
      </c>
      <c r="V21" s="13">
        <v>0.19808526441960009</v>
      </c>
      <c r="W21" s="13">
        <v>0.19851673595790639</v>
      </c>
      <c r="X21" s="13">
        <f t="shared" si="0"/>
        <v>0.62564500000000001</v>
      </c>
      <c r="Y21" s="13">
        <f t="shared" si="1"/>
        <v>0.62564500000000001</v>
      </c>
      <c r="Z21" s="13">
        <f t="shared" si="2"/>
        <v>0.66944316050923747</v>
      </c>
      <c r="AA21" s="13">
        <f t="shared" si="3"/>
        <v>0.77758031929864191</v>
      </c>
      <c r="AB21" s="13">
        <f t="shared" si="4"/>
        <v>0.79104235465391759</v>
      </c>
    </row>
    <row r="22" spans="1:28" x14ac:dyDescent="0.3">
      <c r="A22" s="33" t="s">
        <v>171</v>
      </c>
      <c r="B22" s="33" t="s">
        <v>229</v>
      </c>
      <c r="C22" s="35">
        <f>'Debt Schedule'!C12</f>
        <v>0</v>
      </c>
      <c r="D22" s="35">
        <f>'Debt Schedule'!D12</f>
        <v>2.3813000000000001E-2</v>
      </c>
      <c r="E22" s="35">
        <f>'Debt Schedule'!E12</f>
        <v>2.3813000000000001E-2</v>
      </c>
      <c r="F22" s="35">
        <f>'Debt Schedule'!F12</f>
        <v>2.3813000000000001E-2</v>
      </c>
      <c r="G22" s="35">
        <f>'Debt Schedule'!G12</f>
        <v>2.3813000000000001E-2</v>
      </c>
      <c r="H22" s="35">
        <f>'Debt Schedule'!H12</f>
        <v>2.3813000000000001E-2</v>
      </c>
      <c r="I22" s="35">
        <f>'Debt Schedule'!I12</f>
        <v>2.3813000000000001E-2</v>
      </c>
      <c r="J22" s="35">
        <f>'Debt Schedule'!J12</f>
        <v>2.3813000000000001E-2</v>
      </c>
      <c r="K22" s="35">
        <f>'Debt Schedule'!K12</f>
        <v>2.3813000000000001E-2</v>
      </c>
      <c r="L22" s="35">
        <f>'Debt Schedule'!L12</f>
        <v>2.3813000000000001E-2</v>
      </c>
      <c r="M22" s="35">
        <f>'Debt Schedule'!M12</f>
        <v>2.3813000000000001E-2</v>
      </c>
      <c r="N22" s="35">
        <f>'Debt Schedule'!N12</f>
        <v>2.3813000000000001E-2</v>
      </c>
      <c r="O22" s="35">
        <f>'Debt Schedule'!O12</f>
        <v>2.3813000000000001E-2</v>
      </c>
      <c r="P22" s="35">
        <f>'Debt Schedule'!P12</f>
        <v>2.3813000000000001E-2</v>
      </c>
      <c r="Q22" s="35">
        <f>'Debt Schedule'!Q12</f>
        <v>2.3813000000000001E-2</v>
      </c>
      <c r="R22" s="35">
        <f>'Debt Schedule'!R12</f>
        <v>2.3813000000000001E-2</v>
      </c>
      <c r="S22" s="35">
        <f>'Debt Schedule'!S12</f>
        <v>2.3813000000000001E-2</v>
      </c>
      <c r="T22" s="35">
        <f>'Debt Schedule'!T12</f>
        <v>2.3813000000000001E-2</v>
      </c>
      <c r="U22" s="35">
        <f>'Debt Schedule'!U12</f>
        <v>2.3813000000000001E-2</v>
      </c>
      <c r="V22" s="35">
        <f>'Debt Schedule'!V12</f>
        <v>2.3813000000000001E-2</v>
      </c>
      <c r="W22" s="35">
        <f>'Debt Schedule'!W12</f>
        <v>2.3813000000000001E-2</v>
      </c>
      <c r="X22" s="35">
        <f t="shared" si="0"/>
        <v>9.5252000000000003E-2</v>
      </c>
      <c r="Y22" s="35">
        <f t="shared" si="1"/>
        <v>9.5252000000000003E-2</v>
      </c>
      <c r="Z22" s="35">
        <f t="shared" si="2"/>
        <v>9.5252000000000003E-2</v>
      </c>
      <c r="AA22" s="35">
        <f t="shared" si="3"/>
        <v>9.5252000000000003E-2</v>
      </c>
      <c r="AB22" s="35">
        <f t="shared" si="4"/>
        <v>9.5252000000000003E-2</v>
      </c>
    </row>
    <row r="23" spans="1:28" x14ac:dyDescent="0.3">
      <c r="A23" s="33" t="s">
        <v>173</v>
      </c>
      <c r="B23" s="33" t="s">
        <v>229</v>
      </c>
      <c r="C23" s="34">
        <v>0</v>
      </c>
      <c r="D23" s="34">
        <f>'Debt Schedule'!D13</f>
        <v>0</v>
      </c>
      <c r="E23" s="34">
        <f>'Debt Schedule'!E13</f>
        <v>0</v>
      </c>
      <c r="F23" s="34">
        <f>'Debt Schedule'!F13</f>
        <v>0</v>
      </c>
      <c r="G23" s="34">
        <f>'Debt Schedule'!G13</f>
        <v>0</v>
      </c>
      <c r="H23" s="34">
        <f>'Debt Schedule'!H13</f>
        <v>0</v>
      </c>
      <c r="I23" s="34">
        <f>'Debt Schedule'!I13</f>
        <v>0</v>
      </c>
      <c r="J23" s="34">
        <f>'Debt Schedule'!J13</f>
        <v>0</v>
      </c>
      <c r="K23" s="34">
        <f>'Debt Schedule'!K13</f>
        <v>0</v>
      </c>
      <c r="L23" s="34">
        <f>'Debt Schedule'!L13</f>
        <v>0</v>
      </c>
      <c r="M23" s="34">
        <f>'Debt Schedule'!M13</f>
        <v>0</v>
      </c>
      <c r="N23" s="34">
        <f>'Debt Schedule'!N13</f>
        <v>0</v>
      </c>
      <c r="O23" s="34">
        <f>'Debt Schedule'!O13</f>
        <v>0</v>
      </c>
      <c r="P23" s="34">
        <f>'Debt Schedule'!P13</f>
        <v>0</v>
      </c>
      <c r="Q23" s="34">
        <f>'Debt Schedule'!Q13</f>
        <v>0</v>
      </c>
      <c r="R23" s="34">
        <f>'Debt Schedule'!R13</f>
        <v>0</v>
      </c>
      <c r="S23" s="34">
        <f>'Debt Schedule'!S13</f>
        <v>0</v>
      </c>
      <c r="T23" s="34">
        <f>'Debt Schedule'!T13</f>
        <v>0</v>
      </c>
      <c r="U23" s="34">
        <f>'Debt Schedule'!U13</f>
        <v>0</v>
      </c>
      <c r="V23" s="34">
        <f>'Debt Schedule'!V13</f>
        <v>0</v>
      </c>
      <c r="W23" s="34">
        <f>'Debt Schedule'!W13</f>
        <v>0</v>
      </c>
      <c r="X23" s="34">
        <f t="shared" si="0"/>
        <v>0</v>
      </c>
      <c r="Y23" s="34">
        <f t="shared" si="1"/>
        <v>0</v>
      </c>
      <c r="Z23" s="34">
        <f t="shared" si="2"/>
        <v>0</v>
      </c>
      <c r="AA23" s="34">
        <f t="shared" si="3"/>
        <v>0</v>
      </c>
      <c r="AB23" s="34">
        <f t="shared" si="4"/>
        <v>0</v>
      </c>
    </row>
    <row r="24" spans="1:28" x14ac:dyDescent="0.3">
      <c r="A24" s="7" t="s">
        <v>42</v>
      </c>
      <c r="B24" s="7" t="s">
        <v>230</v>
      </c>
      <c r="C24" s="13">
        <f>'CapEx Depreciation'!C10</f>
        <v>0</v>
      </c>
      <c r="D24" s="13">
        <f>'CapEx Depreciation'!D10</f>
        <v>2.5000000000000001E-4</v>
      </c>
      <c r="E24" s="13">
        <f>'CapEx Depreciation'!E10</f>
        <v>4.9899999999999999E-4</v>
      </c>
      <c r="F24" s="13">
        <f>'CapEx Depreciation'!F10</f>
        <v>7.4700000000000005E-4</v>
      </c>
      <c r="G24" s="13">
        <f>'CapEx Depreciation'!G10</f>
        <v>9.9299999999999996E-4</v>
      </c>
      <c r="H24" s="13">
        <f>'CapEx Depreciation'!H10</f>
        <v>1.2390000000000001E-3</v>
      </c>
      <c r="I24" s="13">
        <f>'CapEx Depreciation'!I10</f>
        <v>1.485E-3</v>
      </c>
      <c r="J24" s="13">
        <f>'CapEx Depreciation'!J10</f>
        <v>1.73E-3</v>
      </c>
      <c r="K24" s="13">
        <f>'CapEx Depreciation'!K10</f>
        <v>1.9740000000000001E-3</v>
      </c>
      <c r="L24" s="13">
        <f>'CapEx Depreciation'!L10</f>
        <v>2.2179999999999999E-3</v>
      </c>
      <c r="M24" s="13">
        <f>'CapEx Depreciation'!M10</f>
        <v>2.4620000000000002E-3</v>
      </c>
      <c r="N24" s="13">
        <f>'CapEx Depreciation'!N10</f>
        <v>2.7060000000000001E-3</v>
      </c>
      <c r="O24" s="13">
        <f>'CapEx Depreciation'!O10</f>
        <v>2.9489999999999998E-3</v>
      </c>
      <c r="P24" s="13">
        <f>'CapEx Depreciation'!P10</f>
        <v>3.1930000000000001E-3</v>
      </c>
      <c r="Q24" s="13">
        <f>'CapEx Depreciation'!Q10</f>
        <v>3.4380000000000001E-3</v>
      </c>
      <c r="R24" s="13">
        <f>'CapEx Depreciation'!R10</f>
        <v>3.6819999999999999E-3</v>
      </c>
      <c r="S24" s="13">
        <f>'CapEx Depreciation'!S10</f>
        <v>3.9269999999999999E-3</v>
      </c>
      <c r="T24" s="13">
        <f>'CapEx Depreciation'!T10</f>
        <v>4.1729999999999996E-3</v>
      </c>
      <c r="U24" s="13">
        <f>'CapEx Depreciation'!U10</f>
        <v>4.4200000000000003E-3</v>
      </c>
      <c r="V24" s="13">
        <f>'CapEx Depreciation'!V10</f>
        <v>4.6670000000000001E-3</v>
      </c>
      <c r="W24" s="13">
        <f>'CapEx Depreciation'!W10</f>
        <v>4.9160000000000002E-3</v>
      </c>
      <c r="X24" s="13">
        <f t="shared" si="0"/>
        <v>2.4889999999999999E-3</v>
      </c>
      <c r="Y24" s="13">
        <f t="shared" si="1"/>
        <v>6.4279999999999997E-3</v>
      </c>
      <c r="Z24" s="13">
        <f t="shared" si="2"/>
        <v>1.0335E-2</v>
      </c>
      <c r="AA24" s="13">
        <f t="shared" si="3"/>
        <v>1.4239999999999999E-2</v>
      </c>
      <c r="AB24" s="13">
        <f t="shared" si="4"/>
        <v>1.8176000000000001E-2</v>
      </c>
    </row>
    <row r="25" spans="1:28" x14ac:dyDescent="0.3">
      <c r="A25" s="7" t="s">
        <v>195</v>
      </c>
      <c r="B25" s="7" t="s">
        <v>230</v>
      </c>
      <c r="C25" s="11">
        <f>'CapEx Depreciation'!C11</f>
        <v>0</v>
      </c>
      <c r="D25" s="11">
        <f>'CapEx Depreciation'!D11</f>
        <v>10</v>
      </c>
      <c r="E25" s="11">
        <f>'CapEx Depreciation'!E11</f>
        <v>20.05481</v>
      </c>
      <c r="F25" s="11">
        <f>'CapEx Depreciation'!F11</f>
        <v>30.157058706929998</v>
      </c>
      <c r="G25" s="11">
        <f>'CapEx Depreciation'!G11</f>
        <v>40.258794459042015</v>
      </c>
      <c r="H25" s="11">
        <f>'CapEx Depreciation'!H11</f>
        <v>50.433552955258357</v>
      </c>
      <c r="I25" s="11">
        <f>'CapEx Depreciation'!I11</f>
        <v>60.674335608464972</v>
      </c>
      <c r="J25" s="11">
        <f>'CapEx Depreciation'!J11</f>
        <v>70.933035826957635</v>
      </c>
      <c r="K25" s="11">
        <f>'CapEx Depreciation'!K11</f>
        <v>81.202129508549177</v>
      </c>
      <c r="L25" s="11">
        <f>'CapEx Depreciation'!L11</f>
        <v>91.515362201205377</v>
      </c>
      <c r="M25" s="11">
        <f>'CapEx Depreciation'!M11</f>
        <v>101.86548081430611</v>
      </c>
      <c r="N25" s="11">
        <f>'CapEx Depreciation'!N11</f>
        <v>112.24516071751559</v>
      </c>
      <c r="O25" s="11">
        <f>'CapEx Depreciation'!O11</f>
        <v>122.60543907764801</v>
      </c>
      <c r="P25" s="11">
        <f>'CapEx Depreciation'!P11</f>
        <v>133.02207214032535</v>
      </c>
      <c r="Q25" s="11">
        <f>'CapEx Depreciation'!Q11</f>
        <v>143.48771660552231</v>
      </c>
      <c r="R25" s="11">
        <f>'CapEx Depreciation'!R11</f>
        <v>153.91128887568681</v>
      </c>
      <c r="S25" s="11">
        <f>'CapEx Depreciation'!S11</f>
        <v>164.36888737212266</v>
      </c>
      <c r="T25" s="11">
        <f>'CapEx Depreciation'!T11</f>
        <v>174.85290295433842</v>
      </c>
      <c r="U25" s="11">
        <f>'CapEx Depreciation'!U11</f>
        <v>185.35561415539851</v>
      </c>
      <c r="V25" s="11">
        <f>'CapEx Depreciation'!V11</f>
        <v>195.82723596609475</v>
      </c>
      <c r="W25" s="11">
        <f>'CapEx Depreciation'!W11</f>
        <v>206.34396114815664</v>
      </c>
      <c r="X25" s="11">
        <f t="shared" si="0"/>
        <v>100.47066316597201</v>
      </c>
      <c r="Y25" s="11">
        <f t="shared" si="1"/>
        <v>263.24305389923018</v>
      </c>
      <c r="Z25" s="11">
        <f t="shared" si="2"/>
        <v>428.23144281067505</v>
      </c>
      <c r="AA25" s="11">
        <f t="shared" si="3"/>
        <v>594.78996499365712</v>
      </c>
      <c r="AB25" s="11">
        <f t="shared" si="4"/>
        <v>762.37971422398834</v>
      </c>
    </row>
    <row r="26" spans="1:28" x14ac:dyDescent="0.3">
      <c r="A26" s="7" t="s">
        <v>43</v>
      </c>
      <c r="B26" s="7" t="s">
        <v>226</v>
      </c>
      <c r="C26" s="13">
        <v>0.20497599999999999</v>
      </c>
      <c r="D26" s="13">
        <v>0.20497599999999999</v>
      </c>
      <c r="E26" s="13">
        <v>0.20497599999999999</v>
      </c>
      <c r="F26" s="13">
        <v>0.20497599999999999</v>
      </c>
      <c r="G26" s="13">
        <v>0.20497599999999999</v>
      </c>
      <c r="H26" s="13">
        <v>0.20497599999999999</v>
      </c>
      <c r="I26" s="13">
        <v>0.20497599999999999</v>
      </c>
      <c r="J26" s="13">
        <v>0.20497599999999999</v>
      </c>
      <c r="K26" s="13">
        <v>0.20497599999999999</v>
      </c>
      <c r="L26" s="13">
        <v>0.20497599999999999</v>
      </c>
      <c r="M26" s="13">
        <v>0.20497599999999999</v>
      </c>
      <c r="N26" s="13">
        <v>0.20497599999999999</v>
      </c>
      <c r="O26" s="13">
        <v>0.20497599999999999</v>
      </c>
      <c r="P26" s="13">
        <v>0.20497599999999999</v>
      </c>
      <c r="Q26" s="13">
        <v>0.20497599999999999</v>
      </c>
      <c r="R26" s="13">
        <v>0.20497599999999999</v>
      </c>
      <c r="S26" s="13">
        <v>0.20497599999999999</v>
      </c>
      <c r="T26" s="13">
        <v>0.20497599999999999</v>
      </c>
      <c r="U26" s="13">
        <v>0.20497599999999999</v>
      </c>
      <c r="V26" s="13">
        <v>0.20497599999999999</v>
      </c>
      <c r="W26" s="13">
        <v>0.20497599999999999</v>
      </c>
      <c r="X26" s="13">
        <f t="shared" si="0"/>
        <v>0.81990399999999997</v>
      </c>
      <c r="Y26" s="13">
        <f t="shared" si="1"/>
        <v>0.81990399999999997</v>
      </c>
      <c r="Z26" s="13">
        <f t="shared" si="2"/>
        <v>0.81990399999999997</v>
      </c>
      <c r="AA26" s="13">
        <f t="shared" si="3"/>
        <v>0.81990399999999997</v>
      </c>
      <c r="AB26" s="13">
        <f t="shared" si="4"/>
        <v>0.81990399999999997</v>
      </c>
    </row>
    <row r="28" spans="1:28" x14ac:dyDescent="0.3">
      <c r="A28" s="51" t="s">
        <v>231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 spans="1:28" x14ac:dyDescent="0.3">
      <c r="A29" s="7" t="s">
        <v>201</v>
      </c>
      <c r="B29" s="7" t="s">
        <v>232</v>
      </c>
      <c r="C29" s="9">
        <f>'Working Capital'!C7</f>
        <v>0</v>
      </c>
      <c r="D29" s="9">
        <f>'Working Capital'!D7</f>
        <v>30</v>
      </c>
      <c r="E29" s="9">
        <f>'Working Capital'!E7</f>
        <v>40.918174999999998</v>
      </c>
      <c r="F29" s="9">
        <f>'Working Capital'!F7</f>
        <v>40.918174999999998</v>
      </c>
      <c r="G29" s="9">
        <f>'Working Capital'!G7</f>
        <v>40.918174999999998</v>
      </c>
      <c r="H29" s="9">
        <f>'Working Capital'!H7</f>
        <v>40.918174999999998</v>
      </c>
      <c r="I29" s="9">
        <f>'Working Capital'!I7</f>
        <v>40.918174999999998</v>
      </c>
      <c r="J29" s="9">
        <f>'Working Capital'!J7</f>
        <v>40.918174999999998</v>
      </c>
      <c r="K29" s="9">
        <f>'Working Capital'!K7</f>
        <v>40.918174999999998</v>
      </c>
      <c r="L29" s="9">
        <f>'Working Capital'!L7</f>
        <v>40.918174999999998</v>
      </c>
      <c r="M29" s="9">
        <f>'Working Capital'!M7</f>
        <v>40.918174999999998</v>
      </c>
      <c r="N29" s="9">
        <f>'Working Capital'!N7</f>
        <v>40.918174999999998</v>
      </c>
      <c r="O29" s="9">
        <f>'Working Capital'!O7</f>
        <v>40.918174999999998</v>
      </c>
      <c r="P29" s="9">
        <f>'Working Capital'!P7</f>
        <v>40.918174999999998</v>
      </c>
      <c r="Q29" s="9">
        <f>'Working Capital'!Q7</f>
        <v>40.918174999999998</v>
      </c>
      <c r="R29" s="9">
        <f>'Working Capital'!R7</f>
        <v>40.918174999999998</v>
      </c>
      <c r="S29" s="9">
        <f>'Working Capital'!S7</f>
        <v>40.918174999999998</v>
      </c>
      <c r="T29" s="9">
        <f>'Working Capital'!T7</f>
        <v>40.918174999999998</v>
      </c>
      <c r="U29" s="9">
        <f>'Working Capital'!U7</f>
        <v>40.918174999999998</v>
      </c>
      <c r="V29" s="9">
        <f>'Working Capital'!V7</f>
        <v>40.918174999999998</v>
      </c>
      <c r="W29" s="9">
        <f>'Working Capital'!W7</f>
        <v>40.918174999999998</v>
      </c>
      <c r="X29" s="9">
        <f t="shared" ref="X29:X34" si="5">SUM(D29:G29)</f>
        <v>152.75452499999997</v>
      </c>
      <c r="Y29" s="9">
        <f t="shared" ref="Y29:Y34" si="6">SUM(H29:K29)</f>
        <v>163.67269999999999</v>
      </c>
      <c r="Z29" s="9">
        <f t="shared" ref="Z29:Z34" si="7">SUM(L29:O29)</f>
        <v>163.67269999999999</v>
      </c>
      <c r="AA29" s="9">
        <f t="shared" ref="AA29:AA34" si="8">SUM(P29:S29)</f>
        <v>163.67269999999999</v>
      </c>
      <c r="AB29" s="9">
        <f t="shared" ref="AB29:AB34" si="9">SUM(T29:W29)</f>
        <v>163.67269999999999</v>
      </c>
    </row>
    <row r="30" spans="1:28" x14ac:dyDescent="0.3">
      <c r="A30" s="7" t="s">
        <v>203</v>
      </c>
      <c r="B30" s="7" t="s">
        <v>232</v>
      </c>
      <c r="C30" s="9">
        <f>'Working Capital'!C8</f>
        <v>0</v>
      </c>
      <c r="D30" s="9">
        <f>'Working Capital'!D8</f>
        <v>87.338515999999998</v>
      </c>
      <c r="E30" s="9">
        <f>'Working Capital'!E8</f>
        <v>38.363791999999997</v>
      </c>
      <c r="F30" s="9">
        <f>'Working Capital'!F8</f>
        <v>36.246985000000002</v>
      </c>
      <c r="G30" s="9">
        <f>'Working Capital'!G8</f>
        <v>43.193838999999997</v>
      </c>
      <c r="H30" s="9">
        <f>'Working Capital'!H8</f>
        <v>50.091365000000003</v>
      </c>
      <c r="I30" s="9">
        <f>'Working Capital'!I8</f>
        <v>54.001195000000003</v>
      </c>
      <c r="J30" s="9">
        <f>'Working Capital'!J8</f>
        <v>54.914437999999997</v>
      </c>
      <c r="K30" s="9">
        <f>'Working Capital'!K8</f>
        <v>58.653382999999998</v>
      </c>
      <c r="L30" s="9">
        <f>'Working Capital'!L8</f>
        <v>65.001324999999994</v>
      </c>
      <c r="M30" s="9">
        <f>'Working Capital'!M8</f>
        <v>68.472739000000004</v>
      </c>
      <c r="N30" s="9">
        <f>'Working Capital'!N8</f>
        <v>57.859672000000003</v>
      </c>
      <c r="O30" s="9">
        <f>'Working Capital'!O8</f>
        <v>57.220095999999998</v>
      </c>
      <c r="P30" s="9">
        <f>'Working Capital'!P8</f>
        <v>60.092872</v>
      </c>
      <c r="Q30" s="9">
        <f>'Working Capital'!Q8</f>
        <v>61.160117999999997</v>
      </c>
      <c r="R30" s="9">
        <f>'Working Capital'!R8</f>
        <v>58.232635999999999</v>
      </c>
      <c r="S30" s="9">
        <f>'Working Capital'!S8</f>
        <v>62.555872000000001</v>
      </c>
      <c r="T30" s="9">
        <f>'Working Capital'!T8</f>
        <v>67.389343999999994</v>
      </c>
      <c r="U30" s="9">
        <f>'Working Capital'!U8</f>
        <v>69.496630999999994</v>
      </c>
      <c r="V30" s="9">
        <f>'Working Capital'!V8</f>
        <v>67.333483000000001</v>
      </c>
      <c r="W30" s="9">
        <f>'Working Capital'!W8</f>
        <v>71.665289999999999</v>
      </c>
      <c r="X30" s="9">
        <f t="shared" si="5"/>
        <v>205.14313199999998</v>
      </c>
      <c r="Y30" s="9">
        <f t="shared" si="6"/>
        <v>217.660381</v>
      </c>
      <c r="Z30" s="9">
        <f t="shared" si="7"/>
        <v>248.553832</v>
      </c>
      <c r="AA30" s="9">
        <f t="shared" si="8"/>
        <v>242.04149799999999</v>
      </c>
      <c r="AB30" s="9">
        <f t="shared" si="9"/>
        <v>275.88474799999995</v>
      </c>
    </row>
    <row r="31" spans="1:28" x14ac:dyDescent="0.3">
      <c r="A31" s="7" t="s">
        <v>204</v>
      </c>
      <c r="B31" s="7" t="s">
        <v>232</v>
      </c>
      <c r="C31" s="9">
        <f>'Working Capital'!C9</f>
        <v>0</v>
      </c>
      <c r="D31" s="9">
        <f>'Working Capital'!D9</f>
        <v>41.7</v>
      </c>
      <c r="E31" s="9">
        <f>'Working Capital'!E9</f>
        <v>45.544201999999999</v>
      </c>
      <c r="F31" s="9">
        <f>'Working Capital'!F9</f>
        <v>43.522382</v>
      </c>
      <c r="G31" s="9">
        <f>'Working Capital'!G9</f>
        <v>43.306918000000003</v>
      </c>
      <c r="H31" s="9">
        <f>'Working Capital'!H9</f>
        <v>44.763831000000003</v>
      </c>
      <c r="I31" s="9">
        <f>'Working Capital'!I9</f>
        <v>44.676716999999996</v>
      </c>
      <c r="J31" s="9">
        <f>'Working Capital'!J9</f>
        <v>43.861466999999998</v>
      </c>
      <c r="K31" s="9">
        <f>'Working Capital'!K9</f>
        <v>45.768116999999997</v>
      </c>
      <c r="L31" s="9">
        <f>'Working Capital'!L9</f>
        <v>54.123773999999997</v>
      </c>
      <c r="M31" s="9">
        <f>'Working Capital'!M9</f>
        <v>59.769252999999999</v>
      </c>
      <c r="N31" s="9">
        <f>'Working Capital'!N9</f>
        <v>72.201373000000004</v>
      </c>
      <c r="O31" s="9">
        <f>'Working Capital'!O9</f>
        <v>78.849581999999998</v>
      </c>
      <c r="P31" s="9">
        <f>'Working Capital'!P9</f>
        <v>82.052104</v>
      </c>
      <c r="Q31" s="9">
        <f>'Working Capital'!Q9</f>
        <v>84.986986000000002</v>
      </c>
      <c r="R31" s="9">
        <f>'Working Capital'!R9</f>
        <v>84.986986000000002</v>
      </c>
      <c r="S31" s="9">
        <f>'Working Capital'!S9</f>
        <v>84.986986000000002</v>
      </c>
      <c r="T31" s="9">
        <f>'Working Capital'!T9</f>
        <v>84.986986000000002</v>
      </c>
      <c r="U31" s="9">
        <f>'Working Capital'!U9</f>
        <v>84.986986000000002</v>
      </c>
      <c r="V31" s="9">
        <f>'Working Capital'!V9</f>
        <v>84.986986000000002</v>
      </c>
      <c r="W31" s="9">
        <f>'Working Capital'!W9</f>
        <v>84.986986000000002</v>
      </c>
      <c r="X31" s="9">
        <f t="shared" si="5"/>
        <v>174.07350199999999</v>
      </c>
      <c r="Y31" s="9">
        <f t="shared" si="6"/>
        <v>179.070132</v>
      </c>
      <c r="Z31" s="9">
        <f t="shared" si="7"/>
        <v>264.94398200000001</v>
      </c>
      <c r="AA31" s="9">
        <f t="shared" si="8"/>
        <v>337.01306199999999</v>
      </c>
      <c r="AB31" s="9">
        <f t="shared" si="9"/>
        <v>339.94794400000001</v>
      </c>
    </row>
    <row r="32" spans="1:28" x14ac:dyDescent="0.3">
      <c r="A32" s="7" t="s">
        <v>205</v>
      </c>
      <c r="B32" s="7" t="s">
        <v>232</v>
      </c>
      <c r="C32" s="13">
        <f>'Working Capital'!C10</f>
        <v>0</v>
      </c>
      <c r="D32" s="13">
        <f>'Working Capital'!D10</f>
        <v>0.02</v>
      </c>
      <c r="E32" s="13">
        <f>'Working Capital'!E10</f>
        <v>2.8268999999999999E-2</v>
      </c>
      <c r="F32" s="13">
        <f>'Working Capital'!F10</f>
        <v>2.8268999999999999E-2</v>
      </c>
      <c r="G32" s="13">
        <f>'Working Capital'!G10</f>
        <v>2.8268999999999999E-2</v>
      </c>
      <c r="H32" s="13">
        <f>'Working Capital'!H10</f>
        <v>2.8268999999999999E-2</v>
      </c>
      <c r="I32" s="13">
        <f>'Working Capital'!I10</f>
        <v>2.8268999999999999E-2</v>
      </c>
      <c r="J32" s="13">
        <f>'Working Capital'!J10</f>
        <v>2.8268999999999999E-2</v>
      </c>
      <c r="K32" s="13">
        <f>'Working Capital'!K10</f>
        <v>2.8673000000000001E-2</v>
      </c>
      <c r="L32" s="13">
        <f>'Working Capital'!L10</f>
        <v>3.0023999999999999E-2</v>
      </c>
      <c r="M32" s="13">
        <f>'Working Capital'!M10</f>
        <v>3.108E-2</v>
      </c>
      <c r="N32" s="13">
        <f>'Working Capital'!N10</f>
        <v>2.8268999999999999E-2</v>
      </c>
      <c r="O32" s="13">
        <f>'Working Capital'!O10</f>
        <v>2.8268999999999999E-2</v>
      </c>
      <c r="P32" s="13">
        <f>'Working Capital'!P10</f>
        <v>2.8268999999999999E-2</v>
      </c>
      <c r="Q32" s="13">
        <f>'Working Capital'!Q10</f>
        <v>2.8268999999999999E-2</v>
      </c>
      <c r="R32" s="13">
        <f>'Working Capital'!R10</f>
        <v>2.8268999999999999E-2</v>
      </c>
      <c r="S32" s="13">
        <f>'Working Capital'!S10</f>
        <v>2.8864000000000001E-2</v>
      </c>
      <c r="T32" s="13">
        <f>'Working Capital'!T10</f>
        <v>3.0453999999999998E-2</v>
      </c>
      <c r="U32" s="13">
        <f>'Working Capital'!U10</f>
        <v>3.1405000000000002E-2</v>
      </c>
      <c r="V32" s="13">
        <f>'Working Capital'!V10</f>
        <v>3.1116000000000001E-2</v>
      </c>
      <c r="W32" s="13">
        <f>'Working Capital'!W10</f>
        <v>3.2856000000000003E-2</v>
      </c>
      <c r="X32" s="13">
        <f t="shared" si="5"/>
        <v>0.104807</v>
      </c>
      <c r="Y32" s="13">
        <f t="shared" si="6"/>
        <v>0.11348</v>
      </c>
      <c r="Z32" s="13">
        <f t="shared" si="7"/>
        <v>0.117642</v>
      </c>
      <c r="AA32" s="13">
        <f t="shared" si="8"/>
        <v>0.11367099999999999</v>
      </c>
      <c r="AB32" s="13">
        <f t="shared" si="9"/>
        <v>0.125831</v>
      </c>
    </row>
    <row r="33" spans="1:28" x14ac:dyDescent="0.3">
      <c r="A33" s="7" t="s">
        <v>206</v>
      </c>
      <c r="B33" s="7" t="s">
        <v>232</v>
      </c>
      <c r="C33" s="13">
        <f>'Working Capital'!C11</f>
        <v>0</v>
      </c>
      <c r="D33" s="13">
        <f>'Working Capital'!D11</f>
        <v>0.15</v>
      </c>
      <c r="E33" s="13">
        <f>'Working Capital'!E11</f>
        <v>0.10804800000000001</v>
      </c>
      <c r="F33" s="13">
        <f>'Working Capital'!F11</f>
        <v>9.2135999999999996E-2</v>
      </c>
      <c r="G33" s="13">
        <f>'Working Capital'!G11</f>
        <v>9.0162999999999993E-2</v>
      </c>
      <c r="H33" s="13">
        <f>'Working Capital'!H11</f>
        <v>9.5003000000000004E-2</v>
      </c>
      <c r="I33" s="13">
        <f>'Working Capital'!I11</f>
        <v>9.4687999999999994E-2</v>
      </c>
      <c r="J33" s="13">
        <f>'Working Capital'!J11</f>
        <v>9.1910000000000006E-2</v>
      </c>
      <c r="K33" s="13">
        <f>'Working Capital'!K11</f>
        <v>9.8403000000000004E-2</v>
      </c>
      <c r="L33" s="13">
        <f>'Working Capital'!L11</f>
        <v>0.126861</v>
      </c>
      <c r="M33" s="13">
        <f>'Working Capital'!M11</f>
        <v>0.146088</v>
      </c>
      <c r="N33" s="13">
        <f>'Working Capital'!N11</f>
        <v>0.18842999999999999</v>
      </c>
      <c r="O33" s="13">
        <f>'Working Capital'!O11</f>
        <v>0.21107200000000001</v>
      </c>
      <c r="P33" s="13">
        <f>'Working Capital'!P11</f>
        <v>0.22197900000000001</v>
      </c>
      <c r="Q33" s="13">
        <f>'Working Capital'!Q11</f>
        <v>0.23197499999999999</v>
      </c>
      <c r="R33" s="13">
        <f>'Working Capital'!R11</f>
        <v>0.23197499999999999</v>
      </c>
      <c r="S33" s="13">
        <f>'Working Capital'!S11</f>
        <v>0.23197499999999999</v>
      </c>
      <c r="T33" s="13">
        <f>'Working Capital'!T11</f>
        <v>0.23197499999999999</v>
      </c>
      <c r="U33" s="13">
        <f>'Working Capital'!U11</f>
        <v>0.23197499999999999</v>
      </c>
      <c r="V33" s="13">
        <f>'Working Capital'!V11</f>
        <v>0.23197499999999999</v>
      </c>
      <c r="W33" s="13">
        <f>'Working Capital'!W11</f>
        <v>0.23197499999999999</v>
      </c>
      <c r="X33" s="13">
        <f t="shared" si="5"/>
        <v>0.44034699999999999</v>
      </c>
      <c r="Y33" s="13">
        <f t="shared" si="6"/>
        <v>0.38000400000000001</v>
      </c>
      <c r="Z33" s="13">
        <f t="shared" si="7"/>
        <v>0.67245100000000002</v>
      </c>
      <c r="AA33" s="13">
        <f t="shared" si="8"/>
        <v>0.91790400000000005</v>
      </c>
      <c r="AB33" s="13">
        <f t="shared" si="9"/>
        <v>0.92789999999999995</v>
      </c>
    </row>
    <row r="34" spans="1:28" x14ac:dyDescent="0.3">
      <c r="A34" s="7" t="s">
        <v>207</v>
      </c>
      <c r="B34" s="7" t="s">
        <v>232</v>
      </c>
      <c r="C34" s="13">
        <f>'Working Capital'!C12</f>
        <v>0</v>
      </c>
      <c r="D34" s="13">
        <f>'Working Capital'!D12</f>
        <v>0</v>
      </c>
      <c r="E34" s="13">
        <f>'Working Capital'!E12</f>
        <v>0</v>
      </c>
      <c r="F34" s="13">
        <f>'Working Capital'!F12</f>
        <v>0</v>
      </c>
      <c r="G34" s="13">
        <f>'Working Capital'!G12</f>
        <v>0</v>
      </c>
      <c r="H34" s="13">
        <f>'Working Capital'!H12</f>
        <v>0</v>
      </c>
      <c r="I34" s="13">
        <f>'Working Capital'!I12</f>
        <v>0</v>
      </c>
      <c r="J34" s="13">
        <f>'Working Capital'!J12</f>
        <v>0</v>
      </c>
      <c r="K34" s="13">
        <f>'Working Capital'!K12</f>
        <v>0</v>
      </c>
      <c r="L34" s="13">
        <f>'Working Capital'!L12</f>
        <v>0</v>
      </c>
      <c r="M34" s="13">
        <f>'Working Capital'!M12</f>
        <v>0</v>
      </c>
      <c r="N34" s="13">
        <f>'Working Capital'!N12</f>
        <v>0</v>
      </c>
      <c r="O34" s="13">
        <f>'Working Capital'!O12</f>
        <v>0</v>
      </c>
      <c r="P34" s="13">
        <f>'Working Capital'!P12</f>
        <v>0</v>
      </c>
      <c r="Q34" s="13">
        <f>'Working Capital'!Q12</f>
        <v>0</v>
      </c>
      <c r="R34" s="13">
        <f>'Working Capital'!R12</f>
        <v>0</v>
      </c>
      <c r="S34" s="13">
        <f>'Working Capital'!S12</f>
        <v>0</v>
      </c>
      <c r="T34" s="13">
        <f>'Working Capital'!T12</f>
        <v>0</v>
      </c>
      <c r="U34" s="13">
        <f>'Working Capital'!U12</f>
        <v>0</v>
      </c>
      <c r="V34" s="13">
        <f>'Working Capital'!V12</f>
        <v>0</v>
      </c>
      <c r="W34" s="13">
        <f>'Working Capital'!W12</f>
        <v>0</v>
      </c>
      <c r="X34" s="13">
        <f t="shared" si="5"/>
        <v>0</v>
      </c>
      <c r="Y34" s="13">
        <f t="shared" si="6"/>
        <v>0</v>
      </c>
      <c r="Z34" s="13">
        <f t="shared" si="7"/>
        <v>0</v>
      </c>
      <c r="AA34" s="13">
        <f t="shared" si="8"/>
        <v>0</v>
      </c>
      <c r="AB34" s="13">
        <f t="shared" si="9"/>
        <v>0</v>
      </c>
    </row>
    <row r="35" spans="1:28" x14ac:dyDescent="0.3">
      <c r="A35" s="33" t="s">
        <v>62</v>
      </c>
      <c r="B35" s="33" t="s">
        <v>233</v>
      </c>
      <c r="C35" s="34">
        <f>'Cash Equity Schedule'!C7</f>
        <v>100000</v>
      </c>
      <c r="D35" s="34">
        <f>'Cash Equity Schedule'!D7</f>
        <v>157098</v>
      </c>
      <c r="E35" s="34">
        <f>'Cash Equity Schedule'!E7</f>
        <v>162529</v>
      </c>
      <c r="F35" s="34">
        <f>'Cash Equity Schedule'!F7</f>
        <v>170541</v>
      </c>
      <c r="G35" s="34">
        <f>'Cash Equity Schedule'!G7</f>
        <v>173163</v>
      </c>
      <c r="H35" s="34">
        <f>'Cash Equity Schedule'!H7</f>
        <v>173163</v>
      </c>
      <c r="I35" s="34">
        <f>'Cash Equity Schedule'!I7</f>
        <v>173163</v>
      </c>
      <c r="J35" s="34">
        <f>'Cash Equity Schedule'!J7</f>
        <v>173163</v>
      </c>
      <c r="K35" s="34">
        <f>'Cash Equity Schedule'!K7</f>
        <v>173163</v>
      </c>
      <c r="L35" s="34">
        <f>'Cash Equity Schedule'!L7</f>
        <v>173163</v>
      </c>
      <c r="M35" s="34">
        <f>'Cash Equity Schedule'!M7</f>
        <v>173163</v>
      </c>
      <c r="N35" s="34">
        <f>'Cash Equity Schedule'!N7</f>
        <v>173163</v>
      </c>
      <c r="O35" s="34">
        <f>'Cash Equity Schedule'!O7</f>
        <v>173163</v>
      </c>
      <c r="P35" s="34">
        <f>'Cash Equity Schedule'!P7</f>
        <v>173163</v>
      </c>
      <c r="Q35" s="34">
        <f>'Cash Equity Schedule'!Q7</f>
        <v>173163</v>
      </c>
      <c r="R35" s="34">
        <f>'Cash Equity Schedule'!R7</f>
        <v>173163</v>
      </c>
      <c r="S35" s="34">
        <f>'Cash Equity Schedule'!S7</f>
        <v>173163</v>
      </c>
      <c r="T35" s="34">
        <f>'Cash Equity Schedule'!T7</f>
        <v>173163</v>
      </c>
      <c r="U35" s="34">
        <f>'Cash Equity Schedule'!U7</f>
        <v>173163</v>
      </c>
      <c r="V35" s="34">
        <f>'Cash Equity Schedule'!V7</f>
        <v>173163</v>
      </c>
      <c r="W35" s="34">
        <f>'Cash Equity Schedule'!W7</f>
        <v>173163</v>
      </c>
      <c r="X35" s="34">
        <f>G35</f>
        <v>173163</v>
      </c>
      <c r="Y35" s="34">
        <f>K35</f>
        <v>173163</v>
      </c>
      <c r="Z35" s="34">
        <f>O35</f>
        <v>173163</v>
      </c>
      <c r="AA35" s="34">
        <f>S35</f>
        <v>173163</v>
      </c>
      <c r="AB35" s="34">
        <f>W35</f>
        <v>173163</v>
      </c>
    </row>
    <row r="36" spans="1:28" x14ac:dyDescent="0.3">
      <c r="A36" s="33" t="s">
        <v>64</v>
      </c>
      <c r="B36" s="33" t="s">
        <v>233</v>
      </c>
      <c r="C36" s="34">
        <f>'Cash Equity Schedule'!C8</f>
        <v>0</v>
      </c>
      <c r="D36" s="34">
        <f>'Cash Equity Schedule'!D8</f>
        <v>0</v>
      </c>
      <c r="E36" s="34">
        <f>'Cash Equity Schedule'!E8</f>
        <v>0</v>
      </c>
      <c r="F36" s="34">
        <f>'Cash Equity Schedule'!F8</f>
        <v>0</v>
      </c>
      <c r="G36" s="34">
        <f>'Cash Equity Schedule'!G8</f>
        <v>0</v>
      </c>
      <c r="H36" s="34">
        <f>'Cash Equity Schedule'!H8</f>
        <v>0</v>
      </c>
      <c r="I36" s="34">
        <f>'Cash Equity Schedule'!I8</f>
        <v>0</v>
      </c>
      <c r="J36" s="34">
        <f>'Cash Equity Schedule'!J8</f>
        <v>0</v>
      </c>
      <c r="K36" s="34">
        <f>'Cash Equity Schedule'!K8</f>
        <v>0</v>
      </c>
      <c r="L36" s="34">
        <f>'Cash Equity Schedule'!L8</f>
        <v>0</v>
      </c>
      <c r="M36" s="34">
        <f>'Cash Equity Schedule'!M8</f>
        <v>0</v>
      </c>
      <c r="N36" s="34">
        <f>'Cash Equity Schedule'!N8</f>
        <v>0</v>
      </c>
      <c r="O36" s="34">
        <f>'Cash Equity Schedule'!O8</f>
        <v>0</v>
      </c>
      <c r="P36" s="34">
        <f>'Cash Equity Schedule'!P8</f>
        <v>0</v>
      </c>
      <c r="Q36" s="34">
        <f>'Cash Equity Schedule'!Q8</f>
        <v>0</v>
      </c>
      <c r="R36" s="34">
        <f>'Cash Equity Schedule'!R8</f>
        <v>0</v>
      </c>
      <c r="S36" s="34">
        <f>'Cash Equity Schedule'!S8</f>
        <v>0</v>
      </c>
      <c r="T36" s="34">
        <f>'Cash Equity Schedule'!T8</f>
        <v>0</v>
      </c>
      <c r="U36" s="34">
        <f>'Cash Equity Schedule'!U8</f>
        <v>0</v>
      </c>
      <c r="V36" s="34">
        <f>'Cash Equity Schedule'!V8</f>
        <v>0</v>
      </c>
      <c r="W36" s="34">
        <f>'Cash Equity Schedule'!W8</f>
        <v>0</v>
      </c>
      <c r="X36" s="34">
        <f>G36</f>
        <v>0</v>
      </c>
      <c r="Y36" s="34">
        <f>K36</f>
        <v>0</v>
      </c>
      <c r="Z36" s="34">
        <f>O36</f>
        <v>0</v>
      </c>
      <c r="AA36" s="34">
        <f>S36</f>
        <v>0</v>
      </c>
      <c r="AB36" s="34">
        <f>W36</f>
        <v>0</v>
      </c>
    </row>
    <row r="37" spans="1:28" x14ac:dyDescent="0.3">
      <c r="A37" s="33" t="s">
        <v>77</v>
      </c>
      <c r="B37" s="33" t="s">
        <v>233</v>
      </c>
      <c r="C37" s="34">
        <f>'Cash Equity Schedule'!C9</f>
        <v>0</v>
      </c>
      <c r="D37" s="34">
        <f>'Cash Equity Schedule'!D9</f>
        <v>0</v>
      </c>
      <c r="E37" s="34">
        <f>'Cash Equity Schedule'!E9</f>
        <v>0</v>
      </c>
      <c r="F37" s="34">
        <f>'Cash Equity Schedule'!F9</f>
        <v>0</v>
      </c>
      <c r="G37" s="34">
        <f>'Cash Equity Schedule'!G9</f>
        <v>0</v>
      </c>
      <c r="H37" s="34">
        <f>'Cash Equity Schedule'!H9</f>
        <v>0</v>
      </c>
      <c r="I37" s="34">
        <f>'Cash Equity Schedule'!I9</f>
        <v>0</v>
      </c>
      <c r="J37" s="34">
        <f>'Cash Equity Schedule'!J9</f>
        <v>0</v>
      </c>
      <c r="K37" s="34">
        <f>'Cash Equity Schedule'!K9</f>
        <v>0</v>
      </c>
      <c r="L37" s="34">
        <f>'Cash Equity Schedule'!L9</f>
        <v>0</v>
      </c>
      <c r="M37" s="34">
        <f>'Cash Equity Schedule'!M9</f>
        <v>27903</v>
      </c>
      <c r="N37" s="34">
        <f>'Cash Equity Schedule'!N9</f>
        <v>20347</v>
      </c>
      <c r="O37" s="34">
        <f>'Cash Equity Schedule'!O9</f>
        <v>0</v>
      </c>
      <c r="P37" s="34">
        <f>'Cash Equity Schedule'!P9</f>
        <v>0</v>
      </c>
      <c r="Q37" s="34">
        <f>'Cash Equity Schedule'!Q9</f>
        <v>19113</v>
      </c>
      <c r="R37" s="34">
        <f>'Cash Equity Schedule'!R9</f>
        <v>20352</v>
      </c>
      <c r="S37" s="34">
        <f>'Cash Equity Schedule'!S9</f>
        <v>12743</v>
      </c>
      <c r="T37" s="34">
        <f>'Cash Equity Schedule'!T9</f>
        <v>17757</v>
      </c>
      <c r="U37" s="34">
        <f>'Cash Equity Schedule'!U9</f>
        <v>21932</v>
      </c>
      <c r="V37" s="34">
        <f>'Cash Equity Schedule'!V9</f>
        <v>31847</v>
      </c>
      <c r="W37" s="34">
        <f>'Cash Equity Schedule'!W9</f>
        <v>19557</v>
      </c>
      <c r="X37" s="34">
        <f>G37</f>
        <v>0</v>
      </c>
      <c r="Y37" s="34">
        <f>K37</f>
        <v>0</v>
      </c>
      <c r="Z37" s="34">
        <f>O37</f>
        <v>0</v>
      </c>
      <c r="AA37" s="34">
        <f>S37</f>
        <v>12743</v>
      </c>
      <c r="AB37" s="34">
        <f>W37</f>
        <v>19557</v>
      </c>
    </row>
    <row r="39" spans="1:28" x14ac:dyDescent="0.3">
      <c r="A39" s="51" t="s">
        <v>234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 spans="1:28" x14ac:dyDescent="0.3">
      <c r="A40" s="7" t="s">
        <v>209</v>
      </c>
      <c r="B40" s="7" t="s">
        <v>232</v>
      </c>
      <c r="C40" s="11">
        <f>'Working Capital'!C15</f>
        <v>80000</v>
      </c>
      <c r="D40" s="11">
        <f>'Working Capital'!D15</f>
        <v>0</v>
      </c>
      <c r="E40" s="11">
        <f>'Working Capital'!E15</f>
        <v>0</v>
      </c>
      <c r="F40" s="11">
        <f>'Working Capital'!F15</f>
        <v>0</v>
      </c>
      <c r="G40" s="11">
        <f>'Working Capital'!G15</f>
        <v>0</v>
      </c>
      <c r="H40" s="11">
        <f>'Working Capital'!H15</f>
        <v>0</v>
      </c>
      <c r="I40" s="11">
        <f>'Working Capital'!I15</f>
        <v>0</v>
      </c>
      <c r="J40" s="11">
        <f>'Working Capital'!J15</f>
        <v>0</v>
      </c>
      <c r="K40" s="11">
        <f>'Working Capital'!K15</f>
        <v>0</v>
      </c>
      <c r="L40" s="11">
        <f>'Working Capital'!L15</f>
        <v>0</v>
      </c>
      <c r="M40" s="11">
        <f>'Working Capital'!M15</f>
        <v>0</v>
      </c>
      <c r="N40" s="11">
        <f>'Working Capital'!N15</f>
        <v>0</v>
      </c>
      <c r="O40" s="11">
        <f>'Working Capital'!O15</f>
        <v>0</v>
      </c>
      <c r="P40" s="11">
        <f>'Working Capital'!P15</f>
        <v>0</v>
      </c>
      <c r="Q40" s="11">
        <f>'Working Capital'!Q15</f>
        <v>0</v>
      </c>
      <c r="R40" s="11">
        <f>'Working Capital'!R15</f>
        <v>0</v>
      </c>
      <c r="S40" s="11">
        <f>'Working Capital'!S15</f>
        <v>0</v>
      </c>
      <c r="T40" s="11">
        <f>'Working Capital'!T15</f>
        <v>0</v>
      </c>
      <c r="U40" s="11">
        <f>'Working Capital'!U15</f>
        <v>0</v>
      </c>
      <c r="V40" s="11">
        <f>'Working Capital'!V15</f>
        <v>0</v>
      </c>
      <c r="W40" s="11">
        <f>'Working Capital'!W15</f>
        <v>0</v>
      </c>
      <c r="X40" s="11">
        <f t="shared" ref="X40:X45" si="10">G40</f>
        <v>0</v>
      </c>
      <c r="Y40" s="11">
        <f t="shared" ref="Y40:Y45" si="11">K40</f>
        <v>0</v>
      </c>
      <c r="Z40" s="11">
        <f t="shared" ref="Z40:Z45" si="12">O40</f>
        <v>0</v>
      </c>
      <c r="AA40" s="11">
        <f t="shared" ref="AA40:AA45" si="13">S40</f>
        <v>0</v>
      </c>
      <c r="AB40" s="11">
        <f t="shared" ref="AB40:AB45" si="14">W40</f>
        <v>0</v>
      </c>
    </row>
    <row r="41" spans="1:28" x14ac:dyDescent="0.3">
      <c r="A41" s="7" t="s">
        <v>211</v>
      </c>
      <c r="B41" s="7" t="s">
        <v>232</v>
      </c>
      <c r="C41" s="11">
        <f>'Working Capital'!C16</f>
        <v>12000</v>
      </c>
      <c r="D41" s="11">
        <f>'Working Capital'!D16</f>
        <v>0</v>
      </c>
      <c r="E41" s="11">
        <f>'Working Capital'!E16</f>
        <v>0</v>
      </c>
      <c r="F41" s="11">
        <f>'Working Capital'!F16</f>
        <v>0</v>
      </c>
      <c r="G41" s="11">
        <f>'Working Capital'!G16</f>
        <v>0</v>
      </c>
      <c r="H41" s="11">
        <f>'Working Capital'!H16</f>
        <v>0</v>
      </c>
      <c r="I41" s="11">
        <f>'Working Capital'!I16</f>
        <v>0</v>
      </c>
      <c r="J41" s="11">
        <f>'Working Capital'!J16</f>
        <v>0</v>
      </c>
      <c r="K41" s="11">
        <f>'Working Capital'!K16</f>
        <v>0</v>
      </c>
      <c r="L41" s="11">
        <f>'Working Capital'!L16</f>
        <v>0</v>
      </c>
      <c r="M41" s="11">
        <f>'Working Capital'!M16</f>
        <v>0</v>
      </c>
      <c r="N41" s="11">
        <f>'Working Capital'!N16</f>
        <v>0</v>
      </c>
      <c r="O41" s="11">
        <f>'Working Capital'!O16</f>
        <v>0</v>
      </c>
      <c r="P41" s="11">
        <f>'Working Capital'!P16</f>
        <v>0</v>
      </c>
      <c r="Q41" s="11">
        <f>'Working Capital'!Q16</f>
        <v>0</v>
      </c>
      <c r="R41" s="11">
        <f>'Working Capital'!R16</f>
        <v>0</v>
      </c>
      <c r="S41" s="11">
        <f>'Working Capital'!S16</f>
        <v>0</v>
      </c>
      <c r="T41" s="11">
        <f>'Working Capital'!T16</f>
        <v>0</v>
      </c>
      <c r="U41" s="11">
        <f>'Working Capital'!U16</f>
        <v>0</v>
      </c>
      <c r="V41" s="11">
        <f>'Working Capital'!V16</f>
        <v>0</v>
      </c>
      <c r="W41" s="11">
        <f>'Working Capital'!W16</f>
        <v>0</v>
      </c>
      <c r="X41" s="11">
        <f t="shared" si="10"/>
        <v>0</v>
      </c>
      <c r="Y41" s="11">
        <f t="shared" si="11"/>
        <v>0</v>
      </c>
      <c r="Z41" s="11">
        <f t="shared" si="12"/>
        <v>0</v>
      </c>
      <c r="AA41" s="11">
        <f t="shared" si="13"/>
        <v>0</v>
      </c>
      <c r="AB41" s="11">
        <f t="shared" si="14"/>
        <v>0</v>
      </c>
    </row>
    <row r="42" spans="1:28" x14ac:dyDescent="0.3">
      <c r="A42" s="7" t="s">
        <v>212</v>
      </c>
      <c r="B42" s="7" t="s">
        <v>232</v>
      </c>
      <c r="C42" s="11">
        <f>'Working Capital'!C17</f>
        <v>0</v>
      </c>
      <c r="D42" s="11">
        <f>'Working Capital'!D17</f>
        <v>0</v>
      </c>
      <c r="E42" s="11">
        <f>'Working Capital'!E17</f>
        <v>0</v>
      </c>
      <c r="F42" s="11">
        <f>'Working Capital'!F17</f>
        <v>0</v>
      </c>
      <c r="G42" s="11">
        <f>'Working Capital'!G17</f>
        <v>0</v>
      </c>
      <c r="H42" s="11">
        <f>'Working Capital'!H17</f>
        <v>0</v>
      </c>
      <c r="I42" s="11">
        <f>'Working Capital'!I17</f>
        <v>0</v>
      </c>
      <c r="J42" s="11">
        <f>'Working Capital'!J17</f>
        <v>0</v>
      </c>
      <c r="K42" s="11">
        <f>'Working Capital'!K17</f>
        <v>0</v>
      </c>
      <c r="L42" s="11">
        <f>'Working Capital'!L17</f>
        <v>0</v>
      </c>
      <c r="M42" s="11">
        <f>'Working Capital'!M17</f>
        <v>0</v>
      </c>
      <c r="N42" s="11">
        <f>'Working Capital'!N17</f>
        <v>0</v>
      </c>
      <c r="O42" s="11">
        <f>'Working Capital'!O17</f>
        <v>0</v>
      </c>
      <c r="P42" s="11">
        <f>'Working Capital'!P17</f>
        <v>0</v>
      </c>
      <c r="Q42" s="11">
        <f>'Working Capital'!Q17</f>
        <v>0</v>
      </c>
      <c r="R42" s="11">
        <f>'Working Capital'!R17</f>
        <v>0</v>
      </c>
      <c r="S42" s="11">
        <f>'Working Capital'!S17</f>
        <v>0</v>
      </c>
      <c r="T42" s="11">
        <f>'Working Capital'!T17</f>
        <v>0</v>
      </c>
      <c r="U42" s="11">
        <f>'Working Capital'!U17</f>
        <v>0</v>
      </c>
      <c r="V42" s="11">
        <f>'Working Capital'!V17</f>
        <v>0</v>
      </c>
      <c r="W42" s="11">
        <f>'Working Capital'!W17</f>
        <v>0</v>
      </c>
      <c r="X42" s="11">
        <f t="shared" si="10"/>
        <v>0</v>
      </c>
      <c r="Y42" s="11">
        <f t="shared" si="11"/>
        <v>0</v>
      </c>
      <c r="Z42" s="11">
        <f t="shared" si="12"/>
        <v>0</v>
      </c>
      <c r="AA42" s="11">
        <f t="shared" si="13"/>
        <v>0</v>
      </c>
      <c r="AB42" s="11">
        <f t="shared" si="14"/>
        <v>0</v>
      </c>
    </row>
    <row r="43" spans="1:28" x14ac:dyDescent="0.3">
      <c r="A43" s="7" t="s">
        <v>213</v>
      </c>
      <c r="B43" s="7" t="s">
        <v>232</v>
      </c>
      <c r="C43" s="11">
        <f>'Working Capital'!C18</f>
        <v>0</v>
      </c>
      <c r="D43" s="11">
        <f>'Working Capital'!D18</f>
        <v>0</v>
      </c>
      <c r="E43" s="11">
        <f>'Working Capital'!E18</f>
        <v>0</v>
      </c>
      <c r="F43" s="11">
        <f>'Working Capital'!F18</f>
        <v>0</v>
      </c>
      <c r="G43" s="11">
        <f>'Working Capital'!G18</f>
        <v>0</v>
      </c>
      <c r="H43" s="11">
        <f>'Working Capital'!H18</f>
        <v>0</v>
      </c>
      <c r="I43" s="11">
        <f>'Working Capital'!I18</f>
        <v>0</v>
      </c>
      <c r="J43" s="11">
        <f>'Working Capital'!J18</f>
        <v>0</v>
      </c>
      <c r="K43" s="11">
        <f>'Working Capital'!K18</f>
        <v>0</v>
      </c>
      <c r="L43" s="11">
        <f>'Working Capital'!L18</f>
        <v>0</v>
      </c>
      <c r="M43" s="11">
        <f>'Working Capital'!M18</f>
        <v>0</v>
      </c>
      <c r="N43" s="11">
        <f>'Working Capital'!N18</f>
        <v>0</v>
      </c>
      <c r="O43" s="11">
        <f>'Working Capital'!O18</f>
        <v>0</v>
      </c>
      <c r="P43" s="11">
        <f>'Working Capital'!P18</f>
        <v>0</v>
      </c>
      <c r="Q43" s="11">
        <f>'Working Capital'!Q18</f>
        <v>0</v>
      </c>
      <c r="R43" s="11">
        <f>'Working Capital'!R18</f>
        <v>0</v>
      </c>
      <c r="S43" s="11">
        <f>'Working Capital'!S18</f>
        <v>0</v>
      </c>
      <c r="T43" s="11">
        <f>'Working Capital'!T18</f>
        <v>0</v>
      </c>
      <c r="U43" s="11">
        <f>'Working Capital'!U18</f>
        <v>0</v>
      </c>
      <c r="V43" s="11">
        <f>'Working Capital'!V18</f>
        <v>0</v>
      </c>
      <c r="W43" s="11">
        <f>'Working Capital'!W18</f>
        <v>0</v>
      </c>
      <c r="X43" s="11">
        <f t="shared" si="10"/>
        <v>0</v>
      </c>
      <c r="Y43" s="11">
        <f t="shared" si="11"/>
        <v>0</v>
      </c>
      <c r="Z43" s="11">
        <f t="shared" si="12"/>
        <v>0</v>
      </c>
      <c r="AA43" s="11">
        <f t="shared" si="13"/>
        <v>0</v>
      </c>
      <c r="AB43" s="11">
        <f t="shared" si="14"/>
        <v>0</v>
      </c>
    </row>
    <row r="44" spans="1:28" x14ac:dyDescent="0.3">
      <c r="A44" s="7" t="s">
        <v>214</v>
      </c>
      <c r="B44" s="7" t="s">
        <v>232</v>
      </c>
      <c r="C44" s="11">
        <f>'Working Capital'!C19</f>
        <v>0</v>
      </c>
      <c r="D44" s="11">
        <f>'Working Capital'!D19</f>
        <v>0</v>
      </c>
      <c r="E44" s="11">
        <f>'Working Capital'!E19</f>
        <v>0</v>
      </c>
      <c r="F44" s="11">
        <f>'Working Capital'!F19</f>
        <v>0</v>
      </c>
      <c r="G44" s="11">
        <f>'Working Capital'!G19</f>
        <v>0</v>
      </c>
      <c r="H44" s="11">
        <f>'Working Capital'!H19</f>
        <v>0</v>
      </c>
      <c r="I44" s="11">
        <f>'Working Capital'!I19</f>
        <v>0</v>
      </c>
      <c r="J44" s="11">
        <f>'Working Capital'!J19</f>
        <v>0</v>
      </c>
      <c r="K44" s="11">
        <f>'Working Capital'!K19</f>
        <v>0</v>
      </c>
      <c r="L44" s="11">
        <f>'Working Capital'!L19</f>
        <v>0</v>
      </c>
      <c r="M44" s="11">
        <f>'Working Capital'!M19</f>
        <v>0</v>
      </c>
      <c r="N44" s="11">
        <f>'Working Capital'!N19</f>
        <v>0</v>
      </c>
      <c r="O44" s="11">
        <f>'Working Capital'!O19</f>
        <v>0</v>
      </c>
      <c r="P44" s="11">
        <f>'Working Capital'!P19</f>
        <v>0</v>
      </c>
      <c r="Q44" s="11">
        <f>'Working Capital'!Q19</f>
        <v>0</v>
      </c>
      <c r="R44" s="11">
        <f>'Working Capital'!R19</f>
        <v>0</v>
      </c>
      <c r="S44" s="11">
        <f>'Working Capital'!S19</f>
        <v>0</v>
      </c>
      <c r="T44" s="11">
        <f>'Working Capital'!T19</f>
        <v>0</v>
      </c>
      <c r="U44" s="11">
        <f>'Working Capital'!U19</f>
        <v>0</v>
      </c>
      <c r="V44" s="11">
        <f>'Working Capital'!V19</f>
        <v>0</v>
      </c>
      <c r="W44" s="11">
        <f>'Working Capital'!W19</f>
        <v>0</v>
      </c>
      <c r="X44" s="11">
        <f t="shared" si="10"/>
        <v>0</v>
      </c>
      <c r="Y44" s="11">
        <f t="shared" si="11"/>
        <v>0</v>
      </c>
      <c r="Z44" s="11">
        <f t="shared" si="12"/>
        <v>0</v>
      </c>
      <c r="AA44" s="11">
        <f t="shared" si="13"/>
        <v>0</v>
      </c>
      <c r="AB44" s="11">
        <f t="shared" si="14"/>
        <v>0</v>
      </c>
    </row>
    <row r="45" spans="1:28" x14ac:dyDescent="0.3">
      <c r="A45" s="33" t="s">
        <v>235</v>
      </c>
      <c r="B45" s="33" t="s">
        <v>236</v>
      </c>
      <c r="C45" s="34">
        <f>'Debt Schedule'!C7</f>
        <v>0</v>
      </c>
      <c r="D45" s="34">
        <f>'Debt Schedule'!D7</f>
        <v>0</v>
      </c>
      <c r="E45" s="34">
        <f>'Debt Schedule'!E7</f>
        <v>0</v>
      </c>
      <c r="F45" s="34">
        <f>'Debt Schedule'!F7</f>
        <v>0</v>
      </c>
      <c r="G45" s="34">
        <f>'Debt Schedule'!G7</f>
        <v>0</v>
      </c>
      <c r="H45" s="34">
        <f>'Debt Schedule'!H7</f>
        <v>0</v>
      </c>
      <c r="I45" s="34">
        <f>'Debt Schedule'!I7</f>
        <v>0</v>
      </c>
      <c r="J45" s="34">
        <f>'Debt Schedule'!J7</f>
        <v>0</v>
      </c>
      <c r="K45" s="34">
        <f>'Debt Schedule'!K7</f>
        <v>0</v>
      </c>
      <c r="L45" s="34">
        <f>'Debt Schedule'!L7</f>
        <v>0</v>
      </c>
      <c r="M45" s="34">
        <f>'Debt Schedule'!M7</f>
        <v>0</v>
      </c>
      <c r="N45" s="34">
        <f>'Debt Schedule'!N7</f>
        <v>0</v>
      </c>
      <c r="O45" s="34">
        <f>'Debt Schedule'!O7</f>
        <v>0</v>
      </c>
      <c r="P45" s="34">
        <f>'Debt Schedule'!P7</f>
        <v>0</v>
      </c>
      <c r="Q45" s="34">
        <f>'Debt Schedule'!Q7</f>
        <v>0</v>
      </c>
      <c r="R45" s="34">
        <f>'Debt Schedule'!R7</f>
        <v>0</v>
      </c>
      <c r="S45" s="34">
        <f>'Debt Schedule'!S7</f>
        <v>0</v>
      </c>
      <c r="T45" s="34">
        <f>'Debt Schedule'!T7</f>
        <v>0</v>
      </c>
      <c r="U45" s="34">
        <f>'Debt Schedule'!U7</f>
        <v>0</v>
      </c>
      <c r="V45" s="34">
        <f>'Debt Schedule'!V7</f>
        <v>0</v>
      </c>
      <c r="W45" s="34">
        <f>'Debt Schedule'!W7</f>
        <v>0</v>
      </c>
      <c r="X45" s="34">
        <f t="shared" si="10"/>
        <v>0</v>
      </c>
      <c r="Y45" s="34">
        <f t="shared" si="11"/>
        <v>0</v>
      </c>
      <c r="Z45" s="34">
        <f t="shared" si="12"/>
        <v>0</v>
      </c>
      <c r="AA45" s="34">
        <f t="shared" si="13"/>
        <v>0</v>
      </c>
      <c r="AB45" s="34">
        <f t="shared" si="14"/>
        <v>0</v>
      </c>
    </row>
    <row r="46" spans="1:28" x14ac:dyDescent="0.3">
      <c r="A46" s="33" t="s">
        <v>164</v>
      </c>
      <c r="B46" s="33" t="s">
        <v>236</v>
      </c>
      <c r="C46" s="34">
        <f>'Debt Schedule'!C8</f>
        <v>0</v>
      </c>
      <c r="D46" s="34">
        <f>'Debt Schedule'!D8</f>
        <v>0</v>
      </c>
      <c r="E46" s="34">
        <f>'Debt Schedule'!E8</f>
        <v>0</v>
      </c>
      <c r="F46" s="34">
        <f>'Debt Schedule'!F8</f>
        <v>0</v>
      </c>
      <c r="G46" s="34">
        <f>'Debt Schedule'!G8</f>
        <v>0</v>
      </c>
      <c r="H46" s="34">
        <f>'Debt Schedule'!H8</f>
        <v>0</v>
      </c>
      <c r="I46" s="34">
        <f>'Debt Schedule'!I8</f>
        <v>0</v>
      </c>
      <c r="J46" s="34">
        <f>'Debt Schedule'!J8</f>
        <v>0</v>
      </c>
      <c r="K46" s="34">
        <f>'Debt Schedule'!K8</f>
        <v>0</v>
      </c>
      <c r="L46" s="34">
        <f>'Debt Schedule'!L8</f>
        <v>0</v>
      </c>
      <c r="M46" s="34">
        <f>'Debt Schedule'!M8</f>
        <v>0</v>
      </c>
      <c r="N46" s="34">
        <f>'Debt Schedule'!N8</f>
        <v>0</v>
      </c>
      <c r="O46" s="34">
        <f>'Debt Schedule'!O8</f>
        <v>0</v>
      </c>
      <c r="P46" s="34">
        <f>'Debt Schedule'!P8</f>
        <v>0</v>
      </c>
      <c r="Q46" s="34">
        <f>'Debt Schedule'!Q8</f>
        <v>0</v>
      </c>
      <c r="R46" s="34">
        <f>'Debt Schedule'!R8</f>
        <v>0</v>
      </c>
      <c r="S46" s="34">
        <f>'Debt Schedule'!S8</f>
        <v>0</v>
      </c>
      <c r="T46" s="34">
        <f>'Debt Schedule'!T8</f>
        <v>0</v>
      </c>
      <c r="U46" s="34">
        <f>'Debt Schedule'!U8</f>
        <v>0</v>
      </c>
      <c r="V46" s="34">
        <f>'Debt Schedule'!V8</f>
        <v>0</v>
      </c>
      <c r="W46" s="34">
        <f>'Debt Schedule'!W8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75</v>
      </c>
      <c r="B47" s="33" t="s">
        <v>236</v>
      </c>
      <c r="C47" s="34">
        <f>'Debt Schedule'!C10</f>
        <v>0</v>
      </c>
      <c r="D47" s="34">
        <f>'Debt Schedule'!D10</f>
        <v>0</v>
      </c>
      <c r="E47" s="34">
        <f>'Debt Schedule'!E10</f>
        <v>0</v>
      </c>
      <c r="F47" s="34">
        <f>'Debt Schedule'!F10</f>
        <v>0</v>
      </c>
      <c r="G47" s="34">
        <f>'Debt Schedule'!G10</f>
        <v>0</v>
      </c>
      <c r="H47" s="34">
        <f>'Debt Schedule'!H10</f>
        <v>0</v>
      </c>
      <c r="I47" s="34">
        <f>'Debt Schedule'!I10</f>
        <v>0</v>
      </c>
      <c r="J47" s="34">
        <f>'Debt Schedule'!J10</f>
        <v>0</v>
      </c>
      <c r="K47" s="34">
        <f>'Debt Schedule'!K10</f>
        <v>0</v>
      </c>
      <c r="L47" s="34">
        <f>'Debt Schedule'!L10</f>
        <v>0</v>
      </c>
      <c r="M47" s="34">
        <f>'Debt Schedule'!M10</f>
        <v>0</v>
      </c>
      <c r="N47" s="34">
        <f>'Debt Schedule'!N10</f>
        <v>0</v>
      </c>
      <c r="O47" s="34">
        <f>'Debt Schedule'!O10</f>
        <v>0</v>
      </c>
      <c r="P47" s="34">
        <f>'Debt Schedule'!P10</f>
        <v>0</v>
      </c>
      <c r="Q47" s="34">
        <f>'Debt Schedule'!Q10</f>
        <v>0</v>
      </c>
      <c r="R47" s="34">
        <f>'Debt Schedule'!R10</f>
        <v>0</v>
      </c>
      <c r="S47" s="34">
        <f>'Debt Schedule'!S10</f>
        <v>0</v>
      </c>
      <c r="T47" s="34">
        <f>'Debt Schedule'!T10</f>
        <v>0</v>
      </c>
      <c r="U47" s="34">
        <f>'Debt Schedule'!U10</f>
        <v>0</v>
      </c>
      <c r="V47" s="34">
        <f>'Debt Schedule'!V10</f>
        <v>0</v>
      </c>
      <c r="W47" s="34">
        <f>'Debt Schedule'!W10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237</v>
      </c>
      <c r="B48" s="33" t="s">
        <v>236</v>
      </c>
      <c r="C48" s="34">
        <f>'Debt Schedule'!C11</f>
        <v>0</v>
      </c>
      <c r="D48" s="34">
        <f>'Debt Schedule'!D11</f>
        <v>0</v>
      </c>
      <c r="E48" s="34">
        <f>'Debt Schedule'!E11</f>
        <v>0</v>
      </c>
      <c r="F48" s="34">
        <f>'Debt Schedule'!F11</f>
        <v>0</v>
      </c>
      <c r="G48" s="34">
        <f>'Debt Schedule'!G11</f>
        <v>0</v>
      </c>
      <c r="H48" s="34">
        <f>'Debt Schedule'!H11</f>
        <v>0</v>
      </c>
      <c r="I48" s="34">
        <f>'Debt Schedule'!I11</f>
        <v>0</v>
      </c>
      <c r="J48" s="34">
        <f>'Debt Schedule'!J11</f>
        <v>0</v>
      </c>
      <c r="K48" s="34">
        <f>'Debt Schedule'!K11</f>
        <v>0</v>
      </c>
      <c r="L48" s="34">
        <f>'Debt Schedule'!L11</f>
        <v>0</v>
      </c>
      <c r="M48" s="34">
        <f>'Debt Schedule'!M11</f>
        <v>0</v>
      </c>
      <c r="N48" s="34">
        <f>'Debt Schedule'!N11</f>
        <v>0</v>
      </c>
      <c r="O48" s="34">
        <f>'Debt Schedule'!O11</f>
        <v>0</v>
      </c>
      <c r="P48" s="34">
        <f>'Debt Schedule'!P11</f>
        <v>0</v>
      </c>
      <c r="Q48" s="34">
        <f>'Debt Schedule'!Q11</f>
        <v>0</v>
      </c>
      <c r="R48" s="34">
        <f>'Debt Schedule'!R11</f>
        <v>0</v>
      </c>
      <c r="S48" s="34">
        <f>'Debt Schedule'!S11</f>
        <v>0</v>
      </c>
      <c r="T48" s="34">
        <f>'Debt Schedule'!T11</f>
        <v>0</v>
      </c>
      <c r="U48" s="34">
        <f>'Debt Schedule'!U11</f>
        <v>0</v>
      </c>
      <c r="V48" s="34">
        <f>'Debt Schedule'!V11</f>
        <v>0</v>
      </c>
      <c r="W48" s="34">
        <f>'Debt Schedule'!W11</f>
        <v>0</v>
      </c>
      <c r="X48" s="34">
        <f>G48</f>
        <v>0</v>
      </c>
      <c r="Y48" s="34">
        <f>K48</f>
        <v>0</v>
      </c>
      <c r="Z48" s="34">
        <f>O48</f>
        <v>0</v>
      </c>
      <c r="AA48" s="34">
        <f>S48</f>
        <v>0</v>
      </c>
      <c r="AB48" s="34">
        <f>W48</f>
        <v>0</v>
      </c>
    </row>
    <row r="49" spans="1:28" x14ac:dyDescent="0.3">
      <c r="A49" s="33" t="s">
        <v>178</v>
      </c>
      <c r="B49" s="33" t="s">
        <v>236</v>
      </c>
      <c r="C49" s="34">
        <f>'Debt Schedule'!C18</f>
        <v>0</v>
      </c>
      <c r="D49" s="34">
        <f>'Debt Schedule'!D18</f>
        <v>0</v>
      </c>
      <c r="E49" s="34">
        <f>'Debt Schedule'!E18</f>
        <v>0</v>
      </c>
      <c r="F49" s="34">
        <f>'Debt Schedule'!F18</f>
        <v>0</v>
      </c>
      <c r="G49" s="34">
        <f>'Debt Schedule'!G18</f>
        <v>0</v>
      </c>
      <c r="H49" s="34">
        <f>'Debt Schedule'!H18</f>
        <v>0</v>
      </c>
      <c r="I49" s="34">
        <f>'Debt Schedule'!I18</f>
        <v>0</v>
      </c>
      <c r="J49" s="34">
        <f>'Debt Schedule'!J18</f>
        <v>0</v>
      </c>
      <c r="K49" s="34">
        <f>'Debt Schedule'!K18</f>
        <v>0</v>
      </c>
      <c r="L49" s="34">
        <f>'Debt Schedule'!L18</f>
        <v>0</v>
      </c>
      <c r="M49" s="34">
        <f>'Debt Schedule'!M18</f>
        <v>0</v>
      </c>
      <c r="N49" s="34">
        <f>'Debt Schedule'!N18</f>
        <v>0</v>
      </c>
      <c r="O49" s="34">
        <f>'Debt Schedule'!O18</f>
        <v>0</v>
      </c>
      <c r="P49" s="34">
        <f>'Debt Schedule'!P18</f>
        <v>0</v>
      </c>
      <c r="Q49" s="34">
        <f>'Debt Schedule'!Q18</f>
        <v>0</v>
      </c>
      <c r="R49" s="34">
        <f>'Debt Schedule'!R18</f>
        <v>0</v>
      </c>
      <c r="S49" s="34">
        <f>'Debt Schedule'!S18</f>
        <v>0</v>
      </c>
      <c r="T49" s="34">
        <f>'Debt Schedule'!T18</f>
        <v>0</v>
      </c>
      <c r="U49" s="34">
        <f>'Debt Schedule'!U18</f>
        <v>0</v>
      </c>
      <c r="V49" s="34">
        <f>'Debt Schedule'!V18</f>
        <v>0</v>
      </c>
      <c r="W49" s="34">
        <f>'Debt Schedule'!W18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181</v>
      </c>
      <c r="B50" s="33" t="s">
        <v>236</v>
      </c>
      <c r="C50" s="34">
        <f>'Debt Schedule'!C20</f>
        <v>0</v>
      </c>
      <c r="D50" s="34">
        <f>'Debt Schedule'!D20</f>
        <v>0</v>
      </c>
      <c r="E50" s="34">
        <f>'Debt Schedule'!E20</f>
        <v>0</v>
      </c>
      <c r="F50" s="34">
        <f>'Debt Schedule'!F20</f>
        <v>0</v>
      </c>
      <c r="G50" s="34">
        <f>'Debt Schedule'!G20</f>
        <v>0</v>
      </c>
      <c r="H50" s="34">
        <f>'Debt Schedule'!H20</f>
        <v>0</v>
      </c>
      <c r="I50" s="34">
        <f>'Debt Schedule'!I20</f>
        <v>0</v>
      </c>
      <c r="J50" s="34">
        <f>'Debt Schedule'!J20</f>
        <v>0</v>
      </c>
      <c r="K50" s="34">
        <f>'Debt Schedule'!K20</f>
        <v>0</v>
      </c>
      <c r="L50" s="34">
        <f>'Debt Schedule'!L20</f>
        <v>0</v>
      </c>
      <c r="M50" s="34">
        <f>'Debt Schedule'!M20</f>
        <v>0</v>
      </c>
      <c r="N50" s="34">
        <f>'Debt Schedule'!N20</f>
        <v>0</v>
      </c>
      <c r="O50" s="34">
        <f>'Debt Schedule'!O20</f>
        <v>0</v>
      </c>
      <c r="P50" s="34">
        <f>'Debt Schedule'!P20</f>
        <v>0</v>
      </c>
      <c r="Q50" s="34">
        <f>'Debt Schedule'!Q20</f>
        <v>0</v>
      </c>
      <c r="R50" s="34">
        <f>'Debt Schedule'!R20</f>
        <v>0</v>
      </c>
      <c r="S50" s="34">
        <f>'Debt Schedule'!S20</f>
        <v>0</v>
      </c>
      <c r="T50" s="34">
        <f>'Debt Schedule'!T20</f>
        <v>0</v>
      </c>
      <c r="U50" s="34">
        <f>'Debt Schedule'!U20</f>
        <v>0</v>
      </c>
      <c r="V50" s="34">
        <f>'Debt Schedule'!V20</f>
        <v>0</v>
      </c>
      <c r="W50" s="34">
        <f>'Debt Schedule'!W20</f>
        <v>0</v>
      </c>
      <c r="X50" s="34">
        <f>SUM(D50:G50)</f>
        <v>0</v>
      </c>
      <c r="Y50" s="34">
        <f>SUM(H50:K50)</f>
        <v>0</v>
      </c>
      <c r="Z50" s="34">
        <f>SUM(L50:O50)</f>
        <v>0</v>
      </c>
      <c r="AA50" s="34">
        <f>SUM(P50:S50)</f>
        <v>0</v>
      </c>
      <c r="AB50" s="34">
        <f>SUM(T50:W50)</f>
        <v>0</v>
      </c>
    </row>
    <row r="51" spans="1:28" x14ac:dyDescent="0.3">
      <c r="A51" s="33" t="s">
        <v>182</v>
      </c>
      <c r="B51" s="33" t="s">
        <v>236</v>
      </c>
      <c r="C51" s="34">
        <f>'Debt Schedule'!C21</f>
        <v>0</v>
      </c>
      <c r="D51" s="34">
        <f>'Debt Schedule'!D21</f>
        <v>0</v>
      </c>
      <c r="E51" s="34">
        <f>'Debt Schedule'!E21</f>
        <v>0</v>
      </c>
      <c r="F51" s="34">
        <f>'Debt Schedule'!F21</f>
        <v>0</v>
      </c>
      <c r="G51" s="34">
        <f>'Debt Schedule'!G21</f>
        <v>0</v>
      </c>
      <c r="H51" s="34">
        <f>'Debt Schedule'!H21</f>
        <v>0</v>
      </c>
      <c r="I51" s="34">
        <f>'Debt Schedule'!I21</f>
        <v>0</v>
      </c>
      <c r="J51" s="34">
        <f>'Debt Schedule'!J21</f>
        <v>0</v>
      </c>
      <c r="K51" s="34">
        <f>'Debt Schedule'!K21</f>
        <v>0</v>
      </c>
      <c r="L51" s="34">
        <f>'Debt Schedule'!L21</f>
        <v>0</v>
      </c>
      <c r="M51" s="34">
        <f>'Debt Schedule'!M21</f>
        <v>0</v>
      </c>
      <c r="N51" s="34">
        <f>'Debt Schedule'!N21</f>
        <v>0</v>
      </c>
      <c r="O51" s="34">
        <f>'Debt Schedule'!O21</f>
        <v>0</v>
      </c>
      <c r="P51" s="34">
        <f>'Debt Schedule'!P21</f>
        <v>0</v>
      </c>
      <c r="Q51" s="34">
        <f>'Debt Schedule'!Q21</f>
        <v>0</v>
      </c>
      <c r="R51" s="34">
        <f>'Debt Schedule'!R21</f>
        <v>0</v>
      </c>
      <c r="S51" s="34">
        <f>'Debt Schedule'!S21</f>
        <v>0</v>
      </c>
      <c r="T51" s="34">
        <f>'Debt Schedule'!T21</f>
        <v>0</v>
      </c>
      <c r="U51" s="34">
        <f>'Debt Schedule'!U21</f>
        <v>0</v>
      </c>
      <c r="V51" s="34">
        <f>'Debt Schedule'!V21</f>
        <v>0</v>
      </c>
      <c r="W51" s="34">
        <f>'Debt Schedule'!W21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33" t="s">
        <v>183</v>
      </c>
      <c r="B52" s="33" t="s">
        <v>236</v>
      </c>
      <c r="C52" s="34">
        <f>'Debt Schedule'!C22</f>
        <v>0</v>
      </c>
      <c r="D52" s="34">
        <f>'Debt Schedule'!D22</f>
        <v>0</v>
      </c>
      <c r="E52" s="34">
        <f>'Debt Schedule'!E22</f>
        <v>0</v>
      </c>
      <c r="F52" s="34">
        <f>'Debt Schedule'!F22</f>
        <v>0</v>
      </c>
      <c r="G52" s="34">
        <f>'Debt Schedule'!G22</f>
        <v>0</v>
      </c>
      <c r="H52" s="34">
        <f>'Debt Schedule'!H22</f>
        <v>0</v>
      </c>
      <c r="I52" s="34">
        <f>'Debt Schedule'!I22</f>
        <v>0</v>
      </c>
      <c r="J52" s="34">
        <f>'Debt Schedule'!J22</f>
        <v>0</v>
      </c>
      <c r="K52" s="34">
        <f>'Debt Schedule'!K22</f>
        <v>0</v>
      </c>
      <c r="L52" s="34">
        <f>'Debt Schedule'!L22</f>
        <v>0</v>
      </c>
      <c r="M52" s="34">
        <f>'Debt Schedule'!M22</f>
        <v>0</v>
      </c>
      <c r="N52" s="34">
        <f>'Debt Schedule'!N22</f>
        <v>0</v>
      </c>
      <c r="O52" s="34">
        <f>'Debt Schedule'!O22</f>
        <v>0</v>
      </c>
      <c r="P52" s="34">
        <f>'Debt Schedule'!P22</f>
        <v>0</v>
      </c>
      <c r="Q52" s="34">
        <f>'Debt Schedule'!Q22</f>
        <v>0</v>
      </c>
      <c r="R52" s="34">
        <f>'Debt Schedule'!R22</f>
        <v>0</v>
      </c>
      <c r="S52" s="34">
        <f>'Debt Schedule'!S22</f>
        <v>0</v>
      </c>
      <c r="T52" s="34">
        <f>'Debt Schedule'!T22</f>
        <v>0</v>
      </c>
      <c r="U52" s="34">
        <f>'Debt Schedule'!U22</f>
        <v>0</v>
      </c>
      <c r="V52" s="34">
        <f>'Debt Schedule'!V22</f>
        <v>0</v>
      </c>
      <c r="W52" s="34">
        <f>'Debt Schedule'!W22</f>
        <v>0</v>
      </c>
      <c r="X52" s="34">
        <f>SUM(D52:G52)</f>
        <v>0</v>
      </c>
      <c r="Y52" s="34">
        <f>SUM(H52:K52)</f>
        <v>0</v>
      </c>
      <c r="Z52" s="34">
        <f>SUM(L52:O52)</f>
        <v>0</v>
      </c>
      <c r="AA52" s="34">
        <f>SUM(P52:S52)</f>
        <v>0</v>
      </c>
      <c r="AB52" s="34">
        <f>SUM(T52:W52)</f>
        <v>0</v>
      </c>
    </row>
    <row r="53" spans="1:28" x14ac:dyDescent="0.3">
      <c r="A53" s="33" t="s">
        <v>184</v>
      </c>
      <c r="B53" s="33" t="s">
        <v>236</v>
      </c>
      <c r="C53" s="34">
        <f>'Debt Schedule'!C23</f>
        <v>0</v>
      </c>
      <c r="D53" s="34">
        <f>'Debt Schedule'!D23</f>
        <v>0</v>
      </c>
      <c r="E53" s="34">
        <f>'Debt Schedule'!E23</f>
        <v>0</v>
      </c>
      <c r="F53" s="34">
        <f>'Debt Schedule'!F23</f>
        <v>0</v>
      </c>
      <c r="G53" s="34">
        <f>'Debt Schedule'!G23</f>
        <v>0</v>
      </c>
      <c r="H53" s="34">
        <f>'Debt Schedule'!H23</f>
        <v>0</v>
      </c>
      <c r="I53" s="34">
        <f>'Debt Schedule'!I23</f>
        <v>0</v>
      </c>
      <c r="J53" s="34">
        <f>'Debt Schedule'!J23</f>
        <v>0</v>
      </c>
      <c r="K53" s="34">
        <f>'Debt Schedule'!K23</f>
        <v>0</v>
      </c>
      <c r="L53" s="34">
        <f>'Debt Schedule'!L23</f>
        <v>0</v>
      </c>
      <c r="M53" s="34">
        <f>'Debt Schedule'!M23</f>
        <v>0</v>
      </c>
      <c r="N53" s="34">
        <f>'Debt Schedule'!N23</f>
        <v>0</v>
      </c>
      <c r="O53" s="34">
        <f>'Debt Schedule'!O23</f>
        <v>0</v>
      </c>
      <c r="P53" s="34">
        <f>'Debt Schedule'!P23</f>
        <v>0</v>
      </c>
      <c r="Q53" s="34">
        <f>'Debt Schedule'!Q23</f>
        <v>0</v>
      </c>
      <c r="R53" s="34">
        <f>'Debt Schedule'!R23</f>
        <v>0</v>
      </c>
      <c r="S53" s="34">
        <f>'Debt Schedule'!S23</f>
        <v>0</v>
      </c>
      <c r="T53" s="34">
        <f>'Debt Schedule'!T23</f>
        <v>0</v>
      </c>
      <c r="U53" s="34">
        <f>'Debt Schedule'!U23</f>
        <v>0</v>
      </c>
      <c r="V53" s="34">
        <f>'Debt Schedule'!V23</f>
        <v>0</v>
      </c>
      <c r="W53" s="34">
        <f>'Debt Schedule'!W23</f>
        <v>0</v>
      </c>
      <c r="X53" s="34">
        <f>G53</f>
        <v>0</v>
      </c>
      <c r="Y53" s="34">
        <f>K53</f>
        <v>0</v>
      </c>
      <c r="Z53" s="34">
        <f>O53</f>
        <v>0</v>
      </c>
      <c r="AA53" s="34">
        <f>S53</f>
        <v>0</v>
      </c>
      <c r="AB53" s="34">
        <f>W53</f>
        <v>0</v>
      </c>
    </row>
    <row r="54" spans="1:28" x14ac:dyDescent="0.3">
      <c r="A54" s="33" t="s">
        <v>238</v>
      </c>
      <c r="B54" s="33" t="s">
        <v>236</v>
      </c>
      <c r="C54" s="34">
        <f>'Debt Schedule'!C26</f>
        <v>0</v>
      </c>
      <c r="D54" s="34">
        <f>'Debt Schedule'!D26</f>
        <v>0</v>
      </c>
      <c r="E54" s="34">
        <f>'Debt Schedule'!E26</f>
        <v>0</v>
      </c>
      <c r="F54" s="34">
        <f>'Debt Schedule'!F26</f>
        <v>0</v>
      </c>
      <c r="G54" s="34">
        <f>'Debt Schedule'!G26</f>
        <v>0</v>
      </c>
      <c r="H54" s="34">
        <f>'Debt Schedule'!H26</f>
        <v>0</v>
      </c>
      <c r="I54" s="34">
        <f>'Debt Schedule'!I26</f>
        <v>0</v>
      </c>
      <c r="J54" s="34">
        <f>'Debt Schedule'!J26</f>
        <v>0</v>
      </c>
      <c r="K54" s="34">
        <f>'Debt Schedule'!K26</f>
        <v>0</v>
      </c>
      <c r="L54" s="34">
        <f>'Debt Schedule'!L26</f>
        <v>0</v>
      </c>
      <c r="M54" s="34">
        <f>'Debt Schedule'!M26</f>
        <v>0</v>
      </c>
      <c r="N54" s="34">
        <f>'Debt Schedule'!N26</f>
        <v>0</v>
      </c>
      <c r="O54" s="34">
        <f>'Debt Schedule'!O26</f>
        <v>0</v>
      </c>
      <c r="P54" s="34">
        <f>'Debt Schedule'!P26</f>
        <v>0</v>
      </c>
      <c r="Q54" s="34">
        <f>'Debt Schedule'!Q26</f>
        <v>0</v>
      </c>
      <c r="R54" s="34">
        <f>'Debt Schedule'!R26</f>
        <v>0</v>
      </c>
      <c r="S54" s="34">
        <f>'Debt Schedule'!S26</f>
        <v>0</v>
      </c>
      <c r="T54" s="34">
        <f>'Debt Schedule'!T26</f>
        <v>0</v>
      </c>
      <c r="U54" s="34">
        <f>'Debt Schedule'!U26</f>
        <v>0</v>
      </c>
      <c r="V54" s="34">
        <f>'Debt Schedule'!V26</f>
        <v>0</v>
      </c>
      <c r="W54" s="34">
        <f>'Debt Schedule'!W26</f>
        <v>0</v>
      </c>
      <c r="X54" s="34">
        <f>G54</f>
        <v>0</v>
      </c>
      <c r="Y54" s="34">
        <f>K54</f>
        <v>0</v>
      </c>
      <c r="Z54" s="34">
        <f>O54</f>
        <v>0</v>
      </c>
      <c r="AA54" s="34">
        <f>S54</f>
        <v>0</v>
      </c>
      <c r="AB54" s="34">
        <f>W54</f>
        <v>0</v>
      </c>
    </row>
    <row r="55" spans="1:28" x14ac:dyDescent="0.3">
      <c r="A55" s="33" t="s">
        <v>186</v>
      </c>
      <c r="B55" s="33" t="s">
        <v>236</v>
      </c>
      <c r="C55" s="34">
        <f>'Debt Schedule'!C25</f>
        <v>0</v>
      </c>
      <c r="D55" s="34">
        <f>'Debt Schedule'!D25</f>
        <v>0</v>
      </c>
      <c r="E55" s="34">
        <f>'Debt Schedule'!E25</f>
        <v>0</v>
      </c>
      <c r="F55" s="34">
        <f>'Debt Schedule'!F25</f>
        <v>0</v>
      </c>
      <c r="G55" s="34">
        <f>'Debt Schedule'!G25</f>
        <v>0</v>
      </c>
      <c r="H55" s="34">
        <f>'Debt Schedule'!H25</f>
        <v>0</v>
      </c>
      <c r="I55" s="34">
        <f>'Debt Schedule'!I25</f>
        <v>0</v>
      </c>
      <c r="J55" s="34">
        <f>'Debt Schedule'!J25</f>
        <v>0</v>
      </c>
      <c r="K55" s="34">
        <f>'Debt Schedule'!K25</f>
        <v>0</v>
      </c>
      <c r="L55" s="34">
        <f>'Debt Schedule'!L25</f>
        <v>0</v>
      </c>
      <c r="M55" s="34">
        <f>'Debt Schedule'!M25</f>
        <v>0</v>
      </c>
      <c r="N55" s="34">
        <f>'Debt Schedule'!N25</f>
        <v>0</v>
      </c>
      <c r="O55" s="34">
        <f>'Debt Schedule'!O25</f>
        <v>0</v>
      </c>
      <c r="P55" s="34">
        <f>'Debt Schedule'!P25</f>
        <v>0</v>
      </c>
      <c r="Q55" s="34">
        <f>'Debt Schedule'!Q25</f>
        <v>0</v>
      </c>
      <c r="R55" s="34">
        <f>'Debt Schedule'!R25</f>
        <v>0</v>
      </c>
      <c r="S55" s="34">
        <f>'Debt Schedule'!S25</f>
        <v>0</v>
      </c>
      <c r="T55" s="34">
        <f>'Debt Schedule'!T25</f>
        <v>0</v>
      </c>
      <c r="U55" s="34">
        <f>'Debt Schedule'!U25</f>
        <v>0</v>
      </c>
      <c r="V55" s="34">
        <f>'Debt Schedule'!V25</f>
        <v>0</v>
      </c>
      <c r="W55" s="34">
        <f>'Debt Schedule'!W25</f>
        <v>0</v>
      </c>
      <c r="X55" s="34">
        <f>SUM(D55:G55)</f>
        <v>0</v>
      </c>
      <c r="Y55" s="34">
        <f>SUM(H55:K55)</f>
        <v>0</v>
      </c>
      <c r="Z55" s="34">
        <f>SUM(L55:O55)</f>
        <v>0</v>
      </c>
      <c r="AA55" s="34">
        <f>SUM(P55:S55)</f>
        <v>0</v>
      </c>
      <c r="AB55" s="34">
        <f>SUM(T55:W55)</f>
        <v>0</v>
      </c>
    </row>
    <row r="56" spans="1:28" x14ac:dyDescent="0.3">
      <c r="A56" s="7" t="s">
        <v>72</v>
      </c>
      <c r="B56" s="7" t="s">
        <v>239</v>
      </c>
      <c r="C56" s="11">
        <f>'CapEx Depreciation'!C8</f>
        <v>0</v>
      </c>
      <c r="D56" s="11">
        <f>'CapEx Depreciation'!D8</f>
        <v>200</v>
      </c>
      <c r="E56" s="11">
        <f>'CapEx Depreciation'!E8</f>
        <v>200.95</v>
      </c>
      <c r="F56" s="11">
        <f>'CapEx Depreciation'!F8</f>
        <v>201.85447600000001</v>
      </c>
      <c r="G56" s="11">
        <f>'CapEx Depreciation'!G8</f>
        <v>202.712963</v>
      </c>
      <c r="H56" s="11">
        <f>'CapEx Depreciation'!H8</f>
        <v>203.52523400000001</v>
      </c>
      <c r="I56" s="11">
        <f>'CapEx Depreciation'!I8</f>
        <v>204.29069200000001</v>
      </c>
      <c r="J56" s="11">
        <f>'CapEx Depreciation'!J8</f>
        <v>205.00877399999999</v>
      </c>
      <c r="K56" s="11">
        <f>'CapEx Depreciation'!K8</f>
        <v>205.67915300000001</v>
      </c>
      <c r="L56" s="11">
        <f>'CapEx Depreciation'!L8</f>
        <v>206.30153799999999</v>
      </c>
      <c r="M56" s="11">
        <f>'CapEx Depreciation'!M8</f>
        <v>206.87546900000001</v>
      </c>
      <c r="N56" s="11">
        <f>'CapEx Depreciation'!N8</f>
        <v>207.400519</v>
      </c>
      <c r="O56" s="11">
        <f>'CapEx Depreciation'!O8</f>
        <v>207.876295</v>
      </c>
      <c r="P56" s="11">
        <f>'CapEx Depreciation'!P8</f>
        <v>208.30265</v>
      </c>
      <c r="Q56" s="11">
        <f>'CapEx Depreciation'!Q8</f>
        <v>208.67905300000001</v>
      </c>
      <c r="R56" s="11">
        <f>'CapEx Depreciation'!R8</f>
        <v>209.005009</v>
      </c>
      <c r="S56" s="11">
        <f>'CapEx Depreciation'!S8</f>
        <v>209.28047799999999</v>
      </c>
      <c r="T56" s="11">
        <f>'CapEx Depreciation'!T8</f>
        <v>209.50503599999999</v>
      </c>
      <c r="U56" s="11">
        <f>'CapEx Depreciation'!U8</f>
        <v>209.67829699999999</v>
      </c>
      <c r="V56" s="11">
        <f>'CapEx Depreciation'!V8</f>
        <v>209.79991000000001</v>
      </c>
      <c r="W56" s="11">
        <f>'CapEx Depreciation'!W8</f>
        <v>209.86977300000001</v>
      </c>
      <c r="X56" s="11">
        <f>SUM(D56:G56)</f>
        <v>805.51743899999997</v>
      </c>
      <c r="Y56" s="11">
        <f>SUM(H56:K56)</f>
        <v>818.50385300000005</v>
      </c>
      <c r="Z56" s="11">
        <f>SUM(L56:O56)</f>
        <v>828.45382100000006</v>
      </c>
      <c r="AA56" s="11">
        <f>SUM(P56:S56)</f>
        <v>835.26719000000003</v>
      </c>
      <c r="AB56" s="11">
        <f>SUM(T56:W56)</f>
        <v>838.85301599999991</v>
      </c>
    </row>
    <row r="57" spans="1:28" x14ac:dyDescent="0.3">
      <c r="A57" s="7" t="s">
        <v>240</v>
      </c>
      <c r="B57" s="7" t="s">
        <v>239</v>
      </c>
      <c r="C57" s="11">
        <f>'CapEx Depreciation'!C12</f>
        <v>40000</v>
      </c>
      <c r="D57" s="11">
        <f>'CapEx Depreciation'!D12</f>
        <v>40190</v>
      </c>
      <c r="E57" s="11">
        <f>'CapEx Depreciation'!E12</f>
        <v>40370.895189999996</v>
      </c>
      <c r="F57" s="11">
        <f>'CapEx Depreciation'!F12</f>
        <v>40542.592607293067</v>
      </c>
      <c r="G57" s="11">
        <f>'CapEx Depreciation'!G12</f>
        <v>40705.046775834024</v>
      </c>
      <c r="H57" s="11">
        <f>'CapEx Depreciation'!H12</f>
        <v>40858.138456878769</v>
      </c>
      <c r="I57" s="11">
        <f>'CapEx Depreciation'!I12</f>
        <v>41001.754813270309</v>
      </c>
      <c r="J57" s="11">
        <f>'CapEx Depreciation'!J12</f>
        <v>41135.830551443352</v>
      </c>
      <c r="K57" s="11">
        <f>'CapEx Depreciation'!K12</f>
        <v>41260.307574934799</v>
      </c>
      <c r="L57" s="11">
        <f>'CapEx Depreciation'!L12</f>
        <v>41375.093750733591</v>
      </c>
      <c r="M57" s="11">
        <f>'CapEx Depreciation'!M12</f>
        <v>41480.103738919286</v>
      </c>
      <c r="N57" s="11">
        <f>'CapEx Depreciation'!N12</f>
        <v>41575.259097201772</v>
      </c>
      <c r="O57" s="11">
        <f>'CapEx Depreciation'!O12</f>
        <v>41660.529953124125</v>
      </c>
      <c r="P57" s="11">
        <f>'CapEx Depreciation'!P12</f>
        <v>41735.810530983799</v>
      </c>
      <c r="Q57" s="11">
        <f>'CapEx Depreciation'!Q12</f>
        <v>41801.001867378276</v>
      </c>
      <c r="R57" s="11">
        <f>'CapEx Depreciation'!R12</f>
        <v>41856.09558750259</v>
      </c>
      <c r="S57" s="11">
        <f>'CapEx Depreciation'!S12</f>
        <v>41901.007178130465</v>
      </c>
      <c r="T57" s="11">
        <f>'CapEx Depreciation'!T12</f>
        <v>41935.659311176132</v>
      </c>
      <c r="U57" s="11">
        <f>'CapEx Depreciation'!U12</f>
        <v>41959.981994020731</v>
      </c>
      <c r="V57" s="11">
        <f>'CapEx Depreciation'!V12</f>
        <v>41973.954668054641</v>
      </c>
      <c r="W57" s="11">
        <f>'CapEx Depreciation'!W12</f>
        <v>41977.48047990648</v>
      </c>
      <c r="X57" s="11">
        <f>G57</f>
        <v>40705.046775834024</v>
      </c>
      <c r="Y57" s="11">
        <f>K57</f>
        <v>41260.307574934799</v>
      </c>
      <c r="Z57" s="11">
        <f>O57</f>
        <v>41660.529953124125</v>
      </c>
      <c r="AA57" s="11">
        <f>S57</f>
        <v>41901.007178130465</v>
      </c>
      <c r="AB57" s="11">
        <f>W57</f>
        <v>41977.48047990648</v>
      </c>
    </row>
    <row r="58" spans="1:28" x14ac:dyDescent="0.3">
      <c r="A58" s="7" t="s">
        <v>53</v>
      </c>
      <c r="B58" s="7" t="s">
        <v>239</v>
      </c>
      <c r="C58" s="11">
        <f>'CapEx Depreciation'!C14</f>
        <v>0</v>
      </c>
      <c r="D58" s="11">
        <f>'CapEx Depreciation'!D14</f>
        <v>-10</v>
      </c>
      <c r="E58" s="11">
        <f>'CapEx Depreciation'!E14</f>
        <v>-30.05481</v>
      </c>
      <c r="F58" s="11">
        <f>'CapEx Depreciation'!F14</f>
        <v>-60.211868706929998</v>
      </c>
      <c r="G58" s="11">
        <f>'CapEx Depreciation'!G14</f>
        <v>-100.47066316597201</v>
      </c>
      <c r="H58" s="11">
        <f>'CapEx Depreciation'!H14</f>
        <v>-150.90421612123038</v>
      </c>
      <c r="I58" s="11">
        <f>'CapEx Depreciation'!I14</f>
        <v>-211.57855172969533</v>
      </c>
      <c r="J58" s="11">
        <f>'CapEx Depreciation'!J14</f>
        <v>-282.51158755665296</v>
      </c>
      <c r="K58" s="11">
        <f>'CapEx Depreciation'!K14</f>
        <v>-363.7137170652021</v>
      </c>
      <c r="L58" s="11">
        <f>'CapEx Depreciation'!L14</f>
        <v>-455.2290792664075</v>
      </c>
      <c r="M58" s="11">
        <f>'CapEx Depreciation'!M14</f>
        <v>-557.09456008071356</v>
      </c>
      <c r="N58" s="11">
        <f>'CapEx Depreciation'!N14</f>
        <v>-669.33972079822911</v>
      </c>
      <c r="O58" s="11">
        <f>'CapEx Depreciation'!O14</f>
        <v>-791.94515987587715</v>
      </c>
      <c r="P58" s="11">
        <f>'CapEx Depreciation'!P14</f>
        <v>-924.9672320162025</v>
      </c>
      <c r="Q58" s="11">
        <f>'CapEx Depreciation'!Q14</f>
        <v>-1068.4549486217247</v>
      </c>
      <c r="R58" s="11">
        <f>'CapEx Depreciation'!R14</f>
        <v>-1222.3662374974115</v>
      </c>
      <c r="S58" s="11">
        <f>'CapEx Depreciation'!S14</f>
        <v>-1386.735124869534</v>
      </c>
      <c r="T58" s="11">
        <f>'CapEx Depreciation'!T14</f>
        <v>-1561.5880278238724</v>
      </c>
      <c r="U58" s="11">
        <f>'CapEx Depreciation'!U14</f>
        <v>-1746.943641979271</v>
      </c>
      <c r="V58" s="11">
        <f>'CapEx Depreciation'!V14</f>
        <v>-1942.7708779453658</v>
      </c>
      <c r="W58" s="11">
        <f>'CapEx Depreciation'!W14</f>
        <v>-2149.1148390935223</v>
      </c>
      <c r="X58" s="11">
        <f>G58</f>
        <v>-100.47066316597201</v>
      </c>
      <c r="Y58" s="11">
        <f>K58</f>
        <v>-363.7137170652021</v>
      </c>
      <c r="Z58" s="11">
        <f>O58</f>
        <v>-791.94515987587715</v>
      </c>
      <c r="AA58" s="11">
        <f>S58</f>
        <v>-1386.735124869534</v>
      </c>
      <c r="AB58" s="11">
        <f>W58</f>
        <v>-2149.1148390935223</v>
      </c>
    </row>
  </sheetData>
  <mergeCells count="3">
    <mergeCell ref="A6:AB6"/>
    <mergeCell ref="A39:AB39"/>
    <mergeCell ref="A28:AB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1" t="s">
        <v>30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18" t="s">
        <v>31</v>
      </c>
      <c r="B8" s="18" t="s">
        <v>32</v>
      </c>
      <c r="C8" s="19">
        <f>'Model Inputs'!C15</f>
        <v>1528800</v>
      </c>
      <c r="D8" s="19">
        <f>'Model Inputs'!D15</f>
        <v>274877.56073520612</v>
      </c>
      <c r="E8" s="19">
        <f>'Model Inputs'!E15</f>
        <v>277227.24987836578</v>
      </c>
      <c r="F8" s="19">
        <f>'Model Inputs'!F15</f>
        <v>281912.37828704889</v>
      </c>
      <c r="G8" s="19">
        <f>'Model Inputs'!G15</f>
        <v>286019.97403268429</v>
      </c>
      <c r="H8" s="19">
        <f>'Model Inputs'!H15</f>
        <v>297884.00606214564</v>
      </c>
      <c r="I8" s="19">
        <f>'Model Inputs'!I15</f>
        <v>299958.21699956188</v>
      </c>
      <c r="J8" s="19">
        <f>'Model Inputs'!J15</f>
        <v>305514.83464646013</v>
      </c>
      <c r="K8" s="19">
        <f>'Model Inputs'!K15</f>
        <v>310633.40387490141</v>
      </c>
      <c r="L8" s="19">
        <f>'Model Inputs'!L15</f>
        <v>322368.63895439368</v>
      </c>
      <c r="M8" s="19">
        <f>'Model Inputs'!M15</f>
        <v>327892.98824799201</v>
      </c>
      <c r="N8" s="19">
        <f>'Model Inputs'!N15</f>
        <v>399522.50544253911</v>
      </c>
      <c r="O8" s="19">
        <f>'Model Inputs'!O15</f>
        <v>478359.77686206251</v>
      </c>
      <c r="P8" s="19">
        <f>'Model Inputs'!P15</f>
        <v>535397.39179925504</v>
      </c>
      <c r="Q8" s="19">
        <f>'Model Inputs'!Q15</f>
        <v>571797.05845715338</v>
      </c>
      <c r="R8" s="19">
        <f>'Model Inputs'!R15</f>
        <v>594487.69266826869</v>
      </c>
      <c r="S8" s="19">
        <f>'Model Inputs'!S15</f>
        <v>609311.253452654</v>
      </c>
      <c r="T8" s="19">
        <f>'Model Inputs'!T15</f>
        <v>619767.63823466282</v>
      </c>
      <c r="U8" s="19">
        <f>'Model Inputs'!U15</f>
        <v>627708.66535912873</v>
      </c>
      <c r="V8" s="19">
        <f>'Model Inputs'!V15</f>
        <v>634084.3514572992</v>
      </c>
      <c r="W8" s="19">
        <f>'Model Inputs'!W15</f>
        <v>639387.23374430416</v>
      </c>
      <c r="X8" s="19">
        <f t="shared" ref="X8:X20" si="0">SUM(D8:G8)</f>
        <v>1120037.1629333051</v>
      </c>
      <c r="Y8" s="19">
        <f t="shared" ref="Y8:Y20" si="1">SUM(H8:K8)</f>
        <v>1213990.4615830691</v>
      </c>
      <c r="Z8" s="19">
        <f t="shared" ref="Z8:Z20" si="2">SUM(L8:O8)</f>
        <v>1528143.9095069873</v>
      </c>
      <c r="AA8" s="19">
        <f t="shared" ref="AA8:AA20" si="3">SUM(P8:S8)</f>
        <v>2310993.3963773311</v>
      </c>
      <c r="AB8" s="19">
        <f t="shared" ref="AB8:AB20" si="4">SUM(T8:W8)</f>
        <v>2520947.8887953949</v>
      </c>
    </row>
    <row r="9" spans="1:28" x14ac:dyDescent="0.3">
      <c r="A9" s="7" t="s">
        <v>33</v>
      </c>
      <c r="B9" s="7" t="s">
        <v>32</v>
      </c>
      <c r="C9" s="11">
        <f>C8*'Model Inputs'!C16</f>
        <v>244608</v>
      </c>
      <c r="D9" s="11">
        <f>D8*'Model Inputs'!D16</f>
        <v>59385.235415135765</v>
      </c>
      <c r="E9" s="11">
        <f>E8*'Model Inputs'!E16</f>
        <v>59892.868131846837</v>
      </c>
      <c r="F9" s="11">
        <f>F8*'Model Inputs'!F16</f>
        <v>60905.054986079762</v>
      </c>
      <c r="G9" s="11">
        <f>G8*'Model Inputs'!G16</f>
        <v>61792.470239956194</v>
      </c>
      <c r="H9" s="11">
        <f>H8*'Model Inputs'!H16</f>
        <v>64355.605379681096</v>
      </c>
      <c r="I9" s="11">
        <f>I8*'Model Inputs'!I16</f>
        <v>64803.723096127847</v>
      </c>
      <c r="J9" s="11">
        <f>J8*'Model Inputs'!J16</f>
        <v>66004.18866410786</v>
      </c>
      <c r="K9" s="11">
        <f>K8*'Model Inputs'!K16</f>
        <v>67110.017156643386</v>
      </c>
      <c r="L9" s="11">
        <f>L8*'Model Inputs'!L16</f>
        <v>69645.326681304592</v>
      </c>
      <c r="M9" s="11">
        <f>M8*'Model Inputs'!M16</f>
        <v>70838.820913566815</v>
      </c>
      <c r="N9" s="11">
        <f>N8*'Model Inputs'!N16</f>
        <v>100662.32376742792</v>
      </c>
      <c r="O9" s="11">
        <f>O8*'Model Inputs'!O16</f>
        <v>134864.24824399114</v>
      </c>
      <c r="P9" s="11">
        <f>P8*'Model Inputs'!P16</f>
        <v>157631.3695672781</v>
      </c>
      <c r="Q9" s="11">
        <f>Q8*'Model Inputs'!Q16</f>
        <v>173422.61433730743</v>
      </c>
      <c r="R9" s="11">
        <f>R8*'Model Inputs'!R16</f>
        <v>183266.47807915651</v>
      </c>
      <c r="S9" s="11">
        <f>S8*'Model Inputs'!S16</f>
        <v>189697.37424430484</v>
      </c>
      <c r="T9" s="11">
        <f>T8*'Model Inputs'!T16</f>
        <v>192198.67666231838</v>
      </c>
      <c r="U9" s="11">
        <f>U8*'Model Inputs'!U16</f>
        <v>195643.72752594284</v>
      </c>
      <c r="V9" s="11">
        <f>V8*'Model Inputs'!V16</f>
        <v>198409.6874644795</v>
      </c>
      <c r="W9" s="11">
        <f>W8*'Model Inputs'!W16</f>
        <v>200710.23359231203</v>
      </c>
      <c r="X9" s="11">
        <f t="shared" si="0"/>
        <v>241975.62877301857</v>
      </c>
      <c r="Y9" s="11">
        <f t="shared" si="1"/>
        <v>262273.53429656022</v>
      </c>
      <c r="Z9" s="11">
        <f t="shared" si="2"/>
        <v>376010.71960629045</v>
      </c>
      <c r="AA9" s="11">
        <f t="shared" si="3"/>
        <v>704017.83622804692</v>
      </c>
      <c r="AB9" s="11">
        <f t="shared" si="4"/>
        <v>786962.32524505281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1284192</v>
      </c>
      <c r="D10" s="19">
        <f t="shared" si="5"/>
        <v>215492.32532007035</v>
      </c>
      <c r="E10" s="19">
        <f t="shared" si="5"/>
        <v>217334.38174651895</v>
      </c>
      <c r="F10" s="19">
        <f t="shared" si="5"/>
        <v>221007.32330096915</v>
      </c>
      <c r="G10" s="19">
        <f t="shared" si="5"/>
        <v>224227.50379272809</v>
      </c>
      <c r="H10" s="19">
        <f t="shared" si="5"/>
        <v>233528.40068246453</v>
      </c>
      <c r="I10" s="19">
        <f t="shared" si="5"/>
        <v>235154.49390343402</v>
      </c>
      <c r="J10" s="19">
        <f t="shared" si="5"/>
        <v>239510.64598235226</v>
      </c>
      <c r="K10" s="19">
        <f t="shared" si="5"/>
        <v>243523.38671825803</v>
      </c>
      <c r="L10" s="19">
        <f t="shared" si="5"/>
        <v>252723.31227308908</v>
      </c>
      <c r="M10" s="19">
        <f t="shared" si="5"/>
        <v>257054.1673344252</v>
      </c>
      <c r="N10" s="19">
        <f t="shared" si="5"/>
        <v>298860.18167511118</v>
      </c>
      <c r="O10" s="19">
        <f t="shared" si="5"/>
        <v>343495.52861807134</v>
      </c>
      <c r="P10" s="19">
        <f t="shared" si="5"/>
        <v>377766.02223197697</v>
      </c>
      <c r="Q10" s="19">
        <f t="shared" si="5"/>
        <v>398374.44411984598</v>
      </c>
      <c r="R10" s="19">
        <f t="shared" si="5"/>
        <v>411221.21458911221</v>
      </c>
      <c r="S10" s="19">
        <f t="shared" si="5"/>
        <v>419613.87920834916</v>
      </c>
      <c r="T10" s="19">
        <f t="shared" si="5"/>
        <v>427568.96157234441</v>
      </c>
      <c r="U10" s="19">
        <f t="shared" si="5"/>
        <v>432064.93783318589</v>
      </c>
      <c r="V10" s="19">
        <f t="shared" si="5"/>
        <v>435674.66399281973</v>
      </c>
      <c r="W10" s="19">
        <f t="shared" si="5"/>
        <v>438677.00015199214</v>
      </c>
      <c r="X10" s="19">
        <f t="shared" si="0"/>
        <v>878061.53416028642</v>
      </c>
      <c r="Y10" s="19">
        <f t="shared" si="1"/>
        <v>951716.92728650884</v>
      </c>
      <c r="Z10" s="19">
        <f t="shared" si="2"/>
        <v>1152133.1899006967</v>
      </c>
      <c r="AA10" s="19">
        <f t="shared" si="3"/>
        <v>1606975.5601492843</v>
      </c>
      <c r="AB10" s="19">
        <f t="shared" si="4"/>
        <v>1733985.5635503421</v>
      </c>
    </row>
    <row r="11" spans="1:28" x14ac:dyDescent="0.3">
      <c r="A11" s="7" t="s">
        <v>35</v>
      </c>
      <c r="B11" s="7" t="s">
        <v>32</v>
      </c>
      <c r="C11" s="11">
        <f>C8*'Model Inputs'!C17</f>
        <v>183456</v>
      </c>
      <c r="D11" s="11">
        <f>D8*'Model Inputs'!D17</f>
        <v>42993.94287154451</v>
      </c>
      <c r="E11" s="11">
        <f>E8*'Model Inputs'!E17</f>
        <v>43361.460687537539</v>
      </c>
      <c r="F11" s="11">
        <f>F8*'Model Inputs'!F17</f>
        <v>44094.267478350179</v>
      </c>
      <c r="G11" s="11">
        <f>G8*'Model Inputs'!G17</f>
        <v>44736.741663419692</v>
      </c>
      <c r="H11" s="11">
        <f>H8*'Model Inputs'!H17</f>
        <v>46592.409743187774</v>
      </c>
      <c r="I11" s="11">
        <f>I8*'Model Inputs'!I17</f>
        <v>46916.839668672721</v>
      </c>
      <c r="J11" s="11">
        <f>J8*'Model Inputs'!J17</f>
        <v>47785.957180596139</v>
      </c>
      <c r="K11" s="11">
        <f>K8*'Model Inputs'!K17</f>
        <v>48586.558991828177</v>
      </c>
      <c r="L11" s="11">
        <f>L8*'Model Inputs'!L17</f>
        <v>50422.081779655411</v>
      </c>
      <c r="M11" s="11">
        <f>M8*'Model Inputs'!M17</f>
        <v>51286.152158103738</v>
      </c>
      <c r="N11" s="11">
        <f>N8*'Model Inputs'!N17</f>
        <v>68662.936698205594</v>
      </c>
      <c r="O11" s="11">
        <f>O8*'Model Inputs'!O17</f>
        <v>88380.872307023994</v>
      </c>
      <c r="P11" s="11">
        <f>P8*'Model Inputs'!P17</f>
        <v>101795.74672414038</v>
      </c>
      <c r="Q11" s="11">
        <f>Q8*'Model Inputs'!Q17</f>
        <v>110899.6422599917</v>
      </c>
      <c r="R11" s="11">
        <f>R8*'Model Inputs'!R17</f>
        <v>116574.78114100873</v>
      </c>
      <c r="S11" s="11">
        <f>S8*'Model Inputs'!S17</f>
        <v>120282.29171039013</v>
      </c>
      <c r="T11" s="11">
        <f>T8*'Model Inputs'!T17</f>
        <v>122022.02314772709</v>
      </c>
      <c r="U11" s="11">
        <f>U8*'Model Inputs'!U17</f>
        <v>124008.14796780316</v>
      </c>
      <c r="V11" s="11">
        <f>V8*'Model Inputs'!V17</f>
        <v>125602.76642274974</v>
      </c>
      <c r="W11" s="11">
        <f>W8*'Model Inputs'!W17</f>
        <v>126929.06665607421</v>
      </c>
      <c r="X11" s="11">
        <f t="shared" si="0"/>
        <v>175186.41270085191</v>
      </c>
      <c r="Y11" s="11">
        <f t="shared" si="1"/>
        <v>189881.76558428482</v>
      </c>
      <c r="Z11" s="11">
        <f t="shared" si="2"/>
        <v>258752.04294298874</v>
      </c>
      <c r="AA11" s="11">
        <f t="shared" si="3"/>
        <v>449552.46183553094</v>
      </c>
      <c r="AB11" s="11">
        <f t="shared" si="4"/>
        <v>498562.00419435417</v>
      </c>
    </row>
    <row r="12" spans="1:28" x14ac:dyDescent="0.3">
      <c r="A12" s="7" t="s">
        <v>36</v>
      </c>
      <c r="B12" s="7" t="s">
        <v>32</v>
      </c>
      <c r="C12" s="11">
        <f>C8*'Model Inputs'!C18</f>
        <v>0</v>
      </c>
      <c r="D12" s="11">
        <f>D8*'Model Inputs'!D18</f>
        <v>0</v>
      </c>
      <c r="E12" s="11">
        <f>E8*'Model Inputs'!E18</f>
        <v>0</v>
      </c>
      <c r="F12" s="11">
        <f>F8*'Model Inputs'!F18</f>
        <v>0</v>
      </c>
      <c r="G12" s="11">
        <f>G8*'Model Inputs'!G18</f>
        <v>0</v>
      </c>
      <c r="H12" s="11">
        <f>H8*'Model Inputs'!H18</f>
        <v>0</v>
      </c>
      <c r="I12" s="11">
        <f>I8*'Model Inputs'!I18</f>
        <v>0</v>
      </c>
      <c r="J12" s="11">
        <f>J8*'Model Inputs'!J18</f>
        <v>0</v>
      </c>
      <c r="K12" s="11">
        <f>K8*'Model Inputs'!K18</f>
        <v>0</v>
      </c>
      <c r="L12" s="11">
        <f>L8*'Model Inputs'!L18</f>
        <v>0</v>
      </c>
      <c r="M12" s="11">
        <f>M8*'Model Inputs'!M18</f>
        <v>0</v>
      </c>
      <c r="N12" s="11">
        <f>N8*'Model Inputs'!N18</f>
        <v>0</v>
      </c>
      <c r="O12" s="11">
        <f>O8*'Model Inputs'!O18</f>
        <v>0</v>
      </c>
      <c r="P12" s="11">
        <f>P8*'Model Inputs'!P18</f>
        <v>0</v>
      </c>
      <c r="Q12" s="11">
        <f>Q8*'Model Inputs'!Q18</f>
        <v>0</v>
      </c>
      <c r="R12" s="11">
        <f>R8*'Model Inputs'!R18</f>
        <v>0</v>
      </c>
      <c r="S12" s="11">
        <f>S8*'Model Inputs'!S18</f>
        <v>0</v>
      </c>
      <c r="T12" s="11">
        <f>T8*'Model Inputs'!T18</f>
        <v>0</v>
      </c>
      <c r="U12" s="11">
        <f>U8*'Model Inputs'!U18</f>
        <v>0</v>
      </c>
      <c r="V12" s="11">
        <f>V8*'Model Inputs'!V18</f>
        <v>0</v>
      </c>
      <c r="W12" s="11">
        <f>W8*'Model Inputs'!W18</f>
        <v>0</v>
      </c>
      <c r="X12" s="11">
        <f t="shared" si="0"/>
        <v>0</v>
      </c>
      <c r="Y12" s="11">
        <f t="shared" si="1"/>
        <v>0</v>
      </c>
      <c r="Z12" s="11">
        <f t="shared" si="2"/>
        <v>0</v>
      </c>
      <c r="AA12" s="11">
        <f t="shared" si="3"/>
        <v>0</v>
      </c>
      <c r="AB12" s="11">
        <f t="shared" si="4"/>
        <v>0</v>
      </c>
    </row>
    <row r="13" spans="1:28" x14ac:dyDescent="0.3">
      <c r="A13" s="7" t="s">
        <v>37</v>
      </c>
      <c r="B13" s="7" t="s">
        <v>32</v>
      </c>
      <c r="C13" s="11">
        <f>'Model Inputs'!C19</f>
        <v>12600</v>
      </c>
      <c r="D13" s="11">
        <f>'Model Inputs'!D19</f>
        <v>12600</v>
      </c>
      <c r="E13" s="11">
        <f>'Model Inputs'!E19</f>
        <v>12600</v>
      </c>
      <c r="F13" s="11">
        <f>'Model Inputs'!F19</f>
        <v>12600</v>
      </c>
      <c r="G13" s="11">
        <f>'Model Inputs'!G19</f>
        <v>12600</v>
      </c>
      <c r="H13" s="11">
        <f>'Model Inputs'!H19</f>
        <v>12600</v>
      </c>
      <c r="I13" s="11">
        <f>'Model Inputs'!I19</f>
        <v>12600</v>
      </c>
      <c r="J13" s="11">
        <f>'Model Inputs'!J19</f>
        <v>12600</v>
      </c>
      <c r="K13" s="11">
        <f>'Model Inputs'!K19</f>
        <v>12600</v>
      </c>
      <c r="L13" s="11">
        <f>'Model Inputs'!L19</f>
        <v>12600</v>
      </c>
      <c r="M13" s="11">
        <f>'Model Inputs'!M19</f>
        <v>12600</v>
      </c>
      <c r="N13" s="11">
        <f>'Model Inputs'!N19</f>
        <v>12600</v>
      </c>
      <c r="O13" s="11">
        <f>'Model Inputs'!O19</f>
        <v>12600</v>
      </c>
      <c r="P13" s="11">
        <f>'Model Inputs'!P19</f>
        <v>12600</v>
      </c>
      <c r="Q13" s="11">
        <f>'Model Inputs'!Q19</f>
        <v>12600</v>
      </c>
      <c r="R13" s="11">
        <f>'Model Inputs'!R19</f>
        <v>12600</v>
      </c>
      <c r="S13" s="11">
        <f>'Model Inputs'!S19</f>
        <v>12600</v>
      </c>
      <c r="T13" s="11">
        <f>'Model Inputs'!T19</f>
        <v>12600</v>
      </c>
      <c r="U13" s="11">
        <f>'Model Inputs'!U19</f>
        <v>12600</v>
      </c>
      <c r="V13" s="11">
        <f>'Model Inputs'!V19</f>
        <v>12600</v>
      </c>
      <c r="W13" s="11">
        <f>'Model Inputs'!W19</f>
        <v>12600</v>
      </c>
      <c r="X13" s="11">
        <f t="shared" si="0"/>
        <v>50400</v>
      </c>
      <c r="Y13" s="11">
        <f t="shared" si="1"/>
        <v>50400</v>
      </c>
      <c r="Z13" s="11">
        <f t="shared" si="2"/>
        <v>50400</v>
      </c>
      <c r="AA13" s="11">
        <f t="shared" si="3"/>
        <v>50400</v>
      </c>
      <c r="AB13" s="11">
        <f t="shared" si="4"/>
        <v>50400</v>
      </c>
    </row>
    <row r="14" spans="1:28" x14ac:dyDescent="0.3">
      <c r="A14" s="7" t="s">
        <v>38</v>
      </c>
      <c r="B14" s="7" t="s">
        <v>32</v>
      </c>
      <c r="C14" s="11">
        <f>'Model Inputs'!C20</f>
        <v>134521.875</v>
      </c>
      <c r="D14" s="11">
        <f>'Model Inputs'!D20</f>
        <v>115547.95</v>
      </c>
      <c r="E14" s="11">
        <f>'Model Inputs'!E20</f>
        <v>115547.95</v>
      </c>
      <c r="F14" s="11">
        <f>'Model Inputs'!F20</f>
        <v>115547.95</v>
      </c>
      <c r="G14" s="11">
        <f>'Model Inputs'!G20</f>
        <v>115547.95</v>
      </c>
      <c r="H14" s="11">
        <f>'Model Inputs'!H20</f>
        <v>119014.3275</v>
      </c>
      <c r="I14" s="11">
        <f>'Model Inputs'!I20</f>
        <v>119014.3275</v>
      </c>
      <c r="J14" s="11">
        <f>'Model Inputs'!J20</f>
        <v>119014.3275</v>
      </c>
      <c r="K14" s="11">
        <f>'Model Inputs'!K20</f>
        <v>119014.3275</v>
      </c>
      <c r="L14" s="11">
        <f>'Model Inputs'!L20</f>
        <v>122584.7075</v>
      </c>
      <c r="M14" s="11">
        <f>'Model Inputs'!M20</f>
        <v>122584.7075</v>
      </c>
      <c r="N14" s="11">
        <f>'Model Inputs'!N20</f>
        <v>122584.7075</v>
      </c>
      <c r="O14" s="11">
        <f>'Model Inputs'!O20</f>
        <v>122584.7075</v>
      </c>
      <c r="P14" s="11">
        <f>'Model Inputs'!P20</f>
        <v>126262.765</v>
      </c>
      <c r="Q14" s="11">
        <f>'Model Inputs'!Q20</f>
        <v>126262.765</v>
      </c>
      <c r="R14" s="11">
        <f>'Model Inputs'!R20</f>
        <v>126262.765</v>
      </c>
      <c r="S14" s="11">
        <f>'Model Inputs'!S20</f>
        <v>126262.765</v>
      </c>
      <c r="T14" s="11">
        <f>'Model Inputs'!T20</f>
        <v>130050.345</v>
      </c>
      <c r="U14" s="11">
        <f>'Model Inputs'!U20</f>
        <v>130050.345</v>
      </c>
      <c r="V14" s="11">
        <f>'Model Inputs'!V20</f>
        <v>130050.345</v>
      </c>
      <c r="W14" s="11">
        <f>'Model Inputs'!W20</f>
        <v>130050.345</v>
      </c>
      <c r="X14" s="11">
        <f t="shared" si="0"/>
        <v>462191.8</v>
      </c>
      <c r="Y14" s="11">
        <f t="shared" si="1"/>
        <v>476057.31</v>
      </c>
      <c r="Z14" s="11">
        <f t="shared" si="2"/>
        <v>490338.83</v>
      </c>
      <c r="AA14" s="11">
        <f t="shared" si="3"/>
        <v>505051.06</v>
      </c>
      <c r="AB14" s="11">
        <f t="shared" si="4"/>
        <v>520201.38</v>
      </c>
    </row>
    <row r="15" spans="1:28" x14ac:dyDescent="0.3">
      <c r="A15" s="7" t="s">
        <v>39</v>
      </c>
      <c r="B15" s="7" t="s">
        <v>32</v>
      </c>
      <c r="C15" s="11">
        <f>C8*'Model Inputs'!C21</f>
        <v>700.19040000000007</v>
      </c>
      <c r="D15" s="11">
        <f>D8*'Model Inputs'!D21</f>
        <v>42993.94287154451</v>
      </c>
      <c r="E15" s="11">
        <f>E8*'Model Inputs'!E21</f>
        <v>43361.460687537539</v>
      </c>
      <c r="F15" s="11">
        <f>F8*'Model Inputs'!F21</f>
        <v>44094.267478350179</v>
      </c>
      <c r="G15" s="11">
        <f>G8*'Model Inputs'!G21</f>
        <v>44736.741663419692</v>
      </c>
      <c r="H15" s="11">
        <f>H8*'Model Inputs'!H21</f>
        <v>46592.409743187774</v>
      </c>
      <c r="I15" s="11">
        <f>I8*'Model Inputs'!I21</f>
        <v>46916.839668672721</v>
      </c>
      <c r="J15" s="11">
        <f>J8*'Model Inputs'!J21</f>
        <v>47785.957180596139</v>
      </c>
      <c r="K15" s="11">
        <f>K8*'Model Inputs'!K21</f>
        <v>48586.558991828177</v>
      </c>
      <c r="L15" s="11">
        <f>L8*'Model Inputs'!L21</f>
        <v>50422.081779655411</v>
      </c>
      <c r="M15" s="11">
        <f>M8*'Model Inputs'!M21</f>
        <v>51286.152158103738</v>
      </c>
      <c r="N15" s="11">
        <f>N8*'Model Inputs'!N21</f>
        <v>68662.936698205594</v>
      </c>
      <c r="O15" s="11">
        <f>O8*'Model Inputs'!O21</f>
        <v>88380.872307023994</v>
      </c>
      <c r="P15" s="11">
        <f>P8*'Model Inputs'!P21</f>
        <v>101795.74672414038</v>
      </c>
      <c r="Q15" s="11">
        <f>Q8*'Model Inputs'!Q21</f>
        <v>110899.6422599917</v>
      </c>
      <c r="R15" s="11">
        <f>R8*'Model Inputs'!R21</f>
        <v>116574.78114100873</v>
      </c>
      <c r="S15" s="11">
        <f>S8*'Model Inputs'!S21</f>
        <v>120282.29171039013</v>
      </c>
      <c r="T15" s="11">
        <f>T8*'Model Inputs'!T21</f>
        <v>122022.02314772709</v>
      </c>
      <c r="U15" s="11">
        <f>U8*'Model Inputs'!U21</f>
        <v>124008.14796780316</v>
      </c>
      <c r="V15" s="11">
        <f>V8*'Model Inputs'!V21</f>
        <v>125602.76642274974</v>
      </c>
      <c r="W15" s="11">
        <f>W8*'Model Inputs'!W21</f>
        <v>126929.06665607421</v>
      </c>
      <c r="X15" s="11">
        <f t="shared" si="0"/>
        <v>175186.41270085191</v>
      </c>
      <c r="Y15" s="11">
        <f t="shared" si="1"/>
        <v>189881.76558428482</v>
      </c>
      <c r="Z15" s="11">
        <f t="shared" si="2"/>
        <v>258752.04294298874</v>
      </c>
      <c r="AA15" s="11">
        <f t="shared" si="3"/>
        <v>449552.46183553094</v>
      </c>
      <c r="AB15" s="11">
        <f t="shared" si="4"/>
        <v>498562.00419435417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952913.93460000004</v>
      </c>
      <c r="D16" s="19">
        <f t="shared" si="6"/>
        <v>1356.4895769813156</v>
      </c>
      <c r="E16" s="19">
        <f t="shared" si="6"/>
        <v>2463.5103714438737</v>
      </c>
      <c r="F16" s="19">
        <f t="shared" si="6"/>
        <v>4670.8383442687918</v>
      </c>
      <c r="G16" s="19">
        <f t="shared" si="6"/>
        <v>6606.0704658887116</v>
      </c>
      <c r="H16" s="19">
        <f t="shared" si="6"/>
        <v>8729.2536960889702</v>
      </c>
      <c r="I16" s="19">
        <f t="shared" si="6"/>
        <v>9706.4870660885936</v>
      </c>
      <c r="J16" s="19">
        <f t="shared" si="6"/>
        <v>12324.404121159983</v>
      </c>
      <c r="K16" s="19">
        <f t="shared" si="6"/>
        <v>14735.941234601662</v>
      </c>
      <c r="L16" s="19">
        <f t="shared" si="6"/>
        <v>16694.441213778249</v>
      </c>
      <c r="M16" s="19">
        <f t="shared" si="6"/>
        <v>19297.15551821774</v>
      </c>
      <c r="N16" s="19">
        <f t="shared" si="6"/>
        <v>26349.600778699969</v>
      </c>
      <c r="O16" s="19">
        <f t="shared" si="6"/>
        <v>31549.076504023396</v>
      </c>
      <c r="P16" s="19">
        <f t="shared" si="6"/>
        <v>35311.763783696224</v>
      </c>
      <c r="Q16" s="19">
        <f t="shared" si="6"/>
        <v>37712.39459986263</v>
      </c>
      <c r="R16" s="19">
        <f t="shared" si="6"/>
        <v>39208.887307094759</v>
      </c>
      <c r="S16" s="19">
        <f t="shared" si="6"/>
        <v>40186.530787568889</v>
      </c>
      <c r="T16" s="19">
        <f t="shared" si="6"/>
        <v>40874.570276890241</v>
      </c>
      <c r="U16" s="19">
        <f t="shared" si="6"/>
        <v>41398.296897579567</v>
      </c>
      <c r="V16" s="19">
        <f t="shared" si="6"/>
        <v>41818.786147320294</v>
      </c>
      <c r="W16" s="19">
        <f t="shared" si="6"/>
        <v>42168.521839843714</v>
      </c>
      <c r="X16" s="19">
        <f t="shared" si="0"/>
        <v>15096.908758582693</v>
      </c>
      <c r="Y16" s="19">
        <f t="shared" si="1"/>
        <v>45496.086117939209</v>
      </c>
      <c r="Z16" s="19">
        <f t="shared" si="2"/>
        <v>93890.274014719354</v>
      </c>
      <c r="AA16" s="19">
        <f t="shared" si="3"/>
        <v>152419.5764782225</v>
      </c>
      <c r="AB16" s="19">
        <f t="shared" si="4"/>
        <v>166260.17516163382</v>
      </c>
    </row>
    <row r="17" spans="1:28" x14ac:dyDescent="0.3">
      <c r="A17" s="7" t="s">
        <v>41</v>
      </c>
      <c r="B17" s="7" t="s">
        <v>32</v>
      </c>
      <c r="C17" s="11">
        <f>'Model Inputs'!C23+'Model Inputs'!C52</f>
        <v>0</v>
      </c>
      <c r="D17" s="11">
        <f>'Model Inputs'!D23+'Model Inputs'!D52</f>
        <v>0</v>
      </c>
      <c r="E17" s="11">
        <f>'Model Inputs'!E23+'Model Inputs'!E52</f>
        <v>0</v>
      </c>
      <c r="F17" s="11">
        <f>'Model Inputs'!F23+'Model Inputs'!F52</f>
        <v>0</v>
      </c>
      <c r="G17" s="11">
        <f>'Model Inputs'!G23+'Model Inputs'!G52</f>
        <v>0</v>
      </c>
      <c r="H17" s="11">
        <f>'Model Inputs'!H23+'Model Inputs'!H52</f>
        <v>0</v>
      </c>
      <c r="I17" s="11">
        <f>'Model Inputs'!I23+'Model Inputs'!I52</f>
        <v>0</v>
      </c>
      <c r="J17" s="11">
        <f>'Model Inputs'!J23+'Model Inputs'!J52</f>
        <v>0</v>
      </c>
      <c r="K17" s="11">
        <f>'Model Inputs'!K23+'Model Inputs'!K52</f>
        <v>0</v>
      </c>
      <c r="L17" s="11">
        <f>'Model Inputs'!L23+'Model Inputs'!L52</f>
        <v>0</v>
      </c>
      <c r="M17" s="11">
        <f>'Model Inputs'!M23+'Model Inputs'!M52</f>
        <v>0</v>
      </c>
      <c r="N17" s="11">
        <f>'Model Inputs'!N23+'Model Inputs'!N52</f>
        <v>0</v>
      </c>
      <c r="O17" s="11">
        <f>'Model Inputs'!O23+'Model Inputs'!O52</f>
        <v>0</v>
      </c>
      <c r="P17" s="11">
        <f>'Model Inputs'!P23+'Model Inputs'!P52</f>
        <v>0</v>
      </c>
      <c r="Q17" s="11">
        <f>'Model Inputs'!Q23+'Model Inputs'!Q52</f>
        <v>0</v>
      </c>
      <c r="R17" s="11">
        <f>'Model Inputs'!R23+'Model Inputs'!R52</f>
        <v>0</v>
      </c>
      <c r="S17" s="11">
        <f>'Model Inputs'!S23+'Model Inputs'!S52</f>
        <v>0</v>
      </c>
      <c r="T17" s="11">
        <f>'Model Inputs'!T23+'Model Inputs'!T52</f>
        <v>0</v>
      </c>
      <c r="U17" s="11">
        <f>'Model Inputs'!U23+'Model Inputs'!U52</f>
        <v>0</v>
      </c>
      <c r="V17" s="11">
        <f>'Model Inputs'!V23+'Model Inputs'!V52</f>
        <v>0</v>
      </c>
      <c r="W17" s="11">
        <f>'Model Inputs'!W23+'Model Inputs'!W52</f>
        <v>0</v>
      </c>
      <c r="X17" s="11">
        <f t="shared" si="0"/>
        <v>0</v>
      </c>
      <c r="Y17" s="11">
        <f t="shared" si="1"/>
        <v>0</v>
      </c>
      <c r="Z17" s="11">
        <f t="shared" si="2"/>
        <v>0</v>
      </c>
      <c r="AA17" s="11">
        <f t="shared" si="3"/>
        <v>0</v>
      </c>
      <c r="AB17" s="11">
        <f t="shared" si="4"/>
        <v>0</v>
      </c>
    </row>
    <row r="18" spans="1:28" x14ac:dyDescent="0.3">
      <c r="A18" s="7" t="s">
        <v>42</v>
      </c>
      <c r="B18" s="7" t="s">
        <v>32</v>
      </c>
      <c r="C18" s="11">
        <f>'Model Inputs'!C25+'Model Inputs'!C55</f>
        <v>0</v>
      </c>
      <c r="D18" s="11">
        <f>'Model Inputs'!D25+'Model Inputs'!D55</f>
        <v>10</v>
      </c>
      <c r="E18" s="11">
        <f>'Model Inputs'!E25+'Model Inputs'!E55</f>
        <v>20.05481</v>
      </c>
      <c r="F18" s="11">
        <f>'Model Inputs'!F25+'Model Inputs'!F55</f>
        <v>30.157058706929998</v>
      </c>
      <c r="G18" s="11">
        <f>'Model Inputs'!G25+'Model Inputs'!G55</f>
        <v>40.258794459042015</v>
      </c>
      <c r="H18" s="11">
        <f>'Model Inputs'!H25+'Model Inputs'!H55</f>
        <v>50.433552955258357</v>
      </c>
      <c r="I18" s="11">
        <f>'Model Inputs'!I25+'Model Inputs'!I55</f>
        <v>60.674335608464972</v>
      </c>
      <c r="J18" s="11">
        <f>'Model Inputs'!J25+'Model Inputs'!J55</f>
        <v>70.933035826957635</v>
      </c>
      <c r="K18" s="11">
        <f>'Model Inputs'!K25+'Model Inputs'!K55</f>
        <v>81.202129508549177</v>
      </c>
      <c r="L18" s="11">
        <f>'Model Inputs'!L25+'Model Inputs'!L55</f>
        <v>91.515362201205377</v>
      </c>
      <c r="M18" s="11">
        <f>'Model Inputs'!M25+'Model Inputs'!M55</f>
        <v>101.86548081430611</v>
      </c>
      <c r="N18" s="11">
        <f>'Model Inputs'!N25+'Model Inputs'!N55</f>
        <v>112.24516071751559</v>
      </c>
      <c r="O18" s="11">
        <f>'Model Inputs'!O25+'Model Inputs'!O55</f>
        <v>122.60543907764801</v>
      </c>
      <c r="P18" s="11">
        <f>'Model Inputs'!P25+'Model Inputs'!P55</f>
        <v>133.02207214032535</v>
      </c>
      <c r="Q18" s="11">
        <f>'Model Inputs'!Q25+'Model Inputs'!Q55</f>
        <v>143.48771660552231</v>
      </c>
      <c r="R18" s="11">
        <f>'Model Inputs'!R25+'Model Inputs'!R55</f>
        <v>153.91128887568681</v>
      </c>
      <c r="S18" s="11">
        <f>'Model Inputs'!S25+'Model Inputs'!S55</f>
        <v>164.36888737212266</v>
      </c>
      <c r="T18" s="11">
        <f>'Model Inputs'!T25+'Model Inputs'!T55</f>
        <v>174.85290295433842</v>
      </c>
      <c r="U18" s="11">
        <f>'Model Inputs'!U25+'Model Inputs'!U55</f>
        <v>185.35561415539851</v>
      </c>
      <c r="V18" s="11">
        <f>'Model Inputs'!V25+'Model Inputs'!V55</f>
        <v>195.82723596609475</v>
      </c>
      <c r="W18" s="11">
        <f>'Model Inputs'!W25+'Model Inputs'!W55</f>
        <v>206.34396114815664</v>
      </c>
      <c r="X18" s="11">
        <f t="shared" si="0"/>
        <v>100.47066316597201</v>
      </c>
      <c r="Y18" s="11">
        <f t="shared" si="1"/>
        <v>263.24305389923018</v>
      </c>
      <c r="Z18" s="11">
        <f t="shared" si="2"/>
        <v>428.23144281067505</v>
      </c>
      <c r="AA18" s="11">
        <f t="shared" si="3"/>
        <v>594.78996499365712</v>
      </c>
      <c r="AB18" s="11">
        <f t="shared" si="4"/>
        <v>762.37971422398834</v>
      </c>
    </row>
    <row r="19" spans="1:28" x14ac:dyDescent="0.3">
      <c r="A19" s="7" t="s">
        <v>43</v>
      </c>
      <c r="B19" s="7" t="s">
        <v>32</v>
      </c>
      <c r="C19" s="11">
        <f>MAX(0,C16-C17-C18)*'Model Inputs'!C26</f>
        <v>195324.4866585696</v>
      </c>
      <c r="D19" s="11">
        <f>MAX(0,D16-D17-D18)*'Model Inputs'!D26</f>
        <v>275.99804753132213</v>
      </c>
      <c r="E19" s="11">
        <f>MAX(0,E16-E17-E18)*'Model Inputs'!E26</f>
        <v>500.84974716251941</v>
      </c>
      <c r="F19" s="11">
        <f>MAX(0,F16-F17-F18)*'Model Inputs'!F26</f>
        <v>951.22828718932817</v>
      </c>
      <c r="G19" s="11">
        <f>MAX(0,G16-G17-G18)*'Model Inputs'!G26</f>
        <v>1345.8338131629678</v>
      </c>
      <c r="H19" s="11">
        <f>MAX(0,H16-H17-H18)*'Model Inputs'!H26</f>
        <v>1778.9498376589754</v>
      </c>
      <c r="I19" s="11">
        <f>MAX(0,I16-I17-I18)*'Model Inputs'!I26</f>
        <v>1977.1601102428949</v>
      </c>
      <c r="J19" s="11">
        <f>MAX(0,J16-J17-J18)*'Model Inputs'!J26</f>
        <v>2511.6674891872221</v>
      </c>
      <c r="K19" s="11">
        <f>MAX(0,K16-K17-K18)*'Model Inputs'!K26</f>
        <v>3003.8698028055655</v>
      </c>
      <c r="L19" s="11">
        <f>MAX(0,L16-L17-L18)*'Model Inputs'!L26</f>
        <v>3403.2013293528562</v>
      </c>
      <c r="M19" s="11">
        <f>MAX(0,M16-M17-M18)*'Model Inputs'!M26</f>
        <v>3934.573770706806</v>
      </c>
      <c r="N19" s="11">
        <f>MAX(0,N16-N17-N18)*'Model Inputs'!N26</f>
        <v>5378.0282051515705</v>
      </c>
      <c r="O19" s="11">
        <f>MAX(0,O16-O17-O18)*'Model Inputs'!O26</f>
        <v>6441.6723330083196</v>
      </c>
      <c r="P19" s="11">
        <f>MAX(0,P16-P17-P18)*'Model Inputs'!P26</f>
        <v>7210.7977610678818</v>
      </c>
      <c r="Q19" s="11">
        <f>MAX(0,Q16-Q17-Q18)*'Model Inputs'!Q26</f>
        <v>7700.7242573025087</v>
      </c>
      <c r="R19" s="11">
        <f>MAX(0,R16-R17-R18)*'Model Inputs'!R26</f>
        <v>8005.3327643104722</v>
      </c>
      <c r="S19" s="11">
        <f>MAX(0,S16-S17-S18)*'Model Inputs'!S26</f>
        <v>8203.5826576547315</v>
      </c>
      <c r="T19" s="11">
        <f>MAX(0,T16-T17-T18)*'Model Inputs'!T26</f>
        <v>8342.4652684398861</v>
      </c>
      <c r="U19" s="11">
        <f>MAX(0,U16-U17-U18)*'Model Inputs'!U26</f>
        <v>8447.6638525111521</v>
      </c>
      <c r="V19" s="11">
        <f>MAX(0,V16-V17-V18)*'Model Inputs'!V26</f>
        <v>8531.7076258137386</v>
      </c>
      <c r="W19" s="11">
        <f>MAX(0,W16-W17-W18)*'Model Inputs'!W26</f>
        <v>8601.2393728634997</v>
      </c>
      <c r="X19" s="11">
        <f t="shared" si="0"/>
        <v>3073.9098950461375</v>
      </c>
      <c r="Y19" s="11">
        <f t="shared" si="1"/>
        <v>9271.6472398946589</v>
      </c>
      <c r="Z19" s="11">
        <f t="shared" si="2"/>
        <v>19157.475638219552</v>
      </c>
      <c r="AA19" s="11">
        <f t="shared" si="3"/>
        <v>31120.437440335591</v>
      </c>
      <c r="AB19" s="11">
        <f t="shared" si="4"/>
        <v>33923.076119628277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757589.44794143038</v>
      </c>
      <c r="D20" s="19">
        <f t="shared" si="7"/>
        <v>1070.4915294499935</v>
      </c>
      <c r="E20" s="19">
        <f t="shared" si="7"/>
        <v>1942.6058142813545</v>
      </c>
      <c r="F20" s="19">
        <f t="shared" si="7"/>
        <v>3689.4529983725338</v>
      </c>
      <c r="G20" s="19">
        <f t="shared" si="7"/>
        <v>5219.9778582667022</v>
      </c>
      <c r="H20" s="19">
        <f t="shared" si="7"/>
        <v>6899.8703054747366</v>
      </c>
      <c r="I20" s="19">
        <f t="shared" si="7"/>
        <v>7668.6526202372334</v>
      </c>
      <c r="J20" s="19">
        <f t="shared" si="7"/>
        <v>9741.8035961458045</v>
      </c>
      <c r="K20" s="19">
        <f t="shared" si="7"/>
        <v>11650.869302287547</v>
      </c>
      <c r="L20" s="19">
        <f t="shared" si="7"/>
        <v>13199.724522224187</v>
      </c>
      <c r="M20" s="19">
        <f t="shared" si="7"/>
        <v>15260.716266696629</v>
      </c>
      <c r="N20" s="19">
        <f t="shared" si="7"/>
        <v>20859.327412830884</v>
      </c>
      <c r="O20" s="19">
        <f t="shared" si="7"/>
        <v>24984.79873193743</v>
      </c>
      <c r="P20" s="19">
        <f t="shared" si="7"/>
        <v>27967.943950488017</v>
      </c>
      <c r="Q20" s="19">
        <f t="shared" si="7"/>
        <v>29868.1826259546</v>
      </c>
      <c r="R20" s="19">
        <f t="shared" si="7"/>
        <v>31049.643253908602</v>
      </c>
      <c r="S20" s="19">
        <f t="shared" si="7"/>
        <v>31818.579242542037</v>
      </c>
      <c r="T20" s="19">
        <f t="shared" si="7"/>
        <v>32357.252105496016</v>
      </c>
      <c r="U20" s="19">
        <f t="shared" si="7"/>
        <v>32765.277430913018</v>
      </c>
      <c r="V20" s="19">
        <f t="shared" si="7"/>
        <v>33091.251285540464</v>
      </c>
      <c r="W20" s="19">
        <f t="shared" si="7"/>
        <v>33360.938505832055</v>
      </c>
      <c r="X20" s="19">
        <f t="shared" si="0"/>
        <v>11922.528200370583</v>
      </c>
      <c r="Y20" s="19">
        <f t="shared" si="1"/>
        <v>35961.195824145318</v>
      </c>
      <c r="Z20" s="19">
        <f t="shared" si="2"/>
        <v>74304.56693368913</v>
      </c>
      <c r="AA20" s="19">
        <f t="shared" si="3"/>
        <v>120704.34907289327</v>
      </c>
      <c r="AB20" s="19">
        <f t="shared" si="4"/>
        <v>131574.71932778155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s="7" t="s">
        <v>46</v>
      </c>
      <c r="B23" s="7" t="s">
        <v>32</v>
      </c>
      <c r="C23" s="11">
        <f t="shared" ref="C23:W23" si="8">C61</f>
        <v>80000</v>
      </c>
      <c r="D23" s="11">
        <f t="shared" si="8"/>
        <v>136761.69610939667</v>
      </c>
      <c r="E23" s="11">
        <f t="shared" si="8"/>
        <v>137383.45958739854</v>
      </c>
      <c r="F23" s="11">
        <f t="shared" si="8"/>
        <v>138622.68332000854</v>
      </c>
      <c r="G23" s="11">
        <f t="shared" si="8"/>
        <v>139710.26110617389</v>
      </c>
      <c r="H23" s="11">
        <f t="shared" si="8"/>
        <v>144857.78409235226</v>
      </c>
      <c r="I23" s="11">
        <f t="shared" si="8"/>
        <v>148608.43304259848</v>
      </c>
      <c r="J23" s="11">
        <f t="shared" si="8"/>
        <v>152000.32074002951</v>
      </c>
      <c r="K23" s="11">
        <f t="shared" si="8"/>
        <v>165583.0271413718</v>
      </c>
      <c r="L23" s="11">
        <f t="shared" si="8"/>
        <v>202360.28817663889</v>
      </c>
      <c r="M23" s="11">
        <f t="shared" si="8"/>
        <v>205739.24984390131</v>
      </c>
      <c r="N23" s="11">
        <f t="shared" si="8"/>
        <v>248791.57120848174</v>
      </c>
      <c r="O23" s="11">
        <f t="shared" si="8"/>
        <v>295285.18814626761</v>
      </c>
      <c r="P23" s="11">
        <f t="shared" si="8"/>
        <v>333383.1503460189</v>
      </c>
      <c r="Q23" s="11">
        <f t="shared" si="8"/>
        <v>356068.6561063953</v>
      </c>
      <c r="R23" s="11">
        <f t="shared" si="8"/>
        <v>370197.39620831708</v>
      </c>
      <c r="S23" s="11">
        <f t="shared" si="8"/>
        <v>379430.24852382601</v>
      </c>
      <c r="T23" s="11">
        <f t="shared" si="8"/>
        <v>385941.9857538112</v>
      </c>
      <c r="U23" s="11">
        <f t="shared" si="8"/>
        <v>390887.0992187534</v>
      </c>
      <c r="V23" s="11">
        <f t="shared" si="8"/>
        <v>394856.72827721096</v>
      </c>
      <c r="W23" s="11">
        <f t="shared" si="8"/>
        <v>398158.27465863875</v>
      </c>
      <c r="X23" s="11">
        <f t="shared" ref="X23:X43" si="9">G23</f>
        <v>139710.26110617389</v>
      </c>
      <c r="Y23" s="11">
        <f t="shared" ref="Y23:Y43" si="10">K23</f>
        <v>165583.0271413718</v>
      </c>
      <c r="Z23" s="11">
        <f t="shared" ref="Z23:Z43" si="11">O23</f>
        <v>295285.18814626761</v>
      </c>
      <c r="AA23" s="11">
        <f t="shared" ref="AA23:AA43" si="12">S23</f>
        <v>379430.24852382601</v>
      </c>
      <c r="AB23" s="11">
        <f t="shared" ref="AB23:AB43" si="13">W23</f>
        <v>398158.27465863875</v>
      </c>
    </row>
    <row r="24" spans="1:28" x14ac:dyDescent="0.3">
      <c r="A24" s="7" t="s">
        <v>47</v>
      </c>
      <c r="B24" s="7" t="s">
        <v>32</v>
      </c>
      <c r="C24" s="11">
        <f>'Model Inputs'!C41</f>
        <v>12000</v>
      </c>
      <c r="D24" s="11">
        <f>('Model Inputs'!D29/D6)*D8</f>
        <v>89633.987196262868</v>
      </c>
      <c r="E24" s="11">
        <f>('Model Inputs'!E29/E6)*E8</f>
        <v>123300.36005751847</v>
      </c>
      <c r="F24" s="11">
        <f>('Model Inputs'!F29/F6)*F8</f>
        <v>128170.44477128518</v>
      </c>
      <c r="G24" s="11">
        <f>('Model Inputs'!G29/G6)*G8</f>
        <v>128608.95990071242</v>
      </c>
      <c r="H24" s="11">
        <f>('Model Inputs'!H29/H6)*H8</f>
        <v>132487.71619295582</v>
      </c>
      <c r="I24" s="11">
        <f>('Model Inputs'!I29/I6)*I8</f>
        <v>133410.24799865269</v>
      </c>
      <c r="J24" s="11">
        <f>('Model Inputs'!J29/J6)*J8</f>
        <v>137374.82933142767</v>
      </c>
      <c r="K24" s="11">
        <f>('Model Inputs'!K29/K6)*K8</f>
        <v>139676.39539119662</v>
      </c>
      <c r="L24" s="11">
        <f>('Model Inputs'!L29/L6)*L8</f>
        <v>143377.56938312715</v>
      </c>
      <c r="M24" s="11">
        <f>('Model Inputs'!M29/M6)*M8</f>
        <v>145834.59428700304</v>
      </c>
      <c r="N24" s="11">
        <f>('Model Inputs'!N29/N6)*N8</f>
        <v>181641.46437929187</v>
      </c>
      <c r="O24" s="11">
        <f>('Model Inputs'!O29/O6)*O8</f>
        <v>215094.6050835475</v>
      </c>
      <c r="P24" s="11">
        <f>('Model Inputs'!P29/P6)*P8</f>
        <v>238124.82795853785</v>
      </c>
      <c r="Q24" s="11">
        <f>('Model Inputs'!Q29/Q6)*Q8</f>
        <v>254314.04459168512</v>
      </c>
      <c r="R24" s="11">
        <f>('Model Inputs'!R29/R6)*R8</f>
        <v>270281.68271051592</v>
      </c>
      <c r="S24" s="11">
        <f>('Model Inputs'!S29/S6)*S8</f>
        <v>273976.97250818735</v>
      </c>
      <c r="T24" s="11">
        <f>('Model Inputs'!T29/T6)*T8</f>
        <v>275649.57261546329</v>
      </c>
      <c r="U24" s="11">
        <f>('Model Inputs'!U29/U6)*U8</f>
        <v>279181.44584979635</v>
      </c>
      <c r="V24" s="11">
        <f>('Model Inputs'!V29/V6)*V8</f>
        <v>288284.16064101411</v>
      </c>
      <c r="W24" s="11">
        <f>('Model Inputs'!W29/W6)*W8</f>
        <v>287500.64530895976</v>
      </c>
      <c r="X24" s="11">
        <f t="shared" si="9"/>
        <v>128608.95990071242</v>
      </c>
      <c r="Y24" s="11">
        <f t="shared" si="10"/>
        <v>139676.39539119662</v>
      </c>
      <c r="Z24" s="11">
        <f t="shared" si="11"/>
        <v>215094.6050835475</v>
      </c>
      <c r="AA24" s="11">
        <f t="shared" si="12"/>
        <v>273976.97250818735</v>
      </c>
      <c r="AB24" s="11">
        <f t="shared" si="13"/>
        <v>287500.64530895976</v>
      </c>
    </row>
    <row r="25" spans="1:28" x14ac:dyDescent="0.3">
      <c r="A25" s="7" t="s">
        <v>48</v>
      </c>
      <c r="B25" s="7" t="s">
        <v>32</v>
      </c>
      <c r="C25" s="11">
        <f>'Model Inputs'!C42</f>
        <v>0</v>
      </c>
      <c r="D25" s="11">
        <f>('Model Inputs'!D30/D6)*D9</f>
        <v>56376.286233354367</v>
      </c>
      <c r="E25" s="11">
        <f>('Model Inputs'!E30/E6)*E9</f>
        <v>24975.190601017395</v>
      </c>
      <c r="F25" s="11">
        <f>('Model Inputs'!F30/F6)*F9</f>
        <v>24529.162383384541</v>
      </c>
      <c r="G25" s="11">
        <f>('Model Inputs'!G30/G6)*G9</f>
        <v>29330.263856669881</v>
      </c>
      <c r="H25" s="11">
        <f>('Model Inputs'!H30/H6)*H9</f>
        <v>35039.783900756192</v>
      </c>
      <c r="I25" s="11">
        <f>('Model Inputs'!I30/I6)*I9</f>
        <v>38037.809648260911</v>
      </c>
      <c r="J25" s="11">
        <f>('Model Inputs'!J30/J6)*J9</f>
        <v>39830.581605884108</v>
      </c>
      <c r="K25" s="11">
        <f>('Model Inputs'!K30/K6)*K9</f>
        <v>43255.269664012914</v>
      </c>
      <c r="L25" s="11">
        <f>('Model Inputs'!L30/L6)*L9</f>
        <v>49206.940373289683</v>
      </c>
      <c r="M25" s="11">
        <f>('Model Inputs'!M30/M6)*M9</f>
        <v>52723.131472634806</v>
      </c>
      <c r="N25" s="11">
        <f>('Model Inputs'!N30/N6)*N9</f>
        <v>64714.322621568717</v>
      </c>
      <c r="O25" s="11">
        <f>('Model Inputs'!O30/O6)*O9</f>
        <v>84801.595950428615</v>
      </c>
      <c r="P25" s="11">
        <f>('Model Inputs'!P30/P6)*P9</f>
        <v>102962.19254990367</v>
      </c>
      <c r="Q25" s="11">
        <f>('Model Inputs'!Q30/Q6)*Q9</f>
        <v>115288.5603993284</v>
      </c>
      <c r="R25" s="11">
        <f>('Model Inputs'!R30/R6)*R9</f>
        <v>118578.77898872778</v>
      </c>
      <c r="S25" s="11">
        <f>('Model Inputs'!S30/S6)*S9</f>
        <v>130403.1281534377</v>
      </c>
      <c r="T25" s="11">
        <f>('Model Inputs'!T30/T6)*T9</f>
        <v>140784.16019501895</v>
      </c>
      <c r="U25" s="11">
        <f>('Model Inputs'!U30/U6)*U9</f>
        <v>147788.91238407599</v>
      </c>
      <c r="V25" s="11">
        <f>('Model Inputs'!V30/V6)*V9</f>
        <v>148440.17019916492</v>
      </c>
      <c r="W25" s="11">
        <f>('Model Inputs'!W30/W6)*W9</f>
        <v>158065.46259737125</v>
      </c>
      <c r="X25" s="11">
        <f t="shared" si="9"/>
        <v>29330.263856669881</v>
      </c>
      <c r="Y25" s="11">
        <f t="shared" si="10"/>
        <v>43255.269664012914</v>
      </c>
      <c r="Z25" s="11">
        <f t="shared" si="11"/>
        <v>84801.595950428615</v>
      </c>
      <c r="AA25" s="11">
        <f t="shared" si="12"/>
        <v>130403.1281534377</v>
      </c>
      <c r="AB25" s="11">
        <f t="shared" si="13"/>
        <v>158065.46259737125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Inputs'!D32</f>
        <v>5497.5512147041227</v>
      </c>
      <c r="E26" s="11">
        <f>E8*'Model Inputs'!E32</f>
        <v>7836.9371268115219</v>
      </c>
      <c r="F26" s="11">
        <f>F8*'Model Inputs'!F32</f>
        <v>7969.3810217965847</v>
      </c>
      <c r="G26" s="11">
        <f>G8*'Model Inputs'!G32</f>
        <v>8085.4986459299516</v>
      </c>
      <c r="H26" s="11">
        <f>H8*'Model Inputs'!H32</f>
        <v>8420.8829673707951</v>
      </c>
      <c r="I26" s="11">
        <f>I8*'Model Inputs'!I32</f>
        <v>8479.5188363606139</v>
      </c>
      <c r="J26" s="11">
        <f>J8*'Model Inputs'!J32</f>
        <v>8636.5988606207811</v>
      </c>
      <c r="K26" s="11">
        <f>K8*'Model Inputs'!K32</f>
        <v>8906.7915893050485</v>
      </c>
      <c r="L26" s="11">
        <f>L8*'Model Inputs'!L32</f>
        <v>9678.7960159667164</v>
      </c>
      <c r="M26" s="11">
        <f>M8*'Model Inputs'!M32</f>
        <v>10190.914074747592</v>
      </c>
      <c r="N26" s="11">
        <f>N8*'Model Inputs'!N32</f>
        <v>11294.101706355137</v>
      </c>
      <c r="O26" s="11">
        <f>O8*'Model Inputs'!O32</f>
        <v>13522.752532113645</v>
      </c>
      <c r="P26" s="11">
        <f>P8*'Model Inputs'!P32</f>
        <v>15135.14886877314</v>
      </c>
      <c r="Q26" s="11">
        <f>Q8*'Model Inputs'!Q32</f>
        <v>16164.131045525268</v>
      </c>
      <c r="R26" s="11">
        <f>R8*'Model Inputs'!R32</f>
        <v>16805.572584039288</v>
      </c>
      <c r="S26" s="11">
        <f>S8*'Model Inputs'!S32</f>
        <v>17587.160019657404</v>
      </c>
      <c r="T26" s="11">
        <f>T8*'Model Inputs'!T32</f>
        <v>18874.403654798421</v>
      </c>
      <c r="U26" s="11">
        <f>U8*'Model Inputs'!U32</f>
        <v>19713.190635603438</v>
      </c>
      <c r="V26" s="11">
        <f>V8*'Model Inputs'!V32</f>
        <v>19730.168679945324</v>
      </c>
      <c r="W26" s="11">
        <f>W8*'Model Inputs'!W32</f>
        <v>21007.706951902859</v>
      </c>
      <c r="X26" s="11">
        <f t="shared" si="9"/>
        <v>8085.4986459299516</v>
      </c>
      <c r="Y26" s="11">
        <f t="shared" si="10"/>
        <v>8906.7915893050485</v>
      </c>
      <c r="Z26" s="11">
        <f t="shared" si="11"/>
        <v>13522.752532113645</v>
      </c>
      <c r="AA26" s="11">
        <f t="shared" si="12"/>
        <v>17587.160019657404</v>
      </c>
      <c r="AB26" s="11">
        <f t="shared" si="13"/>
        <v>21007.706951902859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92000</v>
      </c>
      <c r="D27" s="19">
        <f t="shared" si="14"/>
        <v>288269.52075371804</v>
      </c>
      <c r="E27" s="19">
        <f t="shared" si="14"/>
        <v>293495.94737274596</v>
      </c>
      <c r="F27" s="19">
        <f t="shared" si="14"/>
        <v>299291.67149647488</v>
      </c>
      <c r="G27" s="19">
        <f t="shared" si="14"/>
        <v>305734.98350948619</v>
      </c>
      <c r="H27" s="19">
        <f t="shared" si="14"/>
        <v>320806.16715343512</v>
      </c>
      <c r="I27" s="19">
        <f t="shared" si="14"/>
        <v>328536.00952587271</v>
      </c>
      <c r="J27" s="19">
        <f t="shared" si="14"/>
        <v>337842.33053796203</v>
      </c>
      <c r="K27" s="19">
        <f t="shared" si="14"/>
        <v>357421.48378588643</v>
      </c>
      <c r="L27" s="19">
        <f t="shared" si="14"/>
        <v>404623.59394902247</v>
      </c>
      <c r="M27" s="19">
        <f t="shared" si="14"/>
        <v>414487.88967828674</v>
      </c>
      <c r="N27" s="19">
        <f t="shared" si="14"/>
        <v>506441.45991569746</v>
      </c>
      <c r="O27" s="19">
        <f t="shared" si="14"/>
        <v>608704.14171235741</v>
      </c>
      <c r="P27" s="19">
        <f t="shared" si="14"/>
        <v>689605.31972323358</v>
      </c>
      <c r="Q27" s="19">
        <f t="shared" si="14"/>
        <v>741835.39214293414</v>
      </c>
      <c r="R27" s="19">
        <f t="shared" si="14"/>
        <v>775863.43049160019</v>
      </c>
      <c r="S27" s="19">
        <f t="shared" si="14"/>
        <v>801397.50920510862</v>
      </c>
      <c r="T27" s="19">
        <f t="shared" si="14"/>
        <v>821250.12221909186</v>
      </c>
      <c r="U27" s="19">
        <f t="shared" si="14"/>
        <v>837570.64808822912</v>
      </c>
      <c r="V27" s="19">
        <f t="shared" si="14"/>
        <v>851311.22779733525</v>
      </c>
      <c r="W27" s="19">
        <f t="shared" si="14"/>
        <v>864732.08951687266</v>
      </c>
      <c r="X27" s="19">
        <f t="shared" si="9"/>
        <v>305734.98350948619</v>
      </c>
      <c r="Y27" s="19">
        <f t="shared" si="10"/>
        <v>357421.48378588643</v>
      </c>
      <c r="Z27" s="19">
        <f t="shared" si="11"/>
        <v>608704.14171235741</v>
      </c>
      <c r="AA27" s="19">
        <f t="shared" si="12"/>
        <v>801397.50920510862</v>
      </c>
      <c r="AB27" s="19">
        <f t="shared" si="13"/>
        <v>864732.08951687266</v>
      </c>
    </row>
    <row r="28" spans="1:28" x14ac:dyDescent="0.3">
      <c r="A28" s="7" t="s">
        <v>51</v>
      </c>
      <c r="B28" s="7" t="s">
        <v>32</v>
      </c>
      <c r="C28" s="11">
        <f>'Model Inputs'!C57</f>
        <v>40000</v>
      </c>
      <c r="D28" s="11">
        <f>'Model Inputs'!D57</f>
        <v>40190</v>
      </c>
      <c r="E28" s="11">
        <f>'Model Inputs'!E57</f>
        <v>40370.895189999996</v>
      </c>
      <c r="F28" s="11">
        <f>'Model Inputs'!F57</f>
        <v>40542.592607293067</v>
      </c>
      <c r="G28" s="11">
        <f>'Model Inputs'!G57</f>
        <v>40705.046775834024</v>
      </c>
      <c r="H28" s="11">
        <f>'Model Inputs'!H57</f>
        <v>40858.138456878769</v>
      </c>
      <c r="I28" s="11">
        <f>'Model Inputs'!I57</f>
        <v>41001.754813270309</v>
      </c>
      <c r="J28" s="11">
        <f>'Model Inputs'!J57</f>
        <v>41135.830551443352</v>
      </c>
      <c r="K28" s="11">
        <f>'Model Inputs'!K57</f>
        <v>41260.307574934799</v>
      </c>
      <c r="L28" s="11">
        <f>'Model Inputs'!L57</f>
        <v>41375.093750733591</v>
      </c>
      <c r="M28" s="11">
        <f>'Model Inputs'!M57</f>
        <v>41480.103738919286</v>
      </c>
      <c r="N28" s="11">
        <f>'Model Inputs'!N57</f>
        <v>41575.259097201772</v>
      </c>
      <c r="O28" s="11">
        <f>'Model Inputs'!O57</f>
        <v>41660.529953124125</v>
      </c>
      <c r="P28" s="11">
        <f>'Model Inputs'!P57</f>
        <v>41735.810530983799</v>
      </c>
      <c r="Q28" s="11">
        <f>'Model Inputs'!Q57</f>
        <v>41801.001867378276</v>
      </c>
      <c r="R28" s="11">
        <f>'Model Inputs'!R57</f>
        <v>41856.09558750259</v>
      </c>
      <c r="S28" s="11">
        <f>'Model Inputs'!S57</f>
        <v>41901.007178130465</v>
      </c>
      <c r="T28" s="11">
        <f>'Model Inputs'!T57</f>
        <v>41935.659311176132</v>
      </c>
      <c r="U28" s="11">
        <f>'Model Inputs'!U57</f>
        <v>41959.981994020731</v>
      </c>
      <c r="V28" s="11">
        <f>'Model Inputs'!V57</f>
        <v>41973.954668054641</v>
      </c>
      <c r="W28" s="11">
        <f>'Model Inputs'!W57</f>
        <v>41977.48047990648</v>
      </c>
      <c r="X28" s="11">
        <f t="shared" si="9"/>
        <v>40705.046775834024</v>
      </c>
      <c r="Y28" s="11">
        <f t="shared" si="10"/>
        <v>41260.307574934799</v>
      </c>
      <c r="Z28" s="11">
        <f t="shared" si="11"/>
        <v>41660.529953124125</v>
      </c>
      <c r="AA28" s="11">
        <f t="shared" si="12"/>
        <v>41901.007178130465</v>
      </c>
      <c r="AB28" s="11">
        <f t="shared" si="13"/>
        <v>41977.48047990648</v>
      </c>
    </row>
    <row r="29" spans="1:28" x14ac:dyDescent="0.3">
      <c r="A29" s="7" t="s">
        <v>52</v>
      </c>
      <c r="B29" s="7" t="s">
        <v>32</v>
      </c>
      <c r="C29" s="11">
        <f>'Model Inputs'!C54</f>
        <v>0</v>
      </c>
      <c r="D29" s="11">
        <f>'Model Inputs'!D54</f>
        <v>0</v>
      </c>
      <c r="E29" s="11">
        <f>'Model Inputs'!E54</f>
        <v>0</v>
      </c>
      <c r="F29" s="11">
        <f>'Model Inputs'!F54</f>
        <v>0</v>
      </c>
      <c r="G29" s="11">
        <f>'Model Inputs'!G54</f>
        <v>0</v>
      </c>
      <c r="H29" s="11">
        <f>'Model Inputs'!H54</f>
        <v>0</v>
      </c>
      <c r="I29" s="11">
        <f>'Model Inputs'!I54</f>
        <v>0</v>
      </c>
      <c r="J29" s="11">
        <f>'Model Inputs'!J54</f>
        <v>0</v>
      </c>
      <c r="K29" s="11">
        <f>'Model Inputs'!K54</f>
        <v>0</v>
      </c>
      <c r="L29" s="11">
        <f>'Model Inputs'!L54</f>
        <v>0</v>
      </c>
      <c r="M29" s="11">
        <f>'Model Inputs'!M54</f>
        <v>0</v>
      </c>
      <c r="N29" s="11">
        <f>'Model Inputs'!N54</f>
        <v>0</v>
      </c>
      <c r="O29" s="11">
        <f>'Model Inputs'!O54</f>
        <v>0</v>
      </c>
      <c r="P29" s="11">
        <f>'Model Inputs'!P54</f>
        <v>0</v>
      </c>
      <c r="Q29" s="11">
        <f>'Model Inputs'!Q54</f>
        <v>0</v>
      </c>
      <c r="R29" s="11">
        <f>'Model Inputs'!R54</f>
        <v>0</v>
      </c>
      <c r="S29" s="11">
        <f>'Model Inputs'!S54</f>
        <v>0</v>
      </c>
      <c r="T29" s="11">
        <f>'Model Inputs'!T54</f>
        <v>0</v>
      </c>
      <c r="U29" s="11">
        <f>'Model Inputs'!U54</f>
        <v>0</v>
      </c>
      <c r="V29" s="11">
        <f>'Model Inputs'!V54</f>
        <v>0</v>
      </c>
      <c r="W29" s="11">
        <f>'Model Inputs'!W54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Inputs'!C58</f>
        <v>0</v>
      </c>
      <c r="D30" s="11">
        <f>'Model Inputs'!D58</f>
        <v>-10</v>
      </c>
      <c r="E30" s="11">
        <f>'Model Inputs'!E58</f>
        <v>-30.05481</v>
      </c>
      <c r="F30" s="11">
        <f>'Model Inputs'!F58</f>
        <v>-60.211868706929998</v>
      </c>
      <c r="G30" s="11">
        <f>'Model Inputs'!G58</f>
        <v>-100.47066316597201</v>
      </c>
      <c r="H30" s="11">
        <f>'Model Inputs'!H58</f>
        <v>-150.90421612123038</v>
      </c>
      <c r="I30" s="11">
        <f>'Model Inputs'!I58</f>
        <v>-211.57855172969533</v>
      </c>
      <c r="J30" s="11">
        <f>'Model Inputs'!J58</f>
        <v>-282.51158755665296</v>
      </c>
      <c r="K30" s="11">
        <f>'Model Inputs'!K58</f>
        <v>-363.7137170652021</v>
      </c>
      <c r="L30" s="11">
        <f>'Model Inputs'!L58</f>
        <v>-455.2290792664075</v>
      </c>
      <c r="M30" s="11">
        <f>'Model Inputs'!M58</f>
        <v>-557.09456008071356</v>
      </c>
      <c r="N30" s="11">
        <f>'Model Inputs'!N58</f>
        <v>-669.33972079822911</v>
      </c>
      <c r="O30" s="11">
        <f>'Model Inputs'!O58</f>
        <v>-791.94515987587715</v>
      </c>
      <c r="P30" s="11">
        <f>'Model Inputs'!P58</f>
        <v>-924.9672320162025</v>
      </c>
      <c r="Q30" s="11">
        <f>'Model Inputs'!Q58</f>
        <v>-1068.4549486217247</v>
      </c>
      <c r="R30" s="11">
        <f>'Model Inputs'!R58</f>
        <v>-1222.3662374974115</v>
      </c>
      <c r="S30" s="11">
        <f>'Model Inputs'!S58</f>
        <v>-1386.735124869534</v>
      </c>
      <c r="T30" s="11">
        <f>'Model Inputs'!T58</f>
        <v>-1561.5880278238724</v>
      </c>
      <c r="U30" s="11">
        <f>'Model Inputs'!U58</f>
        <v>-1746.943641979271</v>
      </c>
      <c r="V30" s="11">
        <f>'Model Inputs'!V58</f>
        <v>-1942.7708779453658</v>
      </c>
      <c r="W30" s="11">
        <f>'Model Inputs'!W58</f>
        <v>-2149.1148390935223</v>
      </c>
      <c r="X30" s="11">
        <f t="shared" si="9"/>
        <v>-100.47066316597201</v>
      </c>
      <c r="Y30" s="11">
        <f t="shared" si="10"/>
        <v>-363.7137170652021</v>
      </c>
      <c r="Z30" s="11">
        <f t="shared" si="11"/>
        <v>-791.94515987587715</v>
      </c>
      <c r="AA30" s="11">
        <f t="shared" si="12"/>
        <v>-1386.735124869534</v>
      </c>
      <c r="AB30" s="11">
        <f t="shared" si="13"/>
        <v>-2149.1148390935223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132000</v>
      </c>
      <c r="D31" s="19">
        <f t="shared" si="15"/>
        <v>328459.52075371804</v>
      </c>
      <c r="E31" s="19">
        <f t="shared" si="15"/>
        <v>333866.84256274597</v>
      </c>
      <c r="F31" s="19">
        <f t="shared" si="15"/>
        <v>339834.26410376793</v>
      </c>
      <c r="G31" s="19">
        <f t="shared" si="15"/>
        <v>346440.03028532024</v>
      </c>
      <c r="H31" s="19">
        <f t="shared" si="15"/>
        <v>361664.3056103139</v>
      </c>
      <c r="I31" s="19">
        <f t="shared" si="15"/>
        <v>369537.764339143</v>
      </c>
      <c r="J31" s="19">
        <f t="shared" si="15"/>
        <v>378978.16108940536</v>
      </c>
      <c r="K31" s="19">
        <f t="shared" si="15"/>
        <v>398681.79136082123</v>
      </c>
      <c r="L31" s="19">
        <f t="shared" si="15"/>
        <v>445998.68769975606</v>
      </c>
      <c r="M31" s="19">
        <f t="shared" si="15"/>
        <v>455967.99341720605</v>
      </c>
      <c r="N31" s="19">
        <f t="shared" si="15"/>
        <v>548016.71901289921</v>
      </c>
      <c r="O31" s="19">
        <f t="shared" si="15"/>
        <v>650364.67166548152</v>
      </c>
      <c r="P31" s="19">
        <f t="shared" si="15"/>
        <v>731341.13025421742</v>
      </c>
      <c r="Q31" s="19">
        <f t="shared" si="15"/>
        <v>783636.39401031239</v>
      </c>
      <c r="R31" s="19">
        <f t="shared" si="15"/>
        <v>817719.52607910277</v>
      </c>
      <c r="S31" s="19">
        <f t="shared" si="15"/>
        <v>843298.51638323907</v>
      </c>
      <c r="T31" s="19">
        <f t="shared" si="15"/>
        <v>863185.78153026802</v>
      </c>
      <c r="U31" s="19">
        <f t="shared" si="15"/>
        <v>879530.63008224987</v>
      </c>
      <c r="V31" s="19">
        <f t="shared" si="15"/>
        <v>893285.18246538984</v>
      </c>
      <c r="W31" s="19">
        <f t="shared" si="15"/>
        <v>906709.56999677909</v>
      </c>
      <c r="X31" s="19">
        <f t="shared" si="9"/>
        <v>346440.03028532024</v>
      </c>
      <c r="Y31" s="19">
        <f t="shared" si="10"/>
        <v>398681.79136082123</v>
      </c>
      <c r="Z31" s="19">
        <f t="shared" si="11"/>
        <v>650364.67166548152</v>
      </c>
      <c r="AA31" s="19">
        <f t="shared" si="12"/>
        <v>843298.51638323907</v>
      </c>
      <c r="AB31" s="19">
        <f t="shared" si="13"/>
        <v>906709.56999677909</v>
      </c>
    </row>
    <row r="32" spans="1:28" x14ac:dyDescent="0.3">
      <c r="A32" s="7" t="s">
        <v>55</v>
      </c>
      <c r="B32" s="7" t="s">
        <v>32</v>
      </c>
      <c r="C32" s="11">
        <f>'Model Inputs'!C43</f>
        <v>0</v>
      </c>
      <c r="D32" s="11">
        <f>('Model Inputs'!D31/D6)*SUM(D11:D15)</f>
        <v>97059.395113987106</v>
      </c>
      <c r="E32" s="11">
        <f>('Model Inputs'!E31/E6)*SUM(E11:E15)</f>
        <v>106370.89532415691</v>
      </c>
      <c r="F32" s="11">
        <f>('Model Inputs'!F31/F6)*SUM(F11:F15)</f>
        <v>104616.43487580853</v>
      </c>
      <c r="G32" s="11">
        <f>('Model Inputs'!G31/G6)*SUM(G11:G15)</f>
        <v>103566.08316624067</v>
      </c>
      <c r="H32" s="11">
        <f>('Model Inputs'!H31/H6)*SUM(H11:H15)</f>
        <v>109379.03287654648</v>
      </c>
      <c r="I32" s="11">
        <f>('Model Inputs'!I31/I6)*SUM(I11:I15)</f>
        <v>109481.26956180594</v>
      </c>
      <c r="J32" s="11">
        <f>('Model Inputs'!J31/J6)*SUM(J11:J15)</f>
        <v>109502.43791482091</v>
      </c>
      <c r="K32" s="11">
        <f>('Model Inputs'!K31/K6)*SUM(K11:K15)</f>
        <v>115067.80849480336</v>
      </c>
      <c r="L32" s="11">
        <f>('Model Inputs'!L31/L6)*SUM(L11:L15)</f>
        <v>138856.2312466226</v>
      </c>
      <c r="M32" s="11">
        <f>('Model Inputs'!M31/M6)*SUM(M11:M15)</f>
        <v>154462.59773659665</v>
      </c>
      <c r="N32" s="11">
        <f>('Model Inputs'!N31/N6)*SUM(N11:N15)</f>
        <v>218618.20108609402</v>
      </c>
      <c r="O32" s="11">
        <f>('Model Inputs'!O31/O6)*SUM(O11:O15)</f>
        <v>270295.02588544722</v>
      </c>
      <c r="P32" s="11">
        <f>('Model Inputs'!P31/P6)*SUM(P11:P15)</f>
        <v>305424.91771131748</v>
      </c>
      <c r="Q32" s="11">
        <f>('Model Inputs'!Q31/Q6)*SUM(Q11:Q15)</f>
        <v>333169.35384006664</v>
      </c>
      <c r="R32" s="11">
        <f>('Model Inputs'!R31/R6)*SUM(R11:R15)</f>
        <v>351291.18278382486</v>
      </c>
      <c r="S32" s="11">
        <f>('Model Inputs'!S31/S6)*SUM(S11:S15)</f>
        <v>354355.89833246131</v>
      </c>
      <c r="T32" s="11">
        <f>('Model Inputs'!T31/T6)*SUM(T11:T15)</f>
        <v>357217.29151418788</v>
      </c>
      <c r="U32" s="11">
        <f>('Model Inputs'!U31/U6)*SUM(U11:U15)</f>
        <v>360886.74286805873</v>
      </c>
      <c r="V32" s="11">
        <f>('Model Inputs'!V31/V6)*SUM(V11:V15)</f>
        <v>371918.04418303526</v>
      </c>
      <c r="W32" s="11">
        <f>('Model Inputs'!W31/W6)*SUM(W11:W15)</f>
        <v>370308.35709006444</v>
      </c>
      <c r="X32" s="11">
        <f t="shared" si="9"/>
        <v>103566.08316624067</v>
      </c>
      <c r="Y32" s="11">
        <f t="shared" si="10"/>
        <v>115067.80849480336</v>
      </c>
      <c r="Z32" s="11">
        <f t="shared" si="11"/>
        <v>270295.02588544722</v>
      </c>
      <c r="AA32" s="11">
        <f t="shared" si="12"/>
        <v>354355.89833246131</v>
      </c>
      <c r="AB32" s="11">
        <f t="shared" si="13"/>
        <v>370308.35709006444</v>
      </c>
    </row>
    <row r="33" spans="1:28" x14ac:dyDescent="0.3">
      <c r="A33" s="7" t="s">
        <v>56</v>
      </c>
      <c r="B33" s="7" t="s">
        <v>32</v>
      </c>
      <c r="C33" s="11">
        <f>'Model Inputs'!C44</f>
        <v>0</v>
      </c>
      <c r="D33" s="11">
        <f>SUM('Debt Schedule'!E10:H10)</f>
        <v>0</v>
      </c>
      <c r="E33" s="11">
        <f>SUM('Debt Schedule'!F10:I10)</f>
        <v>0</v>
      </c>
      <c r="F33" s="11">
        <f>SUM('Debt Schedule'!G10:J10)</f>
        <v>0</v>
      </c>
      <c r="G33" s="11">
        <f>SUM('Debt Schedule'!H10:K10)</f>
        <v>0</v>
      </c>
      <c r="H33" s="11">
        <f>SUM('Debt Schedule'!I10:L10)</f>
        <v>0</v>
      </c>
      <c r="I33" s="11">
        <f>SUM('Debt Schedule'!J10:M10)</f>
        <v>0</v>
      </c>
      <c r="J33" s="11">
        <f>SUM('Debt Schedule'!K10:N10)</f>
        <v>0</v>
      </c>
      <c r="K33" s="11">
        <f>SUM('Debt Schedule'!L10:O10)</f>
        <v>0</v>
      </c>
      <c r="L33" s="11">
        <f>SUM('Debt Schedule'!M10:P10)</f>
        <v>0</v>
      </c>
      <c r="M33" s="11">
        <f>SUM('Debt Schedule'!N10:Q10)</f>
        <v>0</v>
      </c>
      <c r="N33" s="11">
        <f>SUM('Debt Schedule'!O10:R10)</f>
        <v>0</v>
      </c>
      <c r="O33" s="11">
        <f>SUM('Debt Schedule'!P10:S10)</f>
        <v>0</v>
      </c>
      <c r="P33" s="11">
        <f>SUM('Debt Schedule'!Q10:T10)</f>
        <v>0</v>
      </c>
      <c r="Q33" s="11">
        <f>SUM('Debt Schedule'!R10:U10)</f>
        <v>0</v>
      </c>
      <c r="R33" s="11">
        <f>SUM('Debt Schedule'!S10:V10)</f>
        <v>0</v>
      </c>
      <c r="S33" s="11">
        <f>SUM('Debt Schedule'!T10:W10)</f>
        <v>0</v>
      </c>
      <c r="T33" s="11">
        <f>SUM('Debt Schedule'!U10:W10)</f>
        <v>0</v>
      </c>
      <c r="U33" s="11">
        <f>SUM('Debt Schedule'!V10:W10)</f>
        <v>0</v>
      </c>
      <c r="V33" s="11">
        <f>SUM('Debt Schedule'!W10:W10)</f>
        <v>0</v>
      </c>
      <c r="W33" s="11">
        <f>0</f>
        <v>0</v>
      </c>
      <c r="X33" s="11">
        <f t="shared" si="9"/>
        <v>0</v>
      </c>
      <c r="Y33" s="11">
        <f t="shared" si="10"/>
        <v>0</v>
      </c>
      <c r="Z33" s="11">
        <f t="shared" si="11"/>
        <v>0</v>
      </c>
      <c r="AA33" s="11">
        <f t="shared" si="12"/>
        <v>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Inputs'!D33*D8</f>
        <v>41231.634110280917</v>
      </c>
      <c r="E34" s="11">
        <f>'Model Inputs'!E33*E8</f>
        <v>29953.849894857667</v>
      </c>
      <c r="F34" s="11">
        <f>'Model Inputs'!F33*F8</f>
        <v>25974.278885855536</v>
      </c>
      <c r="G34" s="11">
        <f>'Model Inputs'!G33*G8</f>
        <v>25788.41891870891</v>
      </c>
      <c r="H34" s="11">
        <f>'Model Inputs'!H33*H8</f>
        <v>28299.874227922024</v>
      </c>
      <c r="I34" s="11">
        <f>'Model Inputs'!I33*I8</f>
        <v>28402.443651254514</v>
      </c>
      <c r="J34" s="11">
        <f>'Model Inputs'!J33*J8</f>
        <v>28079.868452356153</v>
      </c>
      <c r="K34" s="11">
        <f>'Model Inputs'!K33*K8</f>
        <v>30567.258841501924</v>
      </c>
      <c r="L34" s="11">
        <f>'Model Inputs'!L33*L8</f>
        <v>40896.007906393337</v>
      </c>
      <c r="M34" s="11">
        <f>'Model Inputs'!M33*M8</f>
        <v>47901.230867172657</v>
      </c>
      <c r="N34" s="11">
        <f>'Model Inputs'!N33*N8</f>
        <v>75282.025700537633</v>
      </c>
      <c r="O34" s="11">
        <f>'Model Inputs'!O33*O8</f>
        <v>100968.35482182926</v>
      </c>
      <c r="P34" s="11">
        <f>'Model Inputs'!P33*P8</f>
        <v>118846.97763420684</v>
      </c>
      <c r="Q34" s="11">
        <f>'Model Inputs'!Q33*Q8</f>
        <v>132642.62263559815</v>
      </c>
      <c r="R34" s="11">
        <f>'Model Inputs'!R33*R8</f>
        <v>137906.28250672162</v>
      </c>
      <c r="S34" s="11">
        <f>'Model Inputs'!S33*S8</f>
        <v>141344.9780196794</v>
      </c>
      <c r="T34" s="11">
        <f>'Model Inputs'!T33*T8</f>
        <v>143770.5978794859</v>
      </c>
      <c r="U34" s="11">
        <f>'Model Inputs'!U33*U8</f>
        <v>145612.71764668389</v>
      </c>
      <c r="V34" s="11">
        <f>'Model Inputs'!V33*V8</f>
        <v>147091.71742930697</v>
      </c>
      <c r="W34" s="11">
        <f>'Model Inputs'!W33*W8</f>
        <v>148321.85354783494</v>
      </c>
      <c r="X34" s="11">
        <f t="shared" si="9"/>
        <v>25788.41891870891</v>
      </c>
      <c r="Y34" s="11">
        <f t="shared" si="10"/>
        <v>30567.258841501924</v>
      </c>
      <c r="Z34" s="11">
        <f t="shared" si="11"/>
        <v>100968.35482182926</v>
      </c>
      <c r="AA34" s="11">
        <f t="shared" si="12"/>
        <v>141344.9780196794</v>
      </c>
      <c r="AB34" s="11">
        <f t="shared" si="13"/>
        <v>148321.85354783494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0</v>
      </c>
      <c r="D35" s="19">
        <f t="shared" si="16"/>
        <v>138291.02922426802</v>
      </c>
      <c r="E35" s="19">
        <f t="shared" si="16"/>
        <v>136324.74521901459</v>
      </c>
      <c r="F35" s="19">
        <f t="shared" si="16"/>
        <v>130590.71376166405</v>
      </c>
      <c r="G35" s="19">
        <f t="shared" si="16"/>
        <v>129354.50208494958</v>
      </c>
      <c r="H35" s="19">
        <f t="shared" si="16"/>
        <v>137678.9071044685</v>
      </c>
      <c r="I35" s="19">
        <f t="shared" si="16"/>
        <v>137883.71321306046</v>
      </c>
      <c r="J35" s="19">
        <f t="shared" si="16"/>
        <v>137582.30636717705</v>
      </c>
      <c r="K35" s="19">
        <f t="shared" si="16"/>
        <v>145635.06733630528</v>
      </c>
      <c r="L35" s="19">
        <f t="shared" si="16"/>
        <v>179752.23915301595</v>
      </c>
      <c r="M35" s="19">
        <f t="shared" si="16"/>
        <v>202363.8286037693</v>
      </c>
      <c r="N35" s="19">
        <f t="shared" si="16"/>
        <v>293900.22678663163</v>
      </c>
      <c r="O35" s="19">
        <f t="shared" si="16"/>
        <v>371263.38070727646</v>
      </c>
      <c r="P35" s="19">
        <f t="shared" si="16"/>
        <v>424271.8953455243</v>
      </c>
      <c r="Q35" s="19">
        <f t="shared" si="16"/>
        <v>465811.97647566476</v>
      </c>
      <c r="R35" s="19">
        <f t="shared" si="16"/>
        <v>489197.46529054648</v>
      </c>
      <c r="S35" s="19">
        <f t="shared" si="16"/>
        <v>495700.87635214068</v>
      </c>
      <c r="T35" s="19">
        <f t="shared" si="16"/>
        <v>500987.88939367374</v>
      </c>
      <c r="U35" s="19">
        <f t="shared" si="16"/>
        <v>506499.46051474265</v>
      </c>
      <c r="V35" s="19">
        <f t="shared" si="16"/>
        <v>519009.7616123422</v>
      </c>
      <c r="W35" s="19">
        <f t="shared" si="16"/>
        <v>518630.21063789935</v>
      </c>
      <c r="X35" s="19">
        <f t="shared" si="9"/>
        <v>129354.50208494958</v>
      </c>
      <c r="Y35" s="19">
        <f t="shared" si="10"/>
        <v>145635.06733630528</v>
      </c>
      <c r="Z35" s="19">
        <f t="shared" si="11"/>
        <v>371263.38070727646</v>
      </c>
      <c r="AA35" s="19">
        <f t="shared" si="12"/>
        <v>495700.87635214068</v>
      </c>
      <c r="AB35" s="19">
        <f t="shared" si="13"/>
        <v>518630.21063789935</v>
      </c>
    </row>
    <row r="36" spans="1:28" x14ac:dyDescent="0.3">
      <c r="A36" s="7" t="s">
        <v>59</v>
      </c>
      <c r="B36" s="7" t="s">
        <v>32</v>
      </c>
      <c r="C36" s="11">
        <f>MAX(0,'Model Inputs'!C45-C33)</f>
        <v>0</v>
      </c>
      <c r="D36" s="11">
        <f>MAX(0,'Model Inputs'!D48-D33)</f>
        <v>0</v>
      </c>
      <c r="E36" s="11">
        <f>MAX(0,'Model Inputs'!E48-E33)</f>
        <v>0</v>
      </c>
      <c r="F36" s="11">
        <f>MAX(0,'Model Inputs'!F48-F33)</f>
        <v>0</v>
      </c>
      <c r="G36" s="11">
        <f>MAX(0,'Model Inputs'!G48-G33)</f>
        <v>0</v>
      </c>
      <c r="H36" s="11">
        <f>MAX(0,'Model Inputs'!H48-H33)</f>
        <v>0</v>
      </c>
      <c r="I36" s="11">
        <f>MAX(0,'Model Inputs'!I48-I33)</f>
        <v>0</v>
      </c>
      <c r="J36" s="11">
        <f>MAX(0,'Model Inputs'!J48-J33)</f>
        <v>0</v>
      </c>
      <c r="K36" s="11">
        <f>MAX(0,'Model Inputs'!K48-K33)</f>
        <v>0</v>
      </c>
      <c r="L36" s="11">
        <f>MAX(0,'Model Inputs'!L48-L33)</f>
        <v>0</v>
      </c>
      <c r="M36" s="11">
        <f>MAX(0,'Model Inputs'!M48-M33)</f>
        <v>0</v>
      </c>
      <c r="N36" s="11">
        <f>MAX(0,'Model Inputs'!N48-N33)</f>
        <v>0</v>
      </c>
      <c r="O36" s="11">
        <f>MAX(0,'Model Inputs'!O48-O33)</f>
        <v>0</v>
      </c>
      <c r="P36" s="11">
        <f>MAX(0,'Model Inputs'!P48-P33)</f>
        <v>0</v>
      </c>
      <c r="Q36" s="11">
        <f>MAX(0,'Model Inputs'!Q48-Q33)</f>
        <v>0</v>
      </c>
      <c r="R36" s="11">
        <f>MAX(0,'Model Inputs'!R48-R33)</f>
        <v>0</v>
      </c>
      <c r="S36" s="11">
        <f>MAX(0,'Model Inputs'!S48-S33)</f>
        <v>0</v>
      </c>
      <c r="T36" s="11">
        <f>MAX(0,'Model Inputs'!T48-T33)</f>
        <v>0</v>
      </c>
      <c r="U36" s="11">
        <f>MAX(0,'Model Inputs'!U48-U33)</f>
        <v>0</v>
      </c>
      <c r="V36" s="11">
        <f>MAX(0,'Model Inputs'!V48-V33)</f>
        <v>0</v>
      </c>
      <c r="W36" s="11">
        <f>MAX(0,'Model Inputs'!W48-W33)</f>
        <v>0</v>
      </c>
      <c r="X36" s="11">
        <f t="shared" si="9"/>
        <v>0</v>
      </c>
      <c r="Y36" s="11">
        <f t="shared" si="10"/>
        <v>0</v>
      </c>
      <c r="Z36" s="11">
        <f t="shared" si="11"/>
        <v>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Inputs'!C53</f>
        <v>0</v>
      </c>
      <c r="D37" s="11">
        <f>'Model Inputs'!D53</f>
        <v>0</v>
      </c>
      <c r="E37" s="11">
        <f>'Model Inputs'!E53</f>
        <v>0</v>
      </c>
      <c r="F37" s="11">
        <f>'Model Inputs'!F53</f>
        <v>0</v>
      </c>
      <c r="G37" s="11">
        <f>'Model Inputs'!G53</f>
        <v>0</v>
      </c>
      <c r="H37" s="11">
        <f>'Model Inputs'!H53</f>
        <v>0</v>
      </c>
      <c r="I37" s="11">
        <f>'Model Inputs'!I53</f>
        <v>0</v>
      </c>
      <c r="J37" s="11">
        <f>'Model Inputs'!J53</f>
        <v>0</v>
      </c>
      <c r="K37" s="11">
        <f>'Model Inputs'!K53</f>
        <v>0</v>
      </c>
      <c r="L37" s="11">
        <f>'Model Inputs'!L53</f>
        <v>0</v>
      </c>
      <c r="M37" s="11">
        <f>'Model Inputs'!M53</f>
        <v>0</v>
      </c>
      <c r="N37" s="11">
        <f>'Model Inputs'!N53</f>
        <v>0</v>
      </c>
      <c r="O37" s="11">
        <f>'Model Inputs'!O53</f>
        <v>0</v>
      </c>
      <c r="P37" s="11">
        <f>'Model Inputs'!P53</f>
        <v>0</v>
      </c>
      <c r="Q37" s="11">
        <f>'Model Inputs'!Q53</f>
        <v>0</v>
      </c>
      <c r="R37" s="11">
        <f>'Model Inputs'!R53</f>
        <v>0</v>
      </c>
      <c r="S37" s="11">
        <f>'Model Inputs'!S53</f>
        <v>0</v>
      </c>
      <c r="T37" s="11">
        <f>'Model Inputs'!T53</f>
        <v>0</v>
      </c>
      <c r="U37" s="11">
        <f>'Model Inputs'!U53</f>
        <v>0</v>
      </c>
      <c r="V37" s="11">
        <f>'Model Inputs'!V53</f>
        <v>0</v>
      </c>
      <c r="W37" s="11">
        <f>'Model Inputs'!W53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0</v>
      </c>
      <c r="D38" s="19">
        <f t="shared" si="17"/>
        <v>138291.02922426802</v>
      </c>
      <c r="E38" s="19">
        <f t="shared" si="17"/>
        <v>136324.74521901459</v>
      </c>
      <c r="F38" s="19">
        <f t="shared" si="17"/>
        <v>130590.71376166405</v>
      </c>
      <c r="G38" s="19">
        <f t="shared" si="17"/>
        <v>129354.50208494958</v>
      </c>
      <c r="H38" s="19">
        <f t="shared" si="17"/>
        <v>137678.9071044685</v>
      </c>
      <c r="I38" s="19">
        <f t="shared" si="17"/>
        <v>137883.71321306046</v>
      </c>
      <c r="J38" s="19">
        <f t="shared" si="17"/>
        <v>137582.30636717705</v>
      </c>
      <c r="K38" s="19">
        <f t="shared" si="17"/>
        <v>145635.06733630528</v>
      </c>
      <c r="L38" s="19">
        <f t="shared" si="17"/>
        <v>179752.23915301595</v>
      </c>
      <c r="M38" s="19">
        <f t="shared" si="17"/>
        <v>202363.8286037693</v>
      </c>
      <c r="N38" s="19">
        <f t="shared" si="17"/>
        <v>293900.22678663163</v>
      </c>
      <c r="O38" s="19">
        <f t="shared" si="17"/>
        <v>371263.38070727646</v>
      </c>
      <c r="P38" s="19">
        <f t="shared" si="17"/>
        <v>424271.8953455243</v>
      </c>
      <c r="Q38" s="19">
        <f t="shared" si="17"/>
        <v>465811.97647566476</v>
      </c>
      <c r="R38" s="19">
        <f t="shared" si="17"/>
        <v>489197.46529054648</v>
      </c>
      <c r="S38" s="19">
        <f t="shared" si="17"/>
        <v>495700.87635214068</v>
      </c>
      <c r="T38" s="19">
        <f t="shared" si="17"/>
        <v>500987.88939367374</v>
      </c>
      <c r="U38" s="19">
        <f t="shared" si="17"/>
        <v>506499.46051474265</v>
      </c>
      <c r="V38" s="19">
        <f t="shared" si="17"/>
        <v>519009.7616123422</v>
      </c>
      <c r="W38" s="19">
        <f t="shared" si="17"/>
        <v>518630.21063789935</v>
      </c>
      <c r="X38" s="19">
        <f t="shared" si="9"/>
        <v>129354.50208494958</v>
      </c>
      <c r="Y38" s="19">
        <f t="shared" si="10"/>
        <v>145635.06733630528</v>
      </c>
      <c r="Z38" s="19">
        <f t="shared" si="11"/>
        <v>371263.38070727646</v>
      </c>
      <c r="AA38" s="19">
        <f t="shared" si="12"/>
        <v>495700.87635214068</v>
      </c>
      <c r="AB38" s="19">
        <f t="shared" si="13"/>
        <v>518630.21063789935</v>
      </c>
    </row>
    <row r="39" spans="1:28" x14ac:dyDescent="0.3">
      <c r="A39" s="7" t="s">
        <v>62</v>
      </c>
      <c r="B39" s="7" t="s">
        <v>32</v>
      </c>
      <c r="C39" s="11">
        <f>'Model Inputs'!C35</f>
        <v>100000</v>
      </c>
      <c r="D39" s="11">
        <f>'Model Inputs'!D35</f>
        <v>157098</v>
      </c>
      <c r="E39" s="11">
        <f>'Model Inputs'!E35</f>
        <v>162529</v>
      </c>
      <c r="F39" s="11">
        <f>'Model Inputs'!F35</f>
        <v>170541</v>
      </c>
      <c r="G39" s="11">
        <f>'Model Inputs'!G35</f>
        <v>173163</v>
      </c>
      <c r="H39" s="11">
        <f>'Model Inputs'!H35</f>
        <v>173163</v>
      </c>
      <c r="I39" s="11">
        <f>'Model Inputs'!I35</f>
        <v>173163</v>
      </c>
      <c r="J39" s="11">
        <f>'Model Inputs'!J35</f>
        <v>173163</v>
      </c>
      <c r="K39" s="11">
        <f>'Model Inputs'!K35</f>
        <v>173163</v>
      </c>
      <c r="L39" s="11">
        <f>'Model Inputs'!L35</f>
        <v>173163</v>
      </c>
      <c r="M39" s="11">
        <f>'Model Inputs'!M35</f>
        <v>173163</v>
      </c>
      <c r="N39" s="11">
        <f>'Model Inputs'!N35</f>
        <v>173163</v>
      </c>
      <c r="O39" s="11">
        <f>'Model Inputs'!O35</f>
        <v>173163</v>
      </c>
      <c r="P39" s="11">
        <f>'Model Inputs'!P35</f>
        <v>173163</v>
      </c>
      <c r="Q39" s="11">
        <f>'Model Inputs'!Q35</f>
        <v>173163</v>
      </c>
      <c r="R39" s="11">
        <f>'Model Inputs'!R35</f>
        <v>173163</v>
      </c>
      <c r="S39" s="11">
        <f>'Model Inputs'!S35</f>
        <v>173163</v>
      </c>
      <c r="T39" s="11">
        <f>'Model Inputs'!T35</f>
        <v>173163</v>
      </c>
      <c r="U39" s="11">
        <f>'Model Inputs'!U35</f>
        <v>173163</v>
      </c>
      <c r="V39" s="11">
        <f>'Model Inputs'!V35</f>
        <v>173163</v>
      </c>
      <c r="W39" s="11">
        <f>'Model Inputs'!W35</f>
        <v>173163</v>
      </c>
      <c r="X39" s="11">
        <f t="shared" si="9"/>
        <v>173163</v>
      </c>
      <c r="Y39" s="11">
        <f t="shared" si="10"/>
        <v>173163</v>
      </c>
      <c r="Z39" s="11">
        <f t="shared" si="11"/>
        <v>173163</v>
      </c>
      <c r="AA39" s="11">
        <f t="shared" si="12"/>
        <v>173163</v>
      </c>
      <c r="AB39" s="11">
        <f t="shared" si="13"/>
        <v>173163</v>
      </c>
    </row>
    <row r="40" spans="1:28" x14ac:dyDescent="0.3">
      <c r="A40" s="7" t="s">
        <v>63</v>
      </c>
      <c r="B40" s="7" t="s">
        <v>32</v>
      </c>
      <c r="C40" s="11">
        <f>C31-C38-C39-C41</f>
        <v>32000</v>
      </c>
      <c r="D40" s="11">
        <f>C40+D20-'Model Inputs'!D37</f>
        <v>33070.491529449995</v>
      </c>
      <c r="E40" s="11">
        <f>D40+E20-'Model Inputs'!E37</f>
        <v>35013.097343731351</v>
      </c>
      <c r="F40" s="11">
        <f>E40+F20-'Model Inputs'!F37</f>
        <v>38702.550342103888</v>
      </c>
      <c r="G40" s="11">
        <f>F40+G20-'Model Inputs'!G37</f>
        <v>43922.528200370594</v>
      </c>
      <c r="H40" s="11">
        <f>G40+H20-'Model Inputs'!H37</f>
        <v>50822.398505845333</v>
      </c>
      <c r="I40" s="11">
        <f>H40+I20-'Model Inputs'!I37</f>
        <v>58491.051126082566</v>
      </c>
      <c r="J40" s="11">
        <f>I40+J20-'Model Inputs'!J37</f>
        <v>68232.854722228367</v>
      </c>
      <c r="K40" s="11">
        <f>J40+K20-'Model Inputs'!K37</f>
        <v>79883.724024515919</v>
      </c>
      <c r="L40" s="11">
        <f>K40+L20-'Model Inputs'!L37</f>
        <v>93083.44854674011</v>
      </c>
      <c r="M40" s="11">
        <f>L40+M20-'Model Inputs'!M37</f>
        <v>80441.164813436742</v>
      </c>
      <c r="N40" s="11">
        <f>M40+N20-'Model Inputs'!N37</f>
        <v>80953.492226267626</v>
      </c>
      <c r="O40" s="11">
        <f>N40+O20-'Model Inputs'!O37</f>
        <v>105938.29095820506</v>
      </c>
      <c r="P40" s="11">
        <f>O40+P20-'Model Inputs'!P37</f>
        <v>133906.23490869309</v>
      </c>
      <c r="Q40" s="11">
        <f>P40+Q20-'Model Inputs'!Q37</f>
        <v>144661.41753464768</v>
      </c>
      <c r="R40" s="11">
        <f>Q40+R20-'Model Inputs'!R37</f>
        <v>155359.06078855629</v>
      </c>
      <c r="S40" s="11">
        <f>R40+S20-'Model Inputs'!S37</f>
        <v>174434.64003109833</v>
      </c>
      <c r="T40" s="11">
        <f>S40+T20-'Model Inputs'!T37</f>
        <v>189034.89213659434</v>
      </c>
      <c r="U40" s="11">
        <f>T40+U20-'Model Inputs'!U37</f>
        <v>199868.16956750734</v>
      </c>
      <c r="V40" s="11">
        <f>U40+V20-'Model Inputs'!V37</f>
        <v>201112.42085304781</v>
      </c>
      <c r="W40" s="11">
        <f>V40+W20-'Model Inputs'!W37</f>
        <v>214916.35935887985</v>
      </c>
      <c r="X40" s="11">
        <f t="shared" si="9"/>
        <v>43922.528200370594</v>
      </c>
      <c r="Y40" s="11">
        <f t="shared" si="10"/>
        <v>79883.724024515919</v>
      </c>
      <c r="Z40" s="11">
        <f t="shared" si="11"/>
        <v>105938.29095820506</v>
      </c>
      <c r="AA40" s="11">
        <f t="shared" si="12"/>
        <v>174434.64003109833</v>
      </c>
      <c r="AB40" s="11">
        <f t="shared" si="13"/>
        <v>214916.35935887985</v>
      </c>
    </row>
    <row r="41" spans="1:28" x14ac:dyDescent="0.3">
      <c r="A41" s="7" t="s">
        <v>64</v>
      </c>
      <c r="B41" s="7" t="s">
        <v>32</v>
      </c>
      <c r="C41" s="11">
        <f>'Model Inputs'!C36</f>
        <v>0</v>
      </c>
      <c r="D41" s="11">
        <f>'Model Inputs'!D36</f>
        <v>0</v>
      </c>
      <c r="E41" s="11">
        <f>'Model Inputs'!E36</f>
        <v>0</v>
      </c>
      <c r="F41" s="11">
        <f>'Model Inputs'!F36</f>
        <v>0</v>
      </c>
      <c r="G41" s="11">
        <f>'Model Inputs'!G36</f>
        <v>0</v>
      </c>
      <c r="H41" s="11">
        <f>'Model Inputs'!H36</f>
        <v>0</v>
      </c>
      <c r="I41" s="11">
        <f>'Model Inputs'!I36</f>
        <v>0</v>
      </c>
      <c r="J41" s="11">
        <f>'Model Inputs'!J36</f>
        <v>0</v>
      </c>
      <c r="K41" s="11">
        <f>'Model Inputs'!K36</f>
        <v>0</v>
      </c>
      <c r="L41" s="11">
        <f>'Model Inputs'!L36</f>
        <v>0</v>
      </c>
      <c r="M41" s="11">
        <f>'Model Inputs'!M36</f>
        <v>0</v>
      </c>
      <c r="N41" s="11">
        <f>'Model Inputs'!N36</f>
        <v>0</v>
      </c>
      <c r="O41" s="11">
        <f>'Model Inputs'!O36</f>
        <v>0</v>
      </c>
      <c r="P41" s="11">
        <f>'Model Inputs'!P36</f>
        <v>0</v>
      </c>
      <c r="Q41" s="11">
        <f>'Model Inputs'!Q36</f>
        <v>0</v>
      </c>
      <c r="R41" s="11">
        <f>'Model Inputs'!R36</f>
        <v>0</v>
      </c>
      <c r="S41" s="11">
        <f>'Model Inputs'!S36</f>
        <v>0</v>
      </c>
      <c r="T41" s="11">
        <f>'Model Inputs'!T36</f>
        <v>0</v>
      </c>
      <c r="U41" s="11">
        <f>'Model Inputs'!U36</f>
        <v>0</v>
      </c>
      <c r="V41" s="11">
        <f>'Model Inputs'!V36</f>
        <v>0</v>
      </c>
      <c r="W41" s="11">
        <f>'Model Inputs'!W36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132000</v>
      </c>
      <c r="D42" s="19">
        <f t="shared" si="18"/>
        <v>190168.49152945</v>
      </c>
      <c r="E42" s="19">
        <f t="shared" si="18"/>
        <v>197542.09734373135</v>
      </c>
      <c r="F42" s="19">
        <f t="shared" si="18"/>
        <v>209243.55034210387</v>
      </c>
      <c r="G42" s="19">
        <f t="shared" si="18"/>
        <v>217085.52820037061</v>
      </c>
      <c r="H42" s="19">
        <f t="shared" si="18"/>
        <v>223985.39850584534</v>
      </c>
      <c r="I42" s="19">
        <f t="shared" si="18"/>
        <v>231654.05112608257</v>
      </c>
      <c r="J42" s="19">
        <f t="shared" si="18"/>
        <v>241395.85472222837</v>
      </c>
      <c r="K42" s="19">
        <f t="shared" si="18"/>
        <v>253046.72402451592</v>
      </c>
      <c r="L42" s="19">
        <f t="shared" si="18"/>
        <v>266246.44854674011</v>
      </c>
      <c r="M42" s="19">
        <f t="shared" si="18"/>
        <v>253604.16481343674</v>
      </c>
      <c r="N42" s="19">
        <f t="shared" si="18"/>
        <v>254116.49222626764</v>
      </c>
      <c r="O42" s="19">
        <f t="shared" si="18"/>
        <v>279101.29095820506</v>
      </c>
      <c r="P42" s="19">
        <f t="shared" si="18"/>
        <v>307069.23490869312</v>
      </c>
      <c r="Q42" s="19">
        <f t="shared" si="18"/>
        <v>317824.41753464768</v>
      </c>
      <c r="R42" s="19">
        <f t="shared" si="18"/>
        <v>328522.06078855629</v>
      </c>
      <c r="S42" s="19">
        <f t="shared" si="18"/>
        <v>347597.64003109833</v>
      </c>
      <c r="T42" s="19">
        <f t="shared" si="18"/>
        <v>362197.89213659434</v>
      </c>
      <c r="U42" s="19">
        <f t="shared" si="18"/>
        <v>373031.16956750734</v>
      </c>
      <c r="V42" s="19">
        <f t="shared" si="18"/>
        <v>374275.42085304781</v>
      </c>
      <c r="W42" s="19">
        <f t="shared" si="18"/>
        <v>388079.35935887985</v>
      </c>
      <c r="X42" s="19">
        <f t="shared" si="9"/>
        <v>217085.52820037061</v>
      </c>
      <c r="Y42" s="19">
        <f t="shared" si="10"/>
        <v>253046.72402451592</v>
      </c>
      <c r="Z42" s="19">
        <f t="shared" si="11"/>
        <v>279101.29095820506</v>
      </c>
      <c r="AA42" s="19">
        <f t="shared" si="12"/>
        <v>347597.64003109833</v>
      </c>
      <c r="AB42" s="19">
        <f t="shared" si="13"/>
        <v>388079.35935887985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132000</v>
      </c>
      <c r="D43" s="19">
        <f t="shared" si="19"/>
        <v>328459.52075371798</v>
      </c>
      <c r="E43" s="19">
        <f t="shared" si="19"/>
        <v>333866.84256274591</v>
      </c>
      <c r="F43" s="19">
        <f t="shared" si="19"/>
        <v>339834.26410376793</v>
      </c>
      <c r="G43" s="19">
        <f t="shared" si="19"/>
        <v>346440.03028532019</v>
      </c>
      <c r="H43" s="19">
        <f t="shared" si="19"/>
        <v>361664.30561031384</v>
      </c>
      <c r="I43" s="19">
        <f t="shared" si="19"/>
        <v>369537.76433914306</v>
      </c>
      <c r="J43" s="19">
        <f t="shared" si="19"/>
        <v>378978.16108940542</v>
      </c>
      <c r="K43" s="19">
        <f t="shared" si="19"/>
        <v>398681.79136082123</v>
      </c>
      <c r="L43" s="19">
        <f t="shared" si="19"/>
        <v>445998.68769975606</v>
      </c>
      <c r="M43" s="19">
        <f t="shared" si="19"/>
        <v>455967.99341720605</v>
      </c>
      <c r="N43" s="19">
        <f t="shared" si="19"/>
        <v>548016.71901289932</v>
      </c>
      <c r="O43" s="19">
        <f t="shared" si="19"/>
        <v>650364.67166548152</v>
      </c>
      <c r="P43" s="19">
        <f t="shared" si="19"/>
        <v>731341.13025421742</v>
      </c>
      <c r="Q43" s="19">
        <f t="shared" si="19"/>
        <v>783636.39401031239</v>
      </c>
      <c r="R43" s="19">
        <f t="shared" si="19"/>
        <v>817719.52607910277</v>
      </c>
      <c r="S43" s="19">
        <f t="shared" si="19"/>
        <v>843298.51638323907</v>
      </c>
      <c r="T43" s="19">
        <f t="shared" si="19"/>
        <v>863185.78153026802</v>
      </c>
      <c r="U43" s="19">
        <f t="shared" si="19"/>
        <v>879530.63008224999</v>
      </c>
      <c r="V43" s="19">
        <f t="shared" si="19"/>
        <v>893285.18246539007</v>
      </c>
      <c r="W43" s="19">
        <f t="shared" si="19"/>
        <v>906709.5699967792</v>
      </c>
      <c r="X43" s="19">
        <f t="shared" si="9"/>
        <v>346440.03028532019</v>
      </c>
      <c r="Y43" s="19">
        <f t="shared" si="10"/>
        <v>398681.79136082123</v>
      </c>
      <c r="Z43" s="19">
        <f t="shared" si="11"/>
        <v>650364.67166548152</v>
      </c>
      <c r="AA43" s="19">
        <f t="shared" si="12"/>
        <v>843298.51638323907</v>
      </c>
      <c r="AB43" s="19">
        <f t="shared" si="13"/>
        <v>906709.5699967792</v>
      </c>
    </row>
    <row r="45" spans="1:28" x14ac:dyDescent="0.3">
      <c r="A45" s="51" t="s">
        <v>67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 spans="1:28" x14ac:dyDescent="0.3">
      <c r="A46" s="7" t="s">
        <v>68</v>
      </c>
      <c r="B46" s="7" t="s">
        <v>32</v>
      </c>
      <c r="C46" s="11">
        <f>'Model Inputs'!C40</f>
        <v>80000</v>
      </c>
      <c r="D46" s="11">
        <f t="shared" ref="D46:W46" si="20">C61</f>
        <v>80000</v>
      </c>
      <c r="E46" s="11">
        <f t="shared" si="20"/>
        <v>136761.69610939667</v>
      </c>
      <c r="F46" s="11">
        <f t="shared" si="20"/>
        <v>137383.45958739854</v>
      </c>
      <c r="G46" s="11">
        <f t="shared" si="20"/>
        <v>138622.68332000854</v>
      </c>
      <c r="H46" s="11">
        <f t="shared" si="20"/>
        <v>139710.26110617389</v>
      </c>
      <c r="I46" s="11">
        <f t="shared" si="20"/>
        <v>144857.78409235226</v>
      </c>
      <c r="J46" s="11">
        <f t="shared" si="20"/>
        <v>148608.43304259848</v>
      </c>
      <c r="K46" s="11">
        <f t="shared" si="20"/>
        <v>152000.32074002951</v>
      </c>
      <c r="L46" s="11">
        <f t="shared" si="20"/>
        <v>165583.0271413718</v>
      </c>
      <c r="M46" s="11">
        <f t="shared" si="20"/>
        <v>202360.28817663889</v>
      </c>
      <c r="N46" s="11">
        <f t="shared" si="20"/>
        <v>205739.24984390131</v>
      </c>
      <c r="O46" s="11">
        <f t="shared" si="20"/>
        <v>248791.57120848174</v>
      </c>
      <c r="P46" s="11">
        <f t="shared" si="20"/>
        <v>295285.18814626761</v>
      </c>
      <c r="Q46" s="11">
        <f t="shared" si="20"/>
        <v>333383.1503460189</v>
      </c>
      <c r="R46" s="11">
        <f t="shared" si="20"/>
        <v>356068.6561063953</v>
      </c>
      <c r="S46" s="11">
        <f t="shared" si="20"/>
        <v>370197.39620831708</v>
      </c>
      <c r="T46" s="11">
        <f t="shared" si="20"/>
        <v>379430.24852382601</v>
      </c>
      <c r="U46" s="11">
        <f t="shared" si="20"/>
        <v>385941.9857538112</v>
      </c>
      <c r="V46" s="11">
        <f t="shared" si="20"/>
        <v>390887.0992187534</v>
      </c>
      <c r="W46" s="11">
        <f t="shared" si="20"/>
        <v>394856.72827721096</v>
      </c>
      <c r="X46" s="11">
        <f t="shared" ref="X46:X61" si="21">SUM(D46:G46)</f>
        <v>492767.83901680377</v>
      </c>
      <c r="Y46" s="11">
        <f t="shared" ref="Y46:Y61" si="22">SUM(H46:K46)</f>
        <v>585176.7989811541</v>
      </c>
      <c r="Z46" s="11">
        <f t="shared" ref="Z46:Z61" si="23">SUM(L46:O46)</f>
        <v>822474.13637039368</v>
      </c>
      <c r="AA46" s="11">
        <f t="shared" ref="AA46:AA61" si="24">SUM(P46:S46)</f>
        <v>1354934.3908069988</v>
      </c>
      <c r="AB46" s="11">
        <f t="shared" ref="AB46:AB61" si="25">SUM(T46:W46)</f>
        <v>1551116.0617736015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1070.4915294499935</v>
      </c>
      <c r="E47" s="19">
        <f t="shared" si="26"/>
        <v>1942.6058142813545</v>
      </c>
      <c r="F47" s="19">
        <f t="shared" si="26"/>
        <v>3689.4529983725338</v>
      </c>
      <c r="G47" s="19">
        <f t="shared" si="26"/>
        <v>5219.9778582667022</v>
      </c>
      <c r="H47" s="19">
        <f t="shared" si="26"/>
        <v>6899.8703054747366</v>
      </c>
      <c r="I47" s="19">
        <f t="shared" si="26"/>
        <v>7668.6526202372334</v>
      </c>
      <c r="J47" s="19">
        <f t="shared" si="26"/>
        <v>9741.8035961458045</v>
      </c>
      <c r="K47" s="19">
        <f t="shared" si="26"/>
        <v>11650.869302287547</v>
      </c>
      <c r="L47" s="19">
        <f t="shared" si="26"/>
        <v>13199.724522224187</v>
      </c>
      <c r="M47" s="19">
        <f t="shared" si="26"/>
        <v>15260.716266696629</v>
      </c>
      <c r="N47" s="19">
        <f t="shared" si="26"/>
        <v>20859.327412830884</v>
      </c>
      <c r="O47" s="19">
        <f t="shared" si="26"/>
        <v>24984.79873193743</v>
      </c>
      <c r="P47" s="19">
        <f t="shared" si="26"/>
        <v>27967.943950488017</v>
      </c>
      <c r="Q47" s="19">
        <f t="shared" si="26"/>
        <v>29868.1826259546</v>
      </c>
      <c r="R47" s="19">
        <f t="shared" si="26"/>
        <v>31049.643253908602</v>
      </c>
      <c r="S47" s="19">
        <f t="shared" si="26"/>
        <v>31818.579242542037</v>
      </c>
      <c r="T47" s="19">
        <f t="shared" si="26"/>
        <v>32357.252105496016</v>
      </c>
      <c r="U47" s="19">
        <f t="shared" si="26"/>
        <v>32765.277430913018</v>
      </c>
      <c r="V47" s="19">
        <f t="shared" si="26"/>
        <v>33091.251285540464</v>
      </c>
      <c r="W47" s="19">
        <f t="shared" si="26"/>
        <v>33360.938505832055</v>
      </c>
      <c r="X47" s="19">
        <f t="shared" si="21"/>
        <v>11922.528200370583</v>
      </c>
      <c r="Y47" s="19">
        <f t="shared" si="22"/>
        <v>35961.195824145318</v>
      </c>
      <c r="Z47" s="19">
        <f t="shared" si="23"/>
        <v>74304.56693368913</v>
      </c>
      <c r="AA47" s="19">
        <f t="shared" si="24"/>
        <v>120704.34907289327</v>
      </c>
      <c r="AB47" s="19">
        <f t="shared" si="25"/>
        <v>131574.71932778155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10</v>
      </c>
      <c r="E48" s="11">
        <f t="shared" si="27"/>
        <v>20.05481</v>
      </c>
      <c r="F48" s="11">
        <f t="shared" si="27"/>
        <v>30.157058706929998</v>
      </c>
      <c r="G48" s="11">
        <f t="shared" si="27"/>
        <v>40.258794459042015</v>
      </c>
      <c r="H48" s="11">
        <f t="shared" si="27"/>
        <v>50.433552955258357</v>
      </c>
      <c r="I48" s="11">
        <f t="shared" si="27"/>
        <v>60.674335608464972</v>
      </c>
      <c r="J48" s="11">
        <f t="shared" si="27"/>
        <v>70.933035826957635</v>
      </c>
      <c r="K48" s="11">
        <f t="shared" si="27"/>
        <v>81.202129508549177</v>
      </c>
      <c r="L48" s="11">
        <f t="shared" si="27"/>
        <v>91.515362201205377</v>
      </c>
      <c r="M48" s="11">
        <f t="shared" si="27"/>
        <v>101.86548081430611</v>
      </c>
      <c r="N48" s="11">
        <f t="shared" si="27"/>
        <v>112.24516071751559</v>
      </c>
      <c r="O48" s="11">
        <f t="shared" si="27"/>
        <v>122.60543907764801</v>
      </c>
      <c r="P48" s="11">
        <f t="shared" si="27"/>
        <v>133.02207214032535</v>
      </c>
      <c r="Q48" s="11">
        <f t="shared" si="27"/>
        <v>143.48771660552231</v>
      </c>
      <c r="R48" s="11">
        <f t="shared" si="27"/>
        <v>153.91128887568681</v>
      </c>
      <c r="S48" s="11">
        <f t="shared" si="27"/>
        <v>164.36888737212266</v>
      </c>
      <c r="T48" s="11">
        <f t="shared" si="27"/>
        <v>174.85290295433842</v>
      </c>
      <c r="U48" s="11">
        <f t="shared" si="27"/>
        <v>185.35561415539851</v>
      </c>
      <c r="V48" s="11">
        <f t="shared" si="27"/>
        <v>195.82723596609475</v>
      </c>
      <c r="W48" s="11">
        <f t="shared" si="27"/>
        <v>206.34396114815664</v>
      </c>
      <c r="X48" s="11">
        <f t="shared" si="21"/>
        <v>100.47066316597201</v>
      </c>
      <c r="Y48" s="11">
        <f t="shared" si="22"/>
        <v>263.24305389923018</v>
      </c>
      <c r="Z48" s="11">
        <f t="shared" si="23"/>
        <v>428.23144281067505</v>
      </c>
      <c r="AA48" s="11">
        <f t="shared" si="24"/>
        <v>594.78996499365712</v>
      </c>
      <c r="AB48" s="11">
        <f t="shared" si="25"/>
        <v>762.37971422398834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-139507.82464432134</v>
      </c>
      <c r="E49" s="11">
        <f t="shared" si="28"/>
        <v>-4604.6631410260452</v>
      </c>
      <c r="F49" s="11">
        <f t="shared" si="28"/>
        <v>-4556.5003911189269</v>
      </c>
      <c r="G49" s="11">
        <f t="shared" si="28"/>
        <v>-5355.7342268459324</v>
      </c>
      <c r="H49" s="11">
        <f t="shared" si="28"/>
        <v>-9923.6606577705534</v>
      </c>
      <c r="I49" s="11">
        <f t="shared" si="28"/>
        <v>-3979.1934221914271</v>
      </c>
      <c r="J49" s="11">
        <f t="shared" si="28"/>
        <v>-5914.4333146583231</v>
      </c>
      <c r="K49" s="11">
        <f t="shared" si="28"/>
        <v>-5996.4468465820246</v>
      </c>
      <c r="L49" s="11">
        <f t="shared" si="28"/>
        <v>-10424.849127868976</v>
      </c>
      <c r="M49" s="11">
        <f t="shared" si="28"/>
        <v>-6485.3340620018716</v>
      </c>
      <c r="N49" s="11">
        <f t="shared" si="28"/>
        <v>-48901.2488728303</v>
      </c>
      <c r="O49" s="11">
        <f t="shared" si="28"/>
        <v>-55769.064858874015</v>
      </c>
      <c r="P49" s="11">
        <f t="shared" si="28"/>
        <v>-42803.215811124886</v>
      </c>
      <c r="Q49" s="11">
        <f t="shared" si="28"/>
        <v>-29544.566659324162</v>
      </c>
      <c r="R49" s="11">
        <f t="shared" si="28"/>
        <v>-19899.298246744205</v>
      </c>
      <c r="S49" s="11">
        <f t="shared" si="28"/>
        <v>-16301.226397999446</v>
      </c>
      <c r="T49" s="11">
        <f t="shared" si="28"/>
        <v>-13340.875783998228</v>
      </c>
      <c r="U49" s="11">
        <f t="shared" si="28"/>
        <v>-11375.412404195115</v>
      </c>
      <c r="V49" s="11">
        <f t="shared" si="28"/>
        <v>-9770.9506506485632</v>
      </c>
      <c r="W49" s="11">
        <f t="shared" si="28"/>
        <v>-10119.315338109562</v>
      </c>
      <c r="X49" s="11">
        <f t="shared" si="21"/>
        <v>-154024.72240331225</v>
      </c>
      <c r="Y49" s="11">
        <f t="shared" si="22"/>
        <v>-25813.734241202328</v>
      </c>
      <c r="Z49" s="11">
        <f t="shared" si="23"/>
        <v>-121580.49692157516</v>
      </c>
      <c r="AA49" s="11">
        <f t="shared" si="24"/>
        <v>-108548.3071151927</v>
      </c>
      <c r="AB49" s="11">
        <f t="shared" si="25"/>
        <v>-44606.554176951468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138291.02922426802</v>
      </c>
      <c r="E50" s="11">
        <f t="shared" si="29"/>
        <v>-1966.2840052534302</v>
      </c>
      <c r="F50" s="11">
        <f t="shared" si="29"/>
        <v>-5734.0314573505311</v>
      </c>
      <c r="G50" s="11">
        <f t="shared" si="29"/>
        <v>-1236.2116767144762</v>
      </c>
      <c r="H50" s="11">
        <f t="shared" si="29"/>
        <v>8324.4050195189193</v>
      </c>
      <c r="I50" s="11">
        <f t="shared" si="29"/>
        <v>204.80610859196167</v>
      </c>
      <c r="J50" s="11">
        <f t="shared" si="29"/>
        <v>-301.4068458834081</v>
      </c>
      <c r="K50" s="11">
        <f t="shared" si="29"/>
        <v>8052.7609691282269</v>
      </c>
      <c r="L50" s="11">
        <f t="shared" si="29"/>
        <v>34117.171816710674</v>
      </c>
      <c r="M50" s="11">
        <f t="shared" si="29"/>
        <v>22611.589450753352</v>
      </c>
      <c r="N50" s="11">
        <f t="shared" si="29"/>
        <v>91536.398182862322</v>
      </c>
      <c r="O50" s="11">
        <f t="shared" si="29"/>
        <v>77363.153920644836</v>
      </c>
      <c r="P50" s="11">
        <f t="shared" si="29"/>
        <v>53008.514638247842</v>
      </c>
      <c r="Q50" s="11">
        <f t="shared" si="29"/>
        <v>41540.081130140461</v>
      </c>
      <c r="R50" s="11">
        <f t="shared" si="29"/>
        <v>23385.488814881712</v>
      </c>
      <c r="S50" s="11">
        <f t="shared" si="29"/>
        <v>6503.4110615942045</v>
      </c>
      <c r="T50" s="11">
        <f t="shared" si="29"/>
        <v>5287.0130415330641</v>
      </c>
      <c r="U50" s="11">
        <f t="shared" si="29"/>
        <v>5511.5711210689042</v>
      </c>
      <c r="V50" s="11">
        <f t="shared" si="29"/>
        <v>12510.301097599557</v>
      </c>
      <c r="W50" s="11">
        <f t="shared" si="29"/>
        <v>-379.55097444285639</v>
      </c>
      <c r="X50" s="11">
        <f t="shared" si="21"/>
        <v>129354.50208494958</v>
      </c>
      <c r="Y50" s="11">
        <f t="shared" si="22"/>
        <v>16280.5652513557</v>
      </c>
      <c r="Z50" s="11">
        <f t="shared" si="23"/>
        <v>225628.31337097118</v>
      </c>
      <c r="AA50" s="11">
        <f t="shared" si="24"/>
        <v>124437.49564486422</v>
      </c>
      <c r="AB50" s="11">
        <f t="shared" si="25"/>
        <v>22929.334285758669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-136.30389060333255</v>
      </c>
      <c r="E51" s="19">
        <f t="shared" si="30"/>
        <v>-4608.2865219981213</v>
      </c>
      <c r="F51" s="19">
        <f t="shared" si="30"/>
        <v>-6570.9217913899938</v>
      </c>
      <c r="G51" s="19">
        <f t="shared" si="30"/>
        <v>-1331.7092508346641</v>
      </c>
      <c r="H51" s="19">
        <f t="shared" si="30"/>
        <v>5351.0482201783607</v>
      </c>
      <c r="I51" s="19">
        <f t="shared" si="30"/>
        <v>3954.9396422462332</v>
      </c>
      <c r="J51" s="19">
        <f t="shared" si="30"/>
        <v>3596.8964714310314</v>
      </c>
      <c r="K51" s="19">
        <f t="shared" si="30"/>
        <v>13788.385554342298</v>
      </c>
      <c r="L51" s="19">
        <f t="shared" si="30"/>
        <v>36983.562573267089</v>
      </c>
      <c r="M51" s="19">
        <f t="shared" si="30"/>
        <v>31488.837136262417</v>
      </c>
      <c r="N51" s="19">
        <f t="shared" si="30"/>
        <v>63606.721883580423</v>
      </c>
      <c r="O51" s="19">
        <f t="shared" si="30"/>
        <v>46701.493232785899</v>
      </c>
      <c r="P51" s="19">
        <f t="shared" si="30"/>
        <v>38306.2648497513</v>
      </c>
      <c r="Q51" s="19">
        <f t="shared" si="30"/>
        <v>42007.184813376422</v>
      </c>
      <c r="R51" s="19">
        <f t="shared" si="30"/>
        <v>34689.745110921795</v>
      </c>
      <c r="S51" s="19">
        <f t="shared" si="30"/>
        <v>22185.132793508918</v>
      </c>
      <c r="T51" s="19">
        <f t="shared" si="30"/>
        <v>24478.242265985191</v>
      </c>
      <c r="U51" s="19">
        <f t="shared" si="30"/>
        <v>27086.791761942208</v>
      </c>
      <c r="V51" s="19">
        <f t="shared" si="30"/>
        <v>36026.428968457549</v>
      </c>
      <c r="W51" s="19">
        <f t="shared" si="30"/>
        <v>23068.416154427796</v>
      </c>
      <c r="X51" s="19">
        <f t="shared" si="21"/>
        <v>-12647.221454826111</v>
      </c>
      <c r="Y51" s="19">
        <f t="shared" si="22"/>
        <v>26691.269888197923</v>
      </c>
      <c r="Z51" s="19">
        <f t="shared" si="23"/>
        <v>178780.61482589581</v>
      </c>
      <c r="AA51" s="19">
        <f t="shared" si="24"/>
        <v>137188.32756755842</v>
      </c>
      <c r="AB51" s="19">
        <f t="shared" si="25"/>
        <v>110659.87915081275</v>
      </c>
    </row>
    <row r="52" spans="1:28" x14ac:dyDescent="0.3">
      <c r="A52" s="7" t="s">
        <v>72</v>
      </c>
      <c r="B52" s="7" t="s">
        <v>32</v>
      </c>
      <c r="C52" s="11">
        <f>'Model Inputs'!C56</f>
        <v>0</v>
      </c>
      <c r="D52" s="11">
        <f>'Model Inputs'!D56</f>
        <v>200</v>
      </c>
      <c r="E52" s="11">
        <f>'Model Inputs'!E56</f>
        <v>200.95</v>
      </c>
      <c r="F52" s="11">
        <f>'Model Inputs'!F56</f>
        <v>201.85447600000001</v>
      </c>
      <c r="G52" s="11">
        <f>'Model Inputs'!G56</f>
        <v>202.712963</v>
      </c>
      <c r="H52" s="11">
        <f>'Model Inputs'!H56</f>
        <v>203.52523400000001</v>
      </c>
      <c r="I52" s="11">
        <f>'Model Inputs'!I56</f>
        <v>204.29069200000001</v>
      </c>
      <c r="J52" s="11">
        <f>'Model Inputs'!J56</f>
        <v>205.00877399999999</v>
      </c>
      <c r="K52" s="11">
        <f>'Model Inputs'!K56</f>
        <v>205.67915300000001</v>
      </c>
      <c r="L52" s="11">
        <f>'Model Inputs'!L56</f>
        <v>206.30153799999999</v>
      </c>
      <c r="M52" s="11">
        <f>'Model Inputs'!M56</f>
        <v>206.87546900000001</v>
      </c>
      <c r="N52" s="11">
        <f>'Model Inputs'!N56</f>
        <v>207.400519</v>
      </c>
      <c r="O52" s="11">
        <f>'Model Inputs'!O56</f>
        <v>207.876295</v>
      </c>
      <c r="P52" s="11">
        <f>'Model Inputs'!P56</f>
        <v>208.30265</v>
      </c>
      <c r="Q52" s="11">
        <f>'Model Inputs'!Q56</f>
        <v>208.67905300000001</v>
      </c>
      <c r="R52" s="11">
        <f>'Model Inputs'!R56</f>
        <v>209.005009</v>
      </c>
      <c r="S52" s="11">
        <f>'Model Inputs'!S56</f>
        <v>209.28047799999999</v>
      </c>
      <c r="T52" s="11">
        <f>'Model Inputs'!T56</f>
        <v>209.50503599999999</v>
      </c>
      <c r="U52" s="11">
        <f>'Model Inputs'!U56</f>
        <v>209.67829699999999</v>
      </c>
      <c r="V52" s="11">
        <f>'Model Inputs'!V56</f>
        <v>209.79991000000001</v>
      </c>
      <c r="W52" s="11">
        <f>'Model Inputs'!W56</f>
        <v>209.86977300000001</v>
      </c>
      <c r="X52" s="11">
        <f t="shared" si="21"/>
        <v>805.51743899999997</v>
      </c>
      <c r="Y52" s="11">
        <f t="shared" si="22"/>
        <v>818.50385300000005</v>
      </c>
      <c r="Z52" s="11">
        <f t="shared" si="23"/>
        <v>828.45382100000006</v>
      </c>
      <c r="AA52" s="11">
        <f t="shared" si="24"/>
        <v>835.26719000000003</v>
      </c>
      <c r="AB52" s="11">
        <f t="shared" si="25"/>
        <v>838.85301599999991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-200</v>
      </c>
      <c r="E53" s="19">
        <f t="shared" si="31"/>
        <v>-200.95</v>
      </c>
      <c r="F53" s="19">
        <f t="shared" si="31"/>
        <v>-201.85447600000001</v>
      </c>
      <c r="G53" s="19">
        <f t="shared" si="31"/>
        <v>-202.712963</v>
      </c>
      <c r="H53" s="19">
        <f t="shared" si="31"/>
        <v>-203.52523400000001</v>
      </c>
      <c r="I53" s="19">
        <f t="shared" si="31"/>
        <v>-204.29069200000001</v>
      </c>
      <c r="J53" s="19">
        <f t="shared" si="31"/>
        <v>-205.00877399999999</v>
      </c>
      <c r="K53" s="19">
        <f t="shared" si="31"/>
        <v>-205.67915300000001</v>
      </c>
      <c r="L53" s="19">
        <f t="shared" si="31"/>
        <v>-206.30153799999999</v>
      </c>
      <c r="M53" s="19">
        <f t="shared" si="31"/>
        <v>-206.87546900000001</v>
      </c>
      <c r="N53" s="19">
        <f t="shared" si="31"/>
        <v>-207.400519</v>
      </c>
      <c r="O53" s="19">
        <f t="shared" si="31"/>
        <v>-207.876295</v>
      </c>
      <c r="P53" s="19">
        <f t="shared" si="31"/>
        <v>-208.30265</v>
      </c>
      <c r="Q53" s="19">
        <f t="shared" si="31"/>
        <v>-208.67905300000001</v>
      </c>
      <c r="R53" s="19">
        <f t="shared" si="31"/>
        <v>-209.005009</v>
      </c>
      <c r="S53" s="19">
        <f t="shared" si="31"/>
        <v>-209.28047799999999</v>
      </c>
      <c r="T53" s="19">
        <f t="shared" si="31"/>
        <v>-209.50503599999999</v>
      </c>
      <c r="U53" s="19">
        <f t="shared" si="31"/>
        <v>-209.67829699999999</v>
      </c>
      <c r="V53" s="19">
        <f t="shared" si="31"/>
        <v>-209.79991000000001</v>
      </c>
      <c r="W53" s="19">
        <f t="shared" si="31"/>
        <v>-209.86977300000001</v>
      </c>
      <c r="X53" s="19">
        <f t="shared" si="21"/>
        <v>-805.51743899999997</v>
      </c>
      <c r="Y53" s="19">
        <f t="shared" si="22"/>
        <v>-818.50385300000005</v>
      </c>
      <c r="Z53" s="19">
        <f t="shared" si="23"/>
        <v>-828.45382100000006</v>
      </c>
      <c r="AA53" s="19">
        <f t="shared" si="24"/>
        <v>-835.26719000000003</v>
      </c>
      <c r="AB53" s="19">
        <f t="shared" si="25"/>
        <v>-838.85301599999991</v>
      </c>
    </row>
    <row r="54" spans="1:28" x14ac:dyDescent="0.3">
      <c r="A54" s="7" t="s">
        <v>74</v>
      </c>
      <c r="B54" s="7" t="s">
        <v>32</v>
      </c>
      <c r="C54" s="11">
        <f>'Model Inputs'!C46</f>
        <v>0</v>
      </c>
      <c r="D54" s="11">
        <f>'Model Inputs'!D46</f>
        <v>0</v>
      </c>
      <c r="E54" s="11">
        <f>'Model Inputs'!E46</f>
        <v>0</v>
      </c>
      <c r="F54" s="11">
        <f>'Model Inputs'!F46</f>
        <v>0</v>
      </c>
      <c r="G54" s="11">
        <f>'Model Inputs'!G46</f>
        <v>0</v>
      </c>
      <c r="H54" s="11">
        <f>'Model Inputs'!H46</f>
        <v>0</v>
      </c>
      <c r="I54" s="11">
        <f>'Model Inputs'!I46</f>
        <v>0</v>
      </c>
      <c r="J54" s="11">
        <f>'Model Inputs'!J46</f>
        <v>0</v>
      </c>
      <c r="K54" s="11">
        <f>'Model Inputs'!K46</f>
        <v>0</v>
      </c>
      <c r="L54" s="11">
        <f>'Model Inputs'!L46</f>
        <v>0</v>
      </c>
      <c r="M54" s="11">
        <f>'Model Inputs'!M46</f>
        <v>0</v>
      </c>
      <c r="N54" s="11">
        <f>'Model Inputs'!N46</f>
        <v>0</v>
      </c>
      <c r="O54" s="11">
        <f>'Model Inputs'!O46</f>
        <v>0</v>
      </c>
      <c r="P54" s="11">
        <f>'Model Inputs'!P46</f>
        <v>0</v>
      </c>
      <c r="Q54" s="11">
        <f>'Model Inputs'!Q46</f>
        <v>0</v>
      </c>
      <c r="R54" s="11">
        <f>'Model Inputs'!R46</f>
        <v>0</v>
      </c>
      <c r="S54" s="11">
        <f>'Model Inputs'!S46</f>
        <v>0</v>
      </c>
      <c r="T54" s="11">
        <f>'Model Inputs'!T46</f>
        <v>0</v>
      </c>
      <c r="U54" s="11">
        <f>'Model Inputs'!U46</f>
        <v>0</v>
      </c>
      <c r="V54" s="11">
        <f>'Model Inputs'!V46</f>
        <v>0</v>
      </c>
      <c r="W54" s="11">
        <f>'Model Inputs'!W46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Inputs'!C47</f>
        <v>0</v>
      </c>
      <c r="D55" s="11">
        <f>'Model Inputs'!D47</f>
        <v>0</v>
      </c>
      <c r="E55" s="11">
        <f>'Model Inputs'!E47</f>
        <v>0</v>
      </c>
      <c r="F55" s="11">
        <f>'Model Inputs'!F47</f>
        <v>0</v>
      </c>
      <c r="G55" s="11">
        <f>'Model Inputs'!G47</f>
        <v>0</v>
      </c>
      <c r="H55" s="11">
        <f>'Model Inputs'!H47</f>
        <v>0</v>
      </c>
      <c r="I55" s="11">
        <f>'Model Inputs'!I47</f>
        <v>0</v>
      </c>
      <c r="J55" s="11">
        <f>'Model Inputs'!J47</f>
        <v>0</v>
      </c>
      <c r="K55" s="11">
        <f>'Model Inputs'!K47</f>
        <v>0</v>
      </c>
      <c r="L55" s="11">
        <f>'Model Inputs'!L47</f>
        <v>0</v>
      </c>
      <c r="M55" s="11">
        <f>'Model Inputs'!M47</f>
        <v>0</v>
      </c>
      <c r="N55" s="11">
        <f>'Model Inputs'!N47</f>
        <v>0</v>
      </c>
      <c r="O55" s="11">
        <f>'Model Inputs'!O47</f>
        <v>0</v>
      </c>
      <c r="P55" s="11">
        <f>'Model Inputs'!P47</f>
        <v>0</v>
      </c>
      <c r="Q55" s="11">
        <f>'Model Inputs'!Q47</f>
        <v>0</v>
      </c>
      <c r="R55" s="11">
        <f>'Model Inputs'!R47</f>
        <v>0</v>
      </c>
      <c r="S55" s="11">
        <f>'Model Inputs'!S47</f>
        <v>0</v>
      </c>
      <c r="T55" s="11">
        <f>'Model Inputs'!T47</f>
        <v>0</v>
      </c>
      <c r="U55" s="11">
        <f>'Model Inputs'!U47</f>
        <v>0</v>
      </c>
      <c r="V55" s="11">
        <f>'Model Inputs'!V47</f>
        <v>0</v>
      </c>
      <c r="W55" s="11">
        <f>'Model Inputs'!W47</f>
        <v>0</v>
      </c>
      <c r="X55" s="11">
        <f t="shared" si="21"/>
        <v>0</v>
      </c>
      <c r="Y55" s="11">
        <f t="shared" si="22"/>
        <v>0</v>
      </c>
      <c r="Z55" s="11">
        <f t="shared" si="23"/>
        <v>0</v>
      </c>
      <c r="AA55" s="11">
        <f t="shared" si="24"/>
        <v>0</v>
      </c>
      <c r="AB55" s="11">
        <f t="shared" si="25"/>
        <v>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57098</v>
      </c>
      <c r="E56" s="11">
        <f t="shared" si="32"/>
        <v>5431</v>
      </c>
      <c r="F56" s="11">
        <f t="shared" si="32"/>
        <v>8012</v>
      </c>
      <c r="G56" s="11">
        <f t="shared" si="32"/>
        <v>2622</v>
      </c>
      <c r="H56" s="11">
        <f t="shared" si="32"/>
        <v>0</v>
      </c>
      <c r="I56" s="11">
        <f t="shared" si="32"/>
        <v>0</v>
      </c>
      <c r="J56" s="11">
        <f t="shared" si="32"/>
        <v>0</v>
      </c>
      <c r="K56" s="11">
        <f t="shared" si="32"/>
        <v>0</v>
      </c>
      <c r="L56" s="11">
        <f t="shared" si="32"/>
        <v>0</v>
      </c>
      <c r="M56" s="11">
        <f t="shared" si="32"/>
        <v>0</v>
      </c>
      <c r="N56" s="11">
        <f t="shared" si="32"/>
        <v>0</v>
      </c>
      <c r="O56" s="11">
        <f t="shared" si="32"/>
        <v>0</v>
      </c>
      <c r="P56" s="11">
        <f t="shared" si="32"/>
        <v>0</v>
      </c>
      <c r="Q56" s="11">
        <f t="shared" si="32"/>
        <v>0</v>
      </c>
      <c r="R56" s="11">
        <f t="shared" si="32"/>
        <v>0</v>
      </c>
      <c r="S56" s="11">
        <f t="shared" si="32"/>
        <v>0</v>
      </c>
      <c r="T56" s="11">
        <f t="shared" si="32"/>
        <v>0</v>
      </c>
      <c r="U56" s="11">
        <f t="shared" si="32"/>
        <v>0</v>
      </c>
      <c r="V56" s="11">
        <f t="shared" si="32"/>
        <v>0</v>
      </c>
      <c r="W56" s="11">
        <f t="shared" si="32"/>
        <v>0</v>
      </c>
      <c r="X56" s="11">
        <f t="shared" si="21"/>
        <v>73163</v>
      </c>
      <c r="Y56" s="11">
        <f t="shared" si="22"/>
        <v>0</v>
      </c>
      <c r="Z56" s="11">
        <f t="shared" si="23"/>
        <v>0</v>
      </c>
      <c r="AA56" s="11">
        <f t="shared" si="24"/>
        <v>0</v>
      </c>
      <c r="AB56" s="11">
        <f t="shared" si="25"/>
        <v>0</v>
      </c>
    </row>
    <row r="57" spans="1:28" x14ac:dyDescent="0.3">
      <c r="A57" s="7" t="s">
        <v>77</v>
      </c>
      <c r="B57" s="7" t="s">
        <v>32</v>
      </c>
      <c r="C57" s="11">
        <f>'Model Inputs'!C37</f>
        <v>0</v>
      </c>
      <c r="D57" s="11">
        <f>'Model Inputs'!D37</f>
        <v>0</v>
      </c>
      <c r="E57" s="11">
        <f>'Model Inputs'!E37</f>
        <v>0</v>
      </c>
      <c r="F57" s="11">
        <f>'Model Inputs'!F37</f>
        <v>0</v>
      </c>
      <c r="G57" s="11">
        <f>'Model Inputs'!G37</f>
        <v>0</v>
      </c>
      <c r="H57" s="11">
        <f>'Model Inputs'!H37</f>
        <v>0</v>
      </c>
      <c r="I57" s="11">
        <f>'Model Inputs'!I37</f>
        <v>0</v>
      </c>
      <c r="J57" s="11">
        <f>'Model Inputs'!J37</f>
        <v>0</v>
      </c>
      <c r="K57" s="11">
        <f>'Model Inputs'!K37</f>
        <v>0</v>
      </c>
      <c r="L57" s="11">
        <f>'Model Inputs'!L37</f>
        <v>0</v>
      </c>
      <c r="M57" s="11">
        <f>'Model Inputs'!M37</f>
        <v>27903</v>
      </c>
      <c r="N57" s="11">
        <f>'Model Inputs'!N37</f>
        <v>20347</v>
      </c>
      <c r="O57" s="11">
        <f>'Model Inputs'!O37</f>
        <v>0</v>
      </c>
      <c r="P57" s="11">
        <f>'Model Inputs'!P37</f>
        <v>0</v>
      </c>
      <c r="Q57" s="11">
        <f>'Model Inputs'!Q37</f>
        <v>19113</v>
      </c>
      <c r="R57" s="11">
        <f>'Model Inputs'!R37</f>
        <v>20352</v>
      </c>
      <c r="S57" s="11">
        <f>'Model Inputs'!S37</f>
        <v>12743</v>
      </c>
      <c r="T57" s="11">
        <f>'Model Inputs'!T37</f>
        <v>17757</v>
      </c>
      <c r="U57" s="11">
        <f>'Model Inputs'!U37</f>
        <v>21932</v>
      </c>
      <c r="V57" s="11">
        <f>'Model Inputs'!V37</f>
        <v>31847</v>
      </c>
      <c r="W57" s="11">
        <f>'Model Inputs'!W37</f>
        <v>19557</v>
      </c>
      <c r="X57" s="11">
        <f t="shared" si="21"/>
        <v>0</v>
      </c>
      <c r="Y57" s="11">
        <f t="shared" si="22"/>
        <v>0</v>
      </c>
      <c r="Z57" s="11">
        <f t="shared" si="23"/>
        <v>48250</v>
      </c>
      <c r="AA57" s="11">
        <f t="shared" si="24"/>
        <v>52208</v>
      </c>
      <c r="AB57" s="11">
        <f t="shared" si="25"/>
        <v>91093</v>
      </c>
    </row>
    <row r="58" spans="1:28" x14ac:dyDescent="0.3">
      <c r="A58" s="7" t="s">
        <v>78</v>
      </c>
      <c r="B58" s="7" t="s">
        <v>32</v>
      </c>
      <c r="C58" s="11">
        <f>'Model Inputs'!C50</f>
        <v>0</v>
      </c>
      <c r="D58" s="11">
        <f>'Model Inputs'!D50</f>
        <v>0</v>
      </c>
      <c r="E58" s="11">
        <f>'Model Inputs'!E50</f>
        <v>0</v>
      </c>
      <c r="F58" s="11">
        <f>'Model Inputs'!F50</f>
        <v>0</v>
      </c>
      <c r="G58" s="11">
        <f>'Model Inputs'!G50</f>
        <v>0</v>
      </c>
      <c r="H58" s="11">
        <f>'Model Inputs'!H50</f>
        <v>0</v>
      </c>
      <c r="I58" s="11">
        <f>'Model Inputs'!I50</f>
        <v>0</v>
      </c>
      <c r="J58" s="11">
        <f>'Model Inputs'!J50</f>
        <v>0</v>
      </c>
      <c r="K58" s="11">
        <f>'Model Inputs'!K50</f>
        <v>0</v>
      </c>
      <c r="L58" s="11">
        <f>'Model Inputs'!L50</f>
        <v>0</v>
      </c>
      <c r="M58" s="11">
        <f>'Model Inputs'!M50</f>
        <v>0</v>
      </c>
      <c r="N58" s="11">
        <f>'Model Inputs'!N50</f>
        <v>0</v>
      </c>
      <c r="O58" s="11">
        <f>'Model Inputs'!O50</f>
        <v>0</v>
      </c>
      <c r="P58" s="11">
        <f>'Model Inputs'!P50</f>
        <v>0</v>
      </c>
      <c r="Q58" s="11">
        <f>'Model Inputs'!Q50</f>
        <v>0</v>
      </c>
      <c r="R58" s="11">
        <f>'Model Inputs'!R50</f>
        <v>0</v>
      </c>
      <c r="S58" s="11">
        <f>'Model Inputs'!S50</f>
        <v>0</v>
      </c>
      <c r="T58" s="11">
        <f>'Model Inputs'!T50</f>
        <v>0</v>
      </c>
      <c r="U58" s="11">
        <f>'Model Inputs'!U50</f>
        <v>0</v>
      </c>
      <c r="V58" s="11">
        <f>'Model Inputs'!V50</f>
        <v>0</v>
      </c>
      <c r="W58" s="11">
        <f>'Model Inputs'!W50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57098</v>
      </c>
      <c r="E59" s="19">
        <f t="shared" si="33"/>
        <v>5431</v>
      </c>
      <c r="F59" s="19">
        <f t="shared" si="33"/>
        <v>8012</v>
      </c>
      <c r="G59" s="19">
        <f t="shared" si="33"/>
        <v>2622</v>
      </c>
      <c r="H59" s="19">
        <f t="shared" si="33"/>
        <v>0</v>
      </c>
      <c r="I59" s="19">
        <f t="shared" si="33"/>
        <v>0</v>
      </c>
      <c r="J59" s="19">
        <f t="shared" si="33"/>
        <v>0</v>
      </c>
      <c r="K59" s="19">
        <f t="shared" si="33"/>
        <v>0</v>
      </c>
      <c r="L59" s="19">
        <f t="shared" si="33"/>
        <v>0</v>
      </c>
      <c r="M59" s="19">
        <f t="shared" si="33"/>
        <v>-27903</v>
      </c>
      <c r="N59" s="19">
        <f t="shared" si="33"/>
        <v>-20347</v>
      </c>
      <c r="O59" s="19">
        <f t="shared" si="33"/>
        <v>0</v>
      </c>
      <c r="P59" s="19">
        <f t="shared" si="33"/>
        <v>0</v>
      </c>
      <c r="Q59" s="19">
        <f t="shared" si="33"/>
        <v>-19113</v>
      </c>
      <c r="R59" s="19">
        <f t="shared" si="33"/>
        <v>-20352</v>
      </c>
      <c r="S59" s="19">
        <f t="shared" si="33"/>
        <v>-12743</v>
      </c>
      <c r="T59" s="19">
        <f t="shared" si="33"/>
        <v>-17757</v>
      </c>
      <c r="U59" s="19">
        <f t="shared" si="33"/>
        <v>-21932</v>
      </c>
      <c r="V59" s="19">
        <f t="shared" si="33"/>
        <v>-31847</v>
      </c>
      <c r="W59" s="19">
        <f t="shared" si="33"/>
        <v>-19557</v>
      </c>
      <c r="X59" s="19">
        <f t="shared" si="21"/>
        <v>73163</v>
      </c>
      <c r="Y59" s="19">
        <f t="shared" si="22"/>
        <v>0</v>
      </c>
      <c r="Z59" s="19">
        <f t="shared" si="23"/>
        <v>-48250</v>
      </c>
      <c r="AA59" s="19">
        <f t="shared" si="24"/>
        <v>-52208</v>
      </c>
      <c r="AB59" s="19">
        <f t="shared" si="25"/>
        <v>-91093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56761.696109396667</v>
      </c>
      <c r="E60" s="19">
        <f t="shared" si="34"/>
        <v>621.76347800187887</v>
      </c>
      <c r="F60" s="19">
        <f t="shared" si="34"/>
        <v>1239.2237326100058</v>
      </c>
      <c r="G60" s="19">
        <f t="shared" si="34"/>
        <v>1087.577786165336</v>
      </c>
      <c r="H60" s="19">
        <f t="shared" si="34"/>
        <v>5147.522986178361</v>
      </c>
      <c r="I60" s="19">
        <f t="shared" si="34"/>
        <v>3750.6489502462332</v>
      </c>
      <c r="J60" s="19">
        <f t="shared" si="34"/>
        <v>3391.8876974310315</v>
      </c>
      <c r="K60" s="19">
        <f t="shared" si="34"/>
        <v>13582.706401342299</v>
      </c>
      <c r="L60" s="19">
        <f t="shared" si="34"/>
        <v>36777.261035267089</v>
      </c>
      <c r="M60" s="19">
        <f t="shared" si="34"/>
        <v>3378.9616672624179</v>
      </c>
      <c r="N60" s="19">
        <f t="shared" si="34"/>
        <v>43052.321364580421</v>
      </c>
      <c r="O60" s="19">
        <f t="shared" si="34"/>
        <v>46493.616937785897</v>
      </c>
      <c r="P60" s="19">
        <f t="shared" si="34"/>
        <v>38097.962199751302</v>
      </c>
      <c r="Q60" s="19">
        <f t="shared" si="34"/>
        <v>22685.505760376422</v>
      </c>
      <c r="R60" s="19">
        <f t="shared" si="34"/>
        <v>14128.740101921794</v>
      </c>
      <c r="S60" s="19">
        <f t="shared" si="34"/>
        <v>9232.8523155089169</v>
      </c>
      <c r="T60" s="19">
        <f t="shared" si="34"/>
        <v>6511.7372299851922</v>
      </c>
      <c r="U60" s="19">
        <f t="shared" si="34"/>
        <v>4945.1134649422092</v>
      </c>
      <c r="V60" s="19">
        <f t="shared" si="34"/>
        <v>3969.6290584575472</v>
      </c>
      <c r="W60" s="19">
        <f t="shared" si="34"/>
        <v>3301.5463814277973</v>
      </c>
      <c r="X60" s="19">
        <f t="shared" si="21"/>
        <v>59710.261106173886</v>
      </c>
      <c r="Y60" s="19">
        <f t="shared" si="22"/>
        <v>25872.766035197925</v>
      </c>
      <c r="Z60" s="19">
        <f t="shared" si="23"/>
        <v>129702.16100489584</v>
      </c>
      <c r="AA60" s="19">
        <f t="shared" si="24"/>
        <v>84145.060377558446</v>
      </c>
      <c r="AB60" s="19">
        <f t="shared" si="25"/>
        <v>18728.026134812746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80000</v>
      </c>
      <c r="D61" s="19">
        <f t="shared" si="35"/>
        <v>136761.69610939667</v>
      </c>
      <c r="E61" s="19">
        <f t="shared" si="35"/>
        <v>137383.45958739854</v>
      </c>
      <c r="F61" s="19">
        <f t="shared" si="35"/>
        <v>138622.68332000854</v>
      </c>
      <c r="G61" s="19">
        <f t="shared" si="35"/>
        <v>139710.26110617389</v>
      </c>
      <c r="H61" s="19">
        <f t="shared" si="35"/>
        <v>144857.78409235226</v>
      </c>
      <c r="I61" s="19">
        <f t="shared" si="35"/>
        <v>148608.43304259848</v>
      </c>
      <c r="J61" s="19">
        <f t="shared" si="35"/>
        <v>152000.32074002951</v>
      </c>
      <c r="K61" s="19">
        <f t="shared" si="35"/>
        <v>165583.0271413718</v>
      </c>
      <c r="L61" s="19">
        <f t="shared" si="35"/>
        <v>202360.28817663889</v>
      </c>
      <c r="M61" s="19">
        <f t="shared" si="35"/>
        <v>205739.24984390131</v>
      </c>
      <c r="N61" s="19">
        <f t="shared" si="35"/>
        <v>248791.57120848174</v>
      </c>
      <c r="O61" s="19">
        <f t="shared" si="35"/>
        <v>295285.18814626761</v>
      </c>
      <c r="P61" s="19">
        <f t="shared" si="35"/>
        <v>333383.1503460189</v>
      </c>
      <c r="Q61" s="19">
        <f t="shared" si="35"/>
        <v>356068.6561063953</v>
      </c>
      <c r="R61" s="19">
        <f t="shared" si="35"/>
        <v>370197.39620831708</v>
      </c>
      <c r="S61" s="19">
        <f t="shared" si="35"/>
        <v>379430.24852382601</v>
      </c>
      <c r="T61" s="19">
        <f t="shared" si="35"/>
        <v>385941.9857538112</v>
      </c>
      <c r="U61" s="19">
        <f t="shared" si="35"/>
        <v>390887.0992187534</v>
      </c>
      <c r="V61" s="19">
        <f t="shared" si="35"/>
        <v>394856.72827721096</v>
      </c>
      <c r="W61" s="19">
        <f t="shared" si="35"/>
        <v>398158.27465863875</v>
      </c>
      <c r="X61" s="19">
        <f t="shared" si="21"/>
        <v>552478.10012297763</v>
      </c>
      <c r="Y61" s="19">
        <f t="shared" si="22"/>
        <v>611049.56501635211</v>
      </c>
      <c r="Z61" s="19">
        <f t="shared" si="23"/>
        <v>952176.29737528949</v>
      </c>
      <c r="AA61" s="19">
        <f t="shared" si="24"/>
        <v>1439079.4511845573</v>
      </c>
      <c r="AB61" s="19">
        <f t="shared" si="25"/>
        <v>1569844.0879084144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241</v>
      </c>
    </row>
    <row r="2" spans="1:28" x14ac:dyDescent="0.3">
      <c r="A2" s="2" t="s">
        <v>242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30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31</v>
      </c>
      <c r="B7" t="s">
        <v>243</v>
      </c>
      <c r="C7" s="30">
        <v>1528800</v>
      </c>
      <c r="D7" s="30">
        <v>274877.56073500001</v>
      </c>
      <c r="E7" s="30">
        <v>277227.249878</v>
      </c>
      <c r="F7" s="30">
        <v>281912.378287</v>
      </c>
      <c r="G7" s="30">
        <v>286019.97403300001</v>
      </c>
      <c r="H7" s="30">
        <v>297884.006062</v>
      </c>
      <c r="I7" s="30">
        <v>299958.217</v>
      </c>
      <c r="J7" s="30">
        <v>305514.834646</v>
      </c>
      <c r="K7" s="30">
        <v>310633.40387500002</v>
      </c>
      <c r="L7" s="30">
        <v>322368.63895400002</v>
      </c>
      <c r="M7" s="30">
        <v>327892.98824799998</v>
      </c>
      <c r="N7" s="30">
        <v>399522.505443</v>
      </c>
      <c r="O7" s="30">
        <v>478359.776862</v>
      </c>
      <c r="P7" s="30">
        <v>535397.39179899998</v>
      </c>
      <c r="Q7" s="30">
        <v>571797.05845699995</v>
      </c>
      <c r="R7" s="30">
        <v>594487.692668</v>
      </c>
      <c r="S7" s="30">
        <v>609311.25345299998</v>
      </c>
      <c r="T7" s="30">
        <v>619767.63823499996</v>
      </c>
      <c r="U7" s="30">
        <v>627708.66535899998</v>
      </c>
      <c r="V7" s="30">
        <v>634084.35145700001</v>
      </c>
      <c r="W7" s="30">
        <v>639387.23374399997</v>
      </c>
    </row>
    <row r="8" spans="1:28" x14ac:dyDescent="0.3">
      <c r="A8" t="s">
        <v>33</v>
      </c>
      <c r="B8" t="s">
        <v>243</v>
      </c>
      <c r="C8" s="30">
        <v>244608</v>
      </c>
      <c r="D8" s="30">
        <v>59385.235415000003</v>
      </c>
      <c r="E8" s="30">
        <v>59892.868132000003</v>
      </c>
      <c r="F8" s="30">
        <v>60905.054986000003</v>
      </c>
      <c r="G8" s="30">
        <v>61792.470240000002</v>
      </c>
      <c r="H8" s="30">
        <v>64355.605380000001</v>
      </c>
      <c r="I8" s="30">
        <v>64803.723096000002</v>
      </c>
      <c r="J8" s="30">
        <v>66004.188664000001</v>
      </c>
      <c r="K8" s="30">
        <v>67110.017156999995</v>
      </c>
      <c r="L8" s="30">
        <v>69645.326681000006</v>
      </c>
      <c r="M8" s="30">
        <v>70838.820913999996</v>
      </c>
      <c r="N8" s="30">
        <v>100662.32376699999</v>
      </c>
      <c r="O8" s="30">
        <v>134864.24824399999</v>
      </c>
      <c r="P8" s="30">
        <v>157631.36956699999</v>
      </c>
      <c r="Q8" s="30">
        <v>173422.61433700001</v>
      </c>
      <c r="R8" s="30">
        <v>183266.47807899999</v>
      </c>
      <c r="S8" s="30">
        <v>189697.37424400001</v>
      </c>
      <c r="T8" s="30">
        <v>192198.67666200001</v>
      </c>
      <c r="U8" s="30">
        <v>195643.727526</v>
      </c>
      <c r="V8" s="30">
        <v>198409.68746399999</v>
      </c>
      <c r="W8" s="30">
        <v>200710.233592</v>
      </c>
    </row>
    <row r="9" spans="1:28" x14ac:dyDescent="0.3">
      <c r="A9" t="s">
        <v>34</v>
      </c>
      <c r="B9" t="s">
        <v>243</v>
      </c>
      <c r="C9" s="30">
        <v>1284192</v>
      </c>
      <c r="D9" s="30">
        <v>215492.32532</v>
      </c>
      <c r="E9" s="30">
        <v>217334.38174700001</v>
      </c>
      <c r="F9" s="30">
        <v>221007.323301</v>
      </c>
      <c r="G9" s="30">
        <v>224227.50379300001</v>
      </c>
      <c r="H9" s="30">
        <v>233528.40068200001</v>
      </c>
      <c r="I9" s="30">
        <v>235154.493903</v>
      </c>
      <c r="J9" s="30">
        <v>239510.64598199999</v>
      </c>
      <c r="K9" s="30">
        <v>243523.38671799999</v>
      </c>
      <c r="L9" s="30">
        <v>252723.31227299999</v>
      </c>
      <c r="M9" s="30">
        <v>257054.167334</v>
      </c>
      <c r="N9" s="30">
        <v>298860.181675</v>
      </c>
      <c r="O9" s="30">
        <v>343495.52861799998</v>
      </c>
      <c r="P9" s="30">
        <v>377766.02223200002</v>
      </c>
      <c r="Q9" s="30">
        <v>398374.44412</v>
      </c>
      <c r="R9" s="30">
        <v>411221.21458899998</v>
      </c>
      <c r="S9" s="30">
        <v>419613.87920800003</v>
      </c>
      <c r="T9" s="30">
        <v>427568.961572</v>
      </c>
      <c r="U9" s="30">
        <v>432064.93783299997</v>
      </c>
      <c r="V9" s="30">
        <v>435674.66399299999</v>
      </c>
      <c r="W9" s="30">
        <v>438677.00015199999</v>
      </c>
    </row>
    <row r="10" spans="1:28" x14ac:dyDescent="0.3">
      <c r="A10" t="s">
        <v>35</v>
      </c>
      <c r="B10" t="s">
        <v>243</v>
      </c>
      <c r="C10" s="30">
        <v>183456</v>
      </c>
      <c r="D10" s="30">
        <v>42993.942872</v>
      </c>
      <c r="E10" s="30">
        <v>43361.460687999999</v>
      </c>
      <c r="F10" s="30">
        <v>44094.267478000002</v>
      </c>
      <c r="G10" s="30">
        <v>44736.741663000001</v>
      </c>
      <c r="H10" s="30">
        <v>46592.409742999997</v>
      </c>
      <c r="I10" s="30">
        <v>46916.839669000001</v>
      </c>
      <c r="J10" s="30">
        <v>47785.957180999998</v>
      </c>
      <c r="K10" s="30">
        <v>48586.558991999998</v>
      </c>
      <c r="L10" s="30">
        <v>50422.08178</v>
      </c>
      <c r="M10" s="30">
        <v>51286.152157999997</v>
      </c>
      <c r="N10" s="30">
        <v>68662.936698000005</v>
      </c>
      <c r="O10" s="30">
        <v>88380.872306999998</v>
      </c>
      <c r="P10" s="30">
        <v>101795.746724</v>
      </c>
      <c r="Q10" s="30">
        <v>110899.64225999999</v>
      </c>
      <c r="R10" s="30">
        <v>116574.781141</v>
      </c>
      <c r="S10" s="30">
        <v>120282.29171</v>
      </c>
      <c r="T10" s="30">
        <v>122022.02314799999</v>
      </c>
      <c r="U10" s="30">
        <v>124008.147968</v>
      </c>
      <c r="V10" s="30">
        <v>125602.76642299999</v>
      </c>
      <c r="W10" s="30">
        <v>126929.066656</v>
      </c>
    </row>
    <row r="11" spans="1:28" x14ac:dyDescent="0.3">
      <c r="A11" t="s">
        <v>36</v>
      </c>
      <c r="B11" t="s">
        <v>243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</row>
    <row r="12" spans="1:28" x14ac:dyDescent="0.3">
      <c r="A12" t="s">
        <v>37</v>
      </c>
      <c r="B12" t="s">
        <v>243</v>
      </c>
      <c r="C12" s="30">
        <v>12600</v>
      </c>
      <c r="D12" s="30">
        <v>12600</v>
      </c>
      <c r="E12" s="30">
        <v>12600</v>
      </c>
      <c r="F12" s="30">
        <v>12600</v>
      </c>
      <c r="G12" s="30">
        <v>12600</v>
      </c>
      <c r="H12" s="30">
        <v>12600</v>
      </c>
      <c r="I12" s="30">
        <v>12600</v>
      </c>
      <c r="J12" s="30">
        <v>12600</v>
      </c>
      <c r="K12" s="30">
        <v>12600</v>
      </c>
      <c r="L12" s="30">
        <v>12600</v>
      </c>
      <c r="M12" s="30">
        <v>12600</v>
      </c>
      <c r="N12" s="30">
        <v>12600</v>
      </c>
      <c r="O12" s="30">
        <v>12600</v>
      </c>
      <c r="P12" s="30">
        <v>12600</v>
      </c>
      <c r="Q12" s="30">
        <v>12600</v>
      </c>
      <c r="R12" s="30">
        <v>12600</v>
      </c>
      <c r="S12" s="30">
        <v>12600</v>
      </c>
      <c r="T12" s="30">
        <v>12600</v>
      </c>
      <c r="U12" s="30">
        <v>12600</v>
      </c>
      <c r="V12" s="30">
        <v>12600</v>
      </c>
      <c r="W12" s="30">
        <v>12600</v>
      </c>
    </row>
    <row r="13" spans="1:28" x14ac:dyDescent="0.3">
      <c r="A13" t="s">
        <v>38</v>
      </c>
      <c r="B13" t="s">
        <v>243</v>
      </c>
      <c r="C13" s="30">
        <v>134521.875</v>
      </c>
      <c r="D13" s="30">
        <v>115549</v>
      </c>
      <c r="E13" s="30">
        <v>115549</v>
      </c>
      <c r="F13" s="30">
        <v>115549</v>
      </c>
      <c r="G13" s="30">
        <v>115549</v>
      </c>
      <c r="H13" s="30">
        <v>119016</v>
      </c>
      <c r="I13" s="30">
        <v>119016</v>
      </c>
      <c r="J13" s="30">
        <v>119016</v>
      </c>
      <c r="K13" s="30">
        <v>119016</v>
      </c>
      <c r="L13" s="30">
        <v>122585</v>
      </c>
      <c r="M13" s="30">
        <v>122585</v>
      </c>
      <c r="N13" s="30">
        <v>122585</v>
      </c>
      <c r="O13" s="30">
        <v>122585</v>
      </c>
      <c r="P13" s="30">
        <v>126264</v>
      </c>
      <c r="Q13" s="30">
        <v>126264</v>
      </c>
      <c r="R13" s="30">
        <v>126264</v>
      </c>
      <c r="S13" s="30">
        <v>126264</v>
      </c>
      <c r="T13" s="30">
        <v>130050</v>
      </c>
      <c r="U13" s="30">
        <v>130050</v>
      </c>
      <c r="V13" s="30">
        <v>130050</v>
      </c>
      <c r="W13" s="30">
        <v>130050</v>
      </c>
    </row>
    <row r="14" spans="1:28" x14ac:dyDescent="0.3">
      <c r="A14" t="s">
        <v>39</v>
      </c>
      <c r="B14" t="s">
        <v>243</v>
      </c>
      <c r="C14" s="30">
        <v>700.19039999999995</v>
      </c>
      <c r="D14" s="30">
        <v>42993.942872</v>
      </c>
      <c r="E14" s="30">
        <v>43361.460687999999</v>
      </c>
      <c r="F14" s="30">
        <v>44094.267478000002</v>
      </c>
      <c r="G14" s="30">
        <v>44736.741663000001</v>
      </c>
      <c r="H14" s="30">
        <v>46592.409742999997</v>
      </c>
      <c r="I14" s="30">
        <v>46916.839669000001</v>
      </c>
      <c r="J14" s="30">
        <v>47785.957180999998</v>
      </c>
      <c r="K14" s="30">
        <v>48586.558991999998</v>
      </c>
      <c r="L14" s="30">
        <v>50422.08178</v>
      </c>
      <c r="M14" s="30">
        <v>51286.152157999997</v>
      </c>
      <c r="N14" s="30">
        <v>68662.936698000005</v>
      </c>
      <c r="O14" s="30">
        <v>88380.872306999998</v>
      </c>
      <c r="P14" s="30">
        <v>101795.746724</v>
      </c>
      <c r="Q14" s="30">
        <v>110899.64225999999</v>
      </c>
      <c r="R14" s="30">
        <v>116574.781141</v>
      </c>
      <c r="S14" s="30">
        <v>120282.29171</v>
      </c>
      <c r="T14" s="30">
        <v>122022.02314799999</v>
      </c>
      <c r="U14" s="30">
        <v>124008.147968</v>
      </c>
      <c r="V14" s="30">
        <v>125602.76642299999</v>
      </c>
      <c r="W14" s="30">
        <v>126929.066656</v>
      </c>
    </row>
    <row r="15" spans="1:28" x14ac:dyDescent="0.3">
      <c r="A15" t="s">
        <v>40</v>
      </c>
      <c r="B15" t="s">
        <v>243</v>
      </c>
      <c r="C15" s="30">
        <v>952913.93460000004</v>
      </c>
      <c r="D15" s="30">
        <v>1355.4395770000001</v>
      </c>
      <c r="E15" s="30">
        <v>2462.4603710000001</v>
      </c>
      <c r="F15" s="30">
        <v>4669.7883439999996</v>
      </c>
      <c r="G15" s="30">
        <v>6605.0204659999999</v>
      </c>
      <c r="H15" s="30">
        <v>8727.5811959999992</v>
      </c>
      <c r="I15" s="30">
        <v>9704.8145659999991</v>
      </c>
      <c r="J15" s="30">
        <v>12322.731621000001</v>
      </c>
      <c r="K15" s="30">
        <v>14734.268735</v>
      </c>
      <c r="L15" s="30">
        <v>16694.148713999999</v>
      </c>
      <c r="M15" s="30">
        <v>19296.863018</v>
      </c>
      <c r="N15" s="30">
        <v>26349.308279000001</v>
      </c>
      <c r="O15" s="30">
        <v>31548.784004000001</v>
      </c>
      <c r="P15" s="30">
        <v>35310.528784000002</v>
      </c>
      <c r="Q15" s="30">
        <v>37711.159599999999</v>
      </c>
      <c r="R15" s="30">
        <v>39207.652306999997</v>
      </c>
      <c r="S15" s="30">
        <v>40185.295788000003</v>
      </c>
      <c r="T15" s="30">
        <v>40874.915277</v>
      </c>
      <c r="U15" s="30">
        <v>41398.641898000002</v>
      </c>
      <c r="V15" s="30">
        <v>41819.131147</v>
      </c>
      <c r="W15" s="30">
        <v>42168.866840000002</v>
      </c>
    </row>
    <row r="16" spans="1:28" x14ac:dyDescent="0.3">
      <c r="A16" t="s">
        <v>41</v>
      </c>
      <c r="B16" t="s">
        <v>243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</row>
    <row r="17" spans="1:28" x14ac:dyDescent="0.3">
      <c r="A17" t="s">
        <v>42</v>
      </c>
      <c r="B17" t="s">
        <v>243</v>
      </c>
      <c r="C17" s="30">
        <v>0</v>
      </c>
      <c r="D17" s="30">
        <v>10</v>
      </c>
      <c r="E17" s="30">
        <v>20.05481</v>
      </c>
      <c r="F17" s="30">
        <v>30.157059</v>
      </c>
      <c r="G17" s="30">
        <v>40.258794000000002</v>
      </c>
      <c r="H17" s="30">
        <v>50.433553000000003</v>
      </c>
      <c r="I17" s="30">
        <v>60.674335999999997</v>
      </c>
      <c r="J17" s="30">
        <v>70.933036000000001</v>
      </c>
      <c r="K17" s="30">
        <v>81.202129999999997</v>
      </c>
      <c r="L17" s="30">
        <v>91.515361999999996</v>
      </c>
      <c r="M17" s="30">
        <v>101.865481</v>
      </c>
      <c r="N17" s="30">
        <v>112.245161</v>
      </c>
      <c r="O17" s="30">
        <v>122.605439</v>
      </c>
      <c r="P17" s="30">
        <v>133.02207200000001</v>
      </c>
      <c r="Q17" s="30">
        <v>143.487717</v>
      </c>
      <c r="R17" s="30">
        <v>153.91128900000001</v>
      </c>
      <c r="S17" s="30">
        <v>164.368887</v>
      </c>
      <c r="T17" s="30">
        <v>174.852903</v>
      </c>
      <c r="U17" s="30">
        <v>185.355614</v>
      </c>
      <c r="V17" s="30">
        <v>195.827236</v>
      </c>
      <c r="W17" s="30">
        <v>206.34396100000001</v>
      </c>
    </row>
    <row r="18" spans="1:28" x14ac:dyDescent="0.3">
      <c r="A18" t="s">
        <v>43</v>
      </c>
      <c r="B18" t="s">
        <v>243</v>
      </c>
      <c r="C18" s="30">
        <v>195324.48665899999</v>
      </c>
      <c r="D18" s="30">
        <v>275.78282300000001</v>
      </c>
      <c r="E18" s="30">
        <v>500.634522</v>
      </c>
      <c r="F18" s="30">
        <v>951.01306199999999</v>
      </c>
      <c r="G18" s="30">
        <v>1345.618588</v>
      </c>
      <c r="H18" s="30">
        <v>1778.607015</v>
      </c>
      <c r="I18" s="30">
        <v>1976.817288</v>
      </c>
      <c r="J18" s="30">
        <v>2511.3246669999999</v>
      </c>
      <c r="K18" s="30">
        <v>3003.5269800000001</v>
      </c>
      <c r="L18" s="30">
        <v>3403.1413739999998</v>
      </c>
      <c r="M18" s="30">
        <v>3934.5138149999998</v>
      </c>
      <c r="N18" s="30">
        <v>5377.9682499999999</v>
      </c>
      <c r="O18" s="30">
        <v>6441.6123779999998</v>
      </c>
      <c r="P18" s="30">
        <v>7210.5446160000001</v>
      </c>
      <c r="Q18" s="30">
        <v>7700.4711120000002</v>
      </c>
      <c r="R18" s="30">
        <v>8005.0796190000001</v>
      </c>
      <c r="S18" s="30">
        <v>8203.3295120000002</v>
      </c>
      <c r="T18" s="30">
        <v>8342.5359850000004</v>
      </c>
      <c r="U18" s="30">
        <v>8447.7345690000002</v>
      </c>
      <c r="V18" s="30">
        <v>8531.7783429999999</v>
      </c>
      <c r="W18" s="30">
        <v>8601.3100900000009</v>
      </c>
    </row>
    <row r="19" spans="1:28" x14ac:dyDescent="0.3">
      <c r="A19" t="s">
        <v>44</v>
      </c>
      <c r="B19" t="s">
        <v>243</v>
      </c>
      <c r="C19" s="30">
        <v>757589.44794099999</v>
      </c>
      <c r="D19" s="30">
        <v>1069.6567540000001</v>
      </c>
      <c r="E19" s="30">
        <v>1941.771039</v>
      </c>
      <c r="F19" s="30">
        <v>3688.6182229999999</v>
      </c>
      <c r="G19" s="30">
        <v>5219.1430829999999</v>
      </c>
      <c r="H19" s="30">
        <v>6898.5406279999997</v>
      </c>
      <c r="I19" s="30">
        <v>7667.3229430000001</v>
      </c>
      <c r="J19" s="30">
        <v>9740.473919</v>
      </c>
      <c r="K19" s="30">
        <v>11649.539624999999</v>
      </c>
      <c r="L19" s="30">
        <v>13199.491978</v>
      </c>
      <c r="M19" s="30">
        <v>15260.483722000001</v>
      </c>
      <c r="N19" s="30">
        <v>20859.094868</v>
      </c>
      <c r="O19" s="30">
        <v>24984.566187</v>
      </c>
      <c r="P19" s="30">
        <v>27966.962095999999</v>
      </c>
      <c r="Q19" s="30">
        <v>29867.200771</v>
      </c>
      <c r="R19" s="30">
        <v>31048.661399000001</v>
      </c>
      <c r="S19" s="30">
        <v>31817.597387999998</v>
      </c>
      <c r="T19" s="30">
        <v>32357.526388999999</v>
      </c>
      <c r="U19" s="30">
        <v>32765.551714000001</v>
      </c>
      <c r="V19" s="30">
        <v>33091.525568999998</v>
      </c>
      <c r="W19" s="30">
        <v>33361.212788999997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t="s">
        <v>46</v>
      </c>
      <c r="B23" t="s">
        <v>243</v>
      </c>
      <c r="C23" s="30">
        <v>80000</v>
      </c>
      <c r="D23" s="30">
        <v>136761.33725800001</v>
      </c>
      <c r="E23" s="30">
        <v>137382.30983499999</v>
      </c>
      <c r="F23" s="30">
        <v>138620.68675600001</v>
      </c>
      <c r="G23" s="30">
        <v>139707.42170100001</v>
      </c>
      <c r="H23" s="30">
        <v>144853.929091</v>
      </c>
      <c r="I23" s="30">
        <v>148603.24677999999</v>
      </c>
      <c r="J23" s="30">
        <v>151993.79874200001</v>
      </c>
      <c r="K23" s="30">
        <v>165575.21050799999</v>
      </c>
      <c r="L23" s="30">
        <v>202351.56989899999</v>
      </c>
      <c r="M23" s="30">
        <v>205730.31697099999</v>
      </c>
      <c r="N23" s="30">
        <v>248782.45041799999</v>
      </c>
      <c r="O23" s="30">
        <v>295275.85360199999</v>
      </c>
      <c r="P23" s="30">
        <v>333373.68196199997</v>
      </c>
      <c r="Q23" s="30">
        <v>356058.24526599998</v>
      </c>
      <c r="R23" s="30">
        <v>370186.028865</v>
      </c>
      <c r="S23" s="30">
        <v>379417.88651099999</v>
      </c>
      <c r="T23" s="30">
        <v>385928.42592800001</v>
      </c>
      <c r="U23" s="30">
        <v>390873.81367599999</v>
      </c>
      <c r="V23" s="30">
        <v>394843.709936</v>
      </c>
      <c r="W23" s="30">
        <v>398145.53418000002</v>
      </c>
    </row>
    <row r="24" spans="1:28" x14ac:dyDescent="0.3">
      <c r="A24" t="s">
        <v>47</v>
      </c>
      <c r="B24" t="s">
        <v>243</v>
      </c>
      <c r="C24" s="30">
        <v>12000</v>
      </c>
      <c r="D24" s="30">
        <v>89633.987196000002</v>
      </c>
      <c r="E24" s="30">
        <v>123300.36005800001</v>
      </c>
      <c r="F24" s="30">
        <v>128170.44477099999</v>
      </c>
      <c r="G24" s="30">
        <v>128608.95990099999</v>
      </c>
      <c r="H24" s="30">
        <v>132487.716193</v>
      </c>
      <c r="I24" s="30">
        <v>133410.24799900001</v>
      </c>
      <c r="J24" s="30">
        <v>137374.82933099999</v>
      </c>
      <c r="K24" s="30">
        <v>139676.395391</v>
      </c>
      <c r="L24" s="30">
        <v>143377.56938299999</v>
      </c>
      <c r="M24" s="30">
        <v>145834.59428700001</v>
      </c>
      <c r="N24" s="30">
        <v>181641.46437900001</v>
      </c>
      <c r="O24" s="30">
        <v>215094.60508400001</v>
      </c>
      <c r="P24" s="30">
        <v>238124.82795899999</v>
      </c>
      <c r="Q24" s="30">
        <v>254314.04459199999</v>
      </c>
      <c r="R24" s="30">
        <v>270281.68271099997</v>
      </c>
      <c r="S24" s="30">
        <v>273976.97250799998</v>
      </c>
      <c r="T24" s="30">
        <v>275649.57261500001</v>
      </c>
      <c r="U24" s="30">
        <v>279181.44585000002</v>
      </c>
      <c r="V24" s="30">
        <v>288284.16064100002</v>
      </c>
      <c r="W24" s="30">
        <v>287500.64530899998</v>
      </c>
    </row>
    <row r="25" spans="1:28" x14ac:dyDescent="0.3">
      <c r="A25" t="s">
        <v>48</v>
      </c>
      <c r="B25" t="s">
        <v>243</v>
      </c>
      <c r="C25" s="30">
        <v>0</v>
      </c>
      <c r="D25" s="30">
        <v>56376.286232999999</v>
      </c>
      <c r="E25" s="30">
        <v>24975.190600999998</v>
      </c>
      <c r="F25" s="30">
        <v>24529.162382999999</v>
      </c>
      <c r="G25" s="30">
        <v>29330.263857000002</v>
      </c>
      <c r="H25" s="30">
        <v>35039.783901000003</v>
      </c>
      <c r="I25" s="30">
        <v>38037.809648000002</v>
      </c>
      <c r="J25" s="30">
        <v>39830.581606</v>
      </c>
      <c r="K25" s="30">
        <v>43255.269663999999</v>
      </c>
      <c r="L25" s="30">
        <v>49206.940372999998</v>
      </c>
      <c r="M25" s="30">
        <v>52723.131473000001</v>
      </c>
      <c r="N25" s="30">
        <v>64714.322622</v>
      </c>
      <c r="O25" s="30">
        <v>84801.595950000003</v>
      </c>
      <c r="P25" s="30">
        <v>102962.19255000001</v>
      </c>
      <c r="Q25" s="30">
        <v>115288.56039899999</v>
      </c>
      <c r="R25" s="30">
        <v>118578.778989</v>
      </c>
      <c r="S25" s="30">
        <v>130403.128153</v>
      </c>
      <c r="T25" s="30">
        <v>140784.160195</v>
      </c>
      <c r="U25" s="30">
        <v>147788.912384</v>
      </c>
      <c r="V25" s="30">
        <v>148440.17019899999</v>
      </c>
      <c r="W25" s="30">
        <v>158065.46259700001</v>
      </c>
    </row>
    <row r="26" spans="1:28" x14ac:dyDescent="0.3">
      <c r="A26" t="s">
        <v>50</v>
      </c>
      <c r="B26" t="s">
        <v>243</v>
      </c>
      <c r="C26" s="30">
        <v>92000</v>
      </c>
      <c r="D26" s="30">
        <v>288269.16190200002</v>
      </c>
      <c r="E26" s="30">
        <v>293494.79762000003</v>
      </c>
      <c r="F26" s="30">
        <v>299289.67493199999</v>
      </c>
      <c r="G26" s="30">
        <v>305732.14410400001</v>
      </c>
      <c r="H26" s="30">
        <v>320802.31215200003</v>
      </c>
      <c r="I26" s="30">
        <v>328530.823263</v>
      </c>
      <c r="J26" s="30">
        <v>337835.80853899999</v>
      </c>
      <c r="K26" s="30">
        <v>357413.66715200001</v>
      </c>
      <c r="L26" s="30">
        <v>404614.87567099999</v>
      </c>
      <c r="M26" s="30">
        <v>414478.95680500002</v>
      </c>
      <c r="N26" s="30">
        <v>506432.339125</v>
      </c>
      <c r="O26" s="30">
        <v>608694.80716800003</v>
      </c>
      <c r="P26" s="30">
        <v>689595.85133900004</v>
      </c>
      <c r="Q26" s="30">
        <v>741824.981302</v>
      </c>
      <c r="R26" s="30">
        <v>775852.06314900005</v>
      </c>
      <c r="S26" s="30">
        <v>801385.14719199995</v>
      </c>
      <c r="T26" s="30">
        <v>821236.562393</v>
      </c>
      <c r="U26" s="30">
        <v>837557.36254600005</v>
      </c>
      <c r="V26" s="30">
        <v>851298.20945600001</v>
      </c>
      <c r="W26" s="30">
        <v>864719.34903899999</v>
      </c>
    </row>
    <row r="27" spans="1:28" x14ac:dyDescent="0.3">
      <c r="A27" t="s">
        <v>51</v>
      </c>
      <c r="B27" t="s">
        <v>243</v>
      </c>
      <c r="C27" s="30">
        <v>40000</v>
      </c>
      <c r="D27" s="30">
        <v>40190</v>
      </c>
      <c r="E27" s="30">
        <v>40370.895190000003</v>
      </c>
      <c r="F27" s="30">
        <v>40542.592606999999</v>
      </c>
      <c r="G27" s="30">
        <v>40705.046776000003</v>
      </c>
      <c r="H27" s="30">
        <v>40858.138457000001</v>
      </c>
      <c r="I27" s="30">
        <v>41001.754813</v>
      </c>
      <c r="J27" s="30">
        <v>41135.830550999999</v>
      </c>
      <c r="K27" s="30">
        <v>41260.307574999999</v>
      </c>
      <c r="L27" s="30">
        <v>41375.093751</v>
      </c>
      <c r="M27" s="30">
        <v>41480.103738999998</v>
      </c>
      <c r="N27" s="30">
        <v>41575.259097000002</v>
      </c>
      <c r="O27" s="30">
        <v>41660.529952999997</v>
      </c>
      <c r="P27" s="30">
        <v>41735.810531000003</v>
      </c>
      <c r="Q27" s="30">
        <v>41801.001866999999</v>
      </c>
      <c r="R27" s="30">
        <v>41856.095587999996</v>
      </c>
      <c r="S27" s="30">
        <v>41901.007178</v>
      </c>
      <c r="T27" s="30">
        <v>41935.659311000003</v>
      </c>
      <c r="U27" s="30">
        <v>41959.981994000002</v>
      </c>
      <c r="V27" s="30">
        <v>41973.954667999998</v>
      </c>
      <c r="W27" s="30">
        <v>41977.480479999998</v>
      </c>
    </row>
    <row r="28" spans="1:28" x14ac:dyDescent="0.3">
      <c r="A28" t="s">
        <v>53</v>
      </c>
      <c r="B28" t="s">
        <v>243</v>
      </c>
      <c r="C28" s="30">
        <v>0</v>
      </c>
      <c r="D28" s="30">
        <v>-10</v>
      </c>
      <c r="E28" s="30">
        <v>-30.05481</v>
      </c>
      <c r="F28" s="30">
        <v>-60.211869</v>
      </c>
      <c r="G28" s="30">
        <v>-100.470663</v>
      </c>
      <c r="H28" s="30">
        <v>-150.90421599999999</v>
      </c>
      <c r="I28" s="30">
        <v>-211.578552</v>
      </c>
      <c r="J28" s="30">
        <v>-282.51158800000002</v>
      </c>
      <c r="K28" s="30">
        <v>-363.71371699999997</v>
      </c>
      <c r="L28" s="30">
        <v>-455.22907900000001</v>
      </c>
      <c r="M28" s="30">
        <v>-557.09456</v>
      </c>
      <c r="N28" s="30">
        <v>-669.33972100000005</v>
      </c>
      <c r="O28" s="30">
        <v>-791.94515999999999</v>
      </c>
      <c r="P28" s="30">
        <v>-924.96723199999997</v>
      </c>
      <c r="Q28" s="30">
        <v>-1068.4549489999999</v>
      </c>
      <c r="R28" s="30">
        <v>-1222.366237</v>
      </c>
      <c r="S28" s="30">
        <v>-1386.7351249999999</v>
      </c>
      <c r="T28" s="30">
        <v>-1561.5880279999999</v>
      </c>
      <c r="U28" s="30">
        <v>-1746.943642</v>
      </c>
      <c r="V28" s="30">
        <v>-1942.770878</v>
      </c>
      <c r="W28" s="30">
        <v>-2149.1148389999998</v>
      </c>
    </row>
    <row r="29" spans="1:28" x14ac:dyDescent="0.3">
      <c r="A29" t="s">
        <v>54</v>
      </c>
      <c r="B29" t="s">
        <v>243</v>
      </c>
      <c r="C29" s="30">
        <v>132000</v>
      </c>
      <c r="D29" s="30">
        <v>328459.16190200002</v>
      </c>
      <c r="E29" s="30">
        <v>333865.69280999998</v>
      </c>
      <c r="F29" s="30">
        <v>339832.26753900002</v>
      </c>
      <c r="G29" s="30">
        <v>346437.19088000001</v>
      </c>
      <c r="H29" s="30">
        <v>361660.45060899999</v>
      </c>
      <c r="I29" s="30">
        <v>369532.57807699998</v>
      </c>
      <c r="J29" s="30">
        <v>378971.63909100002</v>
      </c>
      <c r="K29" s="30">
        <v>398673.97472699999</v>
      </c>
      <c r="L29" s="30">
        <v>445989.96942199999</v>
      </c>
      <c r="M29" s="30">
        <v>455959.06054400001</v>
      </c>
      <c r="N29" s="30">
        <v>548007.59822199994</v>
      </c>
      <c r="O29" s="30">
        <v>650355.33712100005</v>
      </c>
      <c r="P29" s="30">
        <v>731331.66186999995</v>
      </c>
      <c r="Q29" s="30">
        <v>783625.98317000002</v>
      </c>
      <c r="R29" s="30">
        <v>817708.15873599995</v>
      </c>
      <c r="S29" s="30">
        <v>843286.15437</v>
      </c>
      <c r="T29" s="30">
        <v>863172.22170400003</v>
      </c>
      <c r="U29" s="30">
        <v>879517.34453999996</v>
      </c>
      <c r="V29" s="30">
        <v>893272.164124</v>
      </c>
      <c r="W29" s="30">
        <v>906696.82951800001</v>
      </c>
    </row>
    <row r="30" spans="1:28" x14ac:dyDescent="0.3">
      <c r="A30" t="s">
        <v>55</v>
      </c>
      <c r="B30" t="s">
        <v>243</v>
      </c>
      <c r="C30" s="30">
        <v>0</v>
      </c>
      <c r="D30" s="30">
        <v>97059.871037999997</v>
      </c>
      <c r="E30" s="30">
        <v>106371.41512200001</v>
      </c>
      <c r="F30" s="30">
        <v>104616.942637</v>
      </c>
      <c r="G30" s="30">
        <v>103566.582861</v>
      </c>
      <c r="H30" s="30">
        <v>109379.84665399999</v>
      </c>
      <c r="I30" s="30">
        <v>109482.08175500001</v>
      </c>
      <c r="J30" s="30">
        <v>109503.24404999999</v>
      </c>
      <c r="K30" s="30">
        <v>115068.64967300001</v>
      </c>
      <c r="L30" s="30">
        <v>138856.40332499999</v>
      </c>
      <c r="M30" s="30">
        <v>154462.78776400001</v>
      </c>
      <c r="N30" s="30">
        <v>218618.43574099999</v>
      </c>
      <c r="O30" s="30">
        <v>270295.279331</v>
      </c>
      <c r="P30" s="30">
        <v>305426.019172</v>
      </c>
      <c r="Q30" s="30">
        <v>333170.49469800002</v>
      </c>
      <c r="R30" s="30">
        <v>351292.348994</v>
      </c>
      <c r="S30" s="30">
        <v>354357.05172699998</v>
      </c>
      <c r="T30" s="30">
        <v>357216.97281299997</v>
      </c>
      <c r="U30" s="30">
        <v>360886.42416699999</v>
      </c>
      <c r="V30" s="30">
        <v>371917.71840000001</v>
      </c>
      <c r="W30" s="30">
        <v>370308.03488699999</v>
      </c>
    </row>
    <row r="31" spans="1:28" x14ac:dyDescent="0.3">
      <c r="A31" t="s">
        <v>205</v>
      </c>
      <c r="B31" t="s">
        <v>243</v>
      </c>
      <c r="C31" s="30">
        <v>0</v>
      </c>
      <c r="D31" s="30">
        <v>5497.5512150000004</v>
      </c>
      <c r="E31" s="30">
        <v>7836.9371270000001</v>
      </c>
      <c r="F31" s="30">
        <v>7969.3810219999996</v>
      </c>
      <c r="G31" s="30">
        <v>8085.498646</v>
      </c>
      <c r="H31" s="30">
        <v>8420.8829669999996</v>
      </c>
      <c r="I31" s="30">
        <v>8479.5188359999993</v>
      </c>
      <c r="J31" s="30">
        <v>8636.5988610000004</v>
      </c>
      <c r="K31" s="30">
        <v>8906.7915890000004</v>
      </c>
      <c r="L31" s="30">
        <v>9678.7960160000002</v>
      </c>
      <c r="M31" s="30">
        <v>10190.914075000001</v>
      </c>
      <c r="N31" s="30">
        <v>11294.101705999999</v>
      </c>
      <c r="O31" s="30">
        <v>13522.752532</v>
      </c>
      <c r="P31" s="30">
        <v>15135.148869000001</v>
      </c>
      <c r="Q31" s="30">
        <v>16164.131046</v>
      </c>
      <c r="R31" s="30">
        <v>16805.572584000001</v>
      </c>
      <c r="S31" s="30">
        <v>17587.160019999999</v>
      </c>
      <c r="T31" s="30">
        <v>18874.403654999998</v>
      </c>
      <c r="U31" s="30">
        <v>19713.190635999999</v>
      </c>
      <c r="V31" s="30">
        <v>19730.168679999999</v>
      </c>
      <c r="W31" s="30">
        <v>21007.706952</v>
      </c>
    </row>
    <row r="32" spans="1:28" x14ac:dyDescent="0.3">
      <c r="A32" t="s">
        <v>56</v>
      </c>
      <c r="B32" t="s">
        <v>243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</row>
    <row r="33" spans="1:28" x14ac:dyDescent="0.3">
      <c r="A33" t="s">
        <v>206</v>
      </c>
      <c r="B33" t="s">
        <v>243</v>
      </c>
      <c r="C33" s="30">
        <v>0</v>
      </c>
      <c r="D33" s="30">
        <v>41231.634109999999</v>
      </c>
      <c r="E33" s="30">
        <v>29953.849894999999</v>
      </c>
      <c r="F33" s="30">
        <v>25974.278886</v>
      </c>
      <c r="G33" s="30">
        <v>25788.418919</v>
      </c>
      <c r="H33" s="30">
        <v>28299.874228000001</v>
      </c>
      <c r="I33" s="30">
        <v>28402.443651000001</v>
      </c>
      <c r="J33" s="30">
        <v>28079.868451999999</v>
      </c>
      <c r="K33" s="30">
        <v>30567.258841999999</v>
      </c>
      <c r="L33" s="30">
        <v>40896.007905999999</v>
      </c>
      <c r="M33" s="30">
        <v>47901.230866999998</v>
      </c>
      <c r="N33" s="30">
        <v>75282.025701000006</v>
      </c>
      <c r="O33" s="30">
        <v>100968.35482199999</v>
      </c>
      <c r="P33" s="30">
        <v>118846.977634</v>
      </c>
      <c r="Q33" s="30">
        <v>132642.62263599999</v>
      </c>
      <c r="R33" s="30">
        <v>137906.282507</v>
      </c>
      <c r="S33" s="30">
        <v>141344.97802000001</v>
      </c>
      <c r="T33" s="30">
        <v>143770.59787900001</v>
      </c>
      <c r="U33" s="30">
        <v>145612.71764700001</v>
      </c>
      <c r="V33" s="30">
        <v>147091.71742900001</v>
      </c>
      <c r="W33" s="30">
        <v>148321.85354800001</v>
      </c>
    </row>
    <row r="34" spans="1:28" x14ac:dyDescent="0.3">
      <c r="A34" t="s">
        <v>244</v>
      </c>
      <c r="B34" t="s">
        <v>243</v>
      </c>
      <c r="C34" s="30">
        <v>0</v>
      </c>
      <c r="D34" s="30">
        <v>138291.505148</v>
      </c>
      <c r="E34" s="30">
        <v>136325.265017</v>
      </c>
      <c r="F34" s="30">
        <v>130591.221523</v>
      </c>
      <c r="G34" s="30">
        <v>129355.00178000001</v>
      </c>
      <c r="H34" s="30">
        <v>137679.72088199999</v>
      </c>
      <c r="I34" s="30">
        <v>137884.52540700001</v>
      </c>
      <c r="J34" s="30">
        <v>137583.112502</v>
      </c>
      <c r="K34" s="30">
        <v>145635.90851400001</v>
      </c>
      <c r="L34" s="30">
        <v>179752.41123100001</v>
      </c>
      <c r="M34" s="30">
        <v>202364.01863100001</v>
      </c>
      <c r="N34" s="30">
        <v>293900.46144099999</v>
      </c>
      <c r="O34" s="30">
        <v>371263.63415200001</v>
      </c>
      <c r="P34" s="30">
        <v>424272.99680600001</v>
      </c>
      <c r="Q34" s="30">
        <v>465813.11733400001</v>
      </c>
      <c r="R34" s="30">
        <v>489198.63150100003</v>
      </c>
      <c r="S34" s="30">
        <v>495702.02974700002</v>
      </c>
      <c r="T34" s="30">
        <v>500987.57069199998</v>
      </c>
      <c r="U34" s="30">
        <v>506499.14181399997</v>
      </c>
      <c r="V34" s="30">
        <v>519009.43582900002</v>
      </c>
      <c r="W34" s="30">
        <v>518629.88843400002</v>
      </c>
    </row>
    <row r="35" spans="1:28" x14ac:dyDescent="0.3">
      <c r="A35" t="s">
        <v>59</v>
      </c>
      <c r="B35" t="s">
        <v>243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243</v>
      </c>
      <c r="C36" s="30">
        <v>0</v>
      </c>
      <c r="D36" s="30">
        <v>138291.505148</v>
      </c>
      <c r="E36" s="30">
        <v>136325.265017</v>
      </c>
      <c r="F36" s="30">
        <v>130591.221523</v>
      </c>
      <c r="G36" s="30">
        <v>129355.00178000001</v>
      </c>
      <c r="H36" s="30">
        <v>137679.72088199999</v>
      </c>
      <c r="I36" s="30">
        <v>137884.52540700001</v>
      </c>
      <c r="J36" s="30">
        <v>137583.112502</v>
      </c>
      <c r="K36" s="30">
        <v>145635.90851400001</v>
      </c>
      <c r="L36" s="30">
        <v>179752.41123100001</v>
      </c>
      <c r="M36" s="30">
        <v>202364.01863100001</v>
      </c>
      <c r="N36" s="30">
        <v>293900.46144099999</v>
      </c>
      <c r="O36" s="30">
        <v>371263.63415200001</v>
      </c>
      <c r="P36" s="30">
        <v>424272.99680600001</v>
      </c>
      <c r="Q36" s="30">
        <v>465813.11733400001</v>
      </c>
      <c r="R36" s="30">
        <v>489198.63150100003</v>
      </c>
      <c r="S36" s="30">
        <v>495702.02974700002</v>
      </c>
      <c r="T36" s="30">
        <v>500987.57069199998</v>
      </c>
      <c r="U36" s="30">
        <v>506499.14181399997</v>
      </c>
      <c r="V36" s="30">
        <v>519009.43582900002</v>
      </c>
      <c r="W36" s="30">
        <v>518629.88843400002</v>
      </c>
    </row>
    <row r="37" spans="1:28" x14ac:dyDescent="0.3">
      <c r="A37" t="s">
        <v>62</v>
      </c>
      <c r="B37" t="s">
        <v>243</v>
      </c>
      <c r="C37" s="30">
        <v>100000</v>
      </c>
      <c r="D37" s="30">
        <v>157098</v>
      </c>
      <c r="E37" s="30">
        <v>162529</v>
      </c>
      <c r="F37" s="30">
        <v>170541</v>
      </c>
      <c r="G37" s="30">
        <v>173163</v>
      </c>
      <c r="H37" s="30">
        <v>173163</v>
      </c>
      <c r="I37" s="30">
        <v>173163</v>
      </c>
      <c r="J37" s="30">
        <v>173163</v>
      </c>
      <c r="K37" s="30">
        <v>173163</v>
      </c>
      <c r="L37" s="30">
        <v>173163</v>
      </c>
      <c r="M37" s="30">
        <v>173163</v>
      </c>
      <c r="N37" s="30">
        <v>173163</v>
      </c>
      <c r="O37" s="30">
        <v>173163</v>
      </c>
      <c r="P37" s="30">
        <v>173163</v>
      </c>
      <c r="Q37" s="30">
        <v>173163</v>
      </c>
      <c r="R37" s="30">
        <v>173163</v>
      </c>
      <c r="S37" s="30">
        <v>173163</v>
      </c>
      <c r="T37" s="30">
        <v>173163</v>
      </c>
      <c r="U37" s="30">
        <v>173163</v>
      </c>
      <c r="V37" s="30">
        <v>173163</v>
      </c>
      <c r="W37" s="30">
        <v>173163</v>
      </c>
    </row>
    <row r="38" spans="1:28" x14ac:dyDescent="0.3">
      <c r="A38" t="s">
        <v>63</v>
      </c>
      <c r="B38" t="s">
        <v>243</v>
      </c>
      <c r="C38" s="30">
        <v>32000</v>
      </c>
      <c r="D38" s="30">
        <v>33069.656754000003</v>
      </c>
      <c r="E38" s="30">
        <v>35011.427793000003</v>
      </c>
      <c r="F38" s="30">
        <v>38700.046017000001</v>
      </c>
      <c r="G38" s="30">
        <v>43919.189100000003</v>
      </c>
      <c r="H38" s="30">
        <v>50817.729726999998</v>
      </c>
      <c r="I38" s="30">
        <v>58485.052669999997</v>
      </c>
      <c r="J38" s="30">
        <v>68225.526589000001</v>
      </c>
      <c r="K38" s="30">
        <v>79875.066212999998</v>
      </c>
      <c r="L38" s="30">
        <v>93074.558191000004</v>
      </c>
      <c r="M38" s="30">
        <v>80432.041912999994</v>
      </c>
      <c r="N38" s="30">
        <v>80944.136780999994</v>
      </c>
      <c r="O38" s="30">
        <v>105928.70296900001</v>
      </c>
      <c r="P38" s="30">
        <v>133895.66506500001</v>
      </c>
      <c r="Q38" s="30">
        <v>144649.86583600001</v>
      </c>
      <c r="R38" s="30">
        <v>155346.52723499999</v>
      </c>
      <c r="S38" s="30">
        <v>174421.12462300001</v>
      </c>
      <c r="T38" s="30">
        <v>189021.65101199999</v>
      </c>
      <c r="U38" s="30">
        <v>199855.20272599999</v>
      </c>
      <c r="V38" s="30">
        <v>201099.72829500001</v>
      </c>
      <c r="W38" s="30">
        <v>214903.94108399999</v>
      </c>
    </row>
    <row r="39" spans="1:28" x14ac:dyDescent="0.3">
      <c r="A39" t="s">
        <v>64</v>
      </c>
      <c r="B39" t="s">
        <v>243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243</v>
      </c>
      <c r="C40" s="30">
        <v>132000</v>
      </c>
      <c r="D40" s="30">
        <v>190167.656754</v>
      </c>
      <c r="E40" s="30">
        <v>197540.42779300001</v>
      </c>
      <c r="F40" s="30">
        <v>209241.04601699999</v>
      </c>
      <c r="G40" s="30">
        <v>217082.18909999999</v>
      </c>
      <c r="H40" s="30">
        <v>223980.729727</v>
      </c>
      <c r="I40" s="30">
        <v>231648.05267</v>
      </c>
      <c r="J40" s="30">
        <v>241388.52658899999</v>
      </c>
      <c r="K40" s="30">
        <v>253038.06621300001</v>
      </c>
      <c r="L40" s="30">
        <v>266237.55819100002</v>
      </c>
      <c r="M40" s="30">
        <v>253595.04191299999</v>
      </c>
      <c r="N40" s="30">
        <v>254107.13678100001</v>
      </c>
      <c r="O40" s="30">
        <v>279091.70296899998</v>
      </c>
      <c r="P40" s="30">
        <v>307058.66506500001</v>
      </c>
      <c r="Q40" s="30">
        <v>317812.86583600001</v>
      </c>
      <c r="R40" s="30">
        <v>328509.52723499999</v>
      </c>
      <c r="S40" s="30">
        <v>347584.12462299998</v>
      </c>
      <c r="T40" s="30">
        <v>362184.65101199999</v>
      </c>
      <c r="U40" s="30">
        <v>373018.20272599999</v>
      </c>
      <c r="V40" s="30">
        <v>374262.72829499998</v>
      </c>
      <c r="W40" s="30">
        <v>388066.94108399999</v>
      </c>
    </row>
    <row r="41" spans="1:28" x14ac:dyDescent="0.3">
      <c r="A41" t="s">
        <v>66</v>
      </c>
      <c r="B41" t="s">
        <v>243</v>
      </c>
      <c r="C41" s="30">
        <v>132000</v>
      </c>
      <c r="D41" s="30">
        <v>328459.16190200002</v>
      </c>
      <c r="E41" s="30">
        <v>333865.69280999998</v>
      </c>
      <c r="F41" s="30">
        <v>339832.26753900002</v>
      </c>
      <c r="G41" s="30">
        <v>346437.19088000001</v>
      </c>
      <c r="H41" s="30">
        <v>361660.45060899999</v>
      </c>
      <c r="I41" s="30">
        <v>369532.57807699998</v>
      </c>
      <c r="J41" s="30">
        <v>378971.63909100002</v>
      </c>
      <c r="K41" s="30">
        <v>398673.97472699999</v>
      </c>
      <c r="L41" s="30">
        <v>445989.96942199999</v>
      </c>
      <c r="M41" s="30">
        <v>455959.06054400001</v>
      </c>
      <c r="N41" s="30">
        <v>548007.59822199994</v>
      </c>
      <c r="O41" s="30">
        <v>650355.33712100005</v>
      </c>
      <c r="P41" s="30">
        <v>731331.66186999995</v>
      </c>
      <c r="Q41" s="30">
        <v>783625.98317000002</v>
      </c>
      <c r="R41" s="30">
        <v>817708.15873599995</v>
      </c>
      <c r="S41" s="30">
        <v>843286.15437</v>
      </c>
      <c r="T41" s="30">
        <v>863172.22170400003</v>
      </c>
      <c r="U41" s="30">
        <v>879517.34453999996</v>
      </c>
      <c r="V41" s="30">
        <v>893272.164124</v>
      </c>
      <c r="W41" s="30">
        <v>906696.82951800001</v>
      </c>
    </row>
    <row r="44" spans="1:28" x14ac:dyDescent="0.3">
      <c r="A44" s="51" t="s">
        <v>67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 spans="1:28" x14ac:dyDescent="0.3">
      <c r="A45" t="s">
        <v>68</v>
      </c>
      <c r="B45" t="s">
        <v>243</v>
      </c>
      <c r="C45" s="30">
        <v>80000</v>
      </c>
      <c r="D45" s="30">
        <v>80000</v>
      </c>
      <c r="E45" s="30">
        <v>136761.33725800001</v>
      </c>
      <c r="F45" s="30">
        <v>137382.30983499999</v>
      </c>
      <c r="G45" s="30">
        <v>138620.68675600001</v>
      </c>
      <c r="H45" s="30">
        <v>139707.42170100001</v>
      </c>
      <c r="I45" s="30">
        <v>144853.929091</v>
      </c>
      <c r="J45" s="30">
        <v>148603.24677999999</v>
      </c>
      <c r="K45" s="30">
        <v>151993.79874200001</v>
      </c>
      <c r="L45" s="30">
        <v>165575.21050799999</v>
      </c>
      <c r="M45" s="30">
        <v>202351.56989899999</v>
      </c>
      <c r="N45" s="30">
        <v>205730.31697099999</v>
      </c>
      <c r="O45" s="30">
        <v>248782.45041799999</v>
      </c>
      <c r="P45" s="30">
        <v>295275.85360199999</v>
      </c>
      <c r="Q45" s="30">
        <v>333373.68196199997</v>
      </c>
      <c r="R45" s="30">
        <v>356058.24526599998</v>
      </c>
      <c r="S45" s="30">
        <v>370186.028865</v>
      </c>
      <c r="T45" s="30">
        <v>379417.88651099999</v>
      </c>
      <c r="U45" s="30">
        <v>385928.42592800001</v>
      </c>
      <c r="V45" s="30">
        <v>390873.81367599999</v>
      </c>
      <c r="W45" s="30">
        <v>394843.709936</v>
      </c>
    </row>
    <row r="46" spans="1:28" x14ac:dyDescent="0.3">
      <c r="A46" t="s">
        <v>44</v>
      </c>
      <c r="B46" t="s">
        <v>243</v>
      </c>
      <c r="C46" s="30">
        <v>757589.44794099999</v>
      </c>
      <c r="D46" s="30">
        <v>1069.6567540000001</v>
      </c>
      <c r="E46" s="30">
        <v>1941.771039</v>
      </c>
      <c r="F46" s="30">
        <v>3688.6182229999999</v>
      </c>
      <c r="G46" s="30">
        <v>5219.1430829999999</v>
      </c>
      <c r="H46" s="30">
        <v>6898.5406279999997</v>
      </c>
      <c r="I46" s="30">
        <v>7667.3229430000001</v>
      </c>
      <c r="J46" s="30">
        <v>9740.473919</v>
      </c>
      <c r="K46" s="30">
        <v>11649.539624999999</v>
      </c>
      <c r="L46" s="30">
        <v>13199.491978</v>
      </c>
      <c r="M46" s="30">
        <v>15260.483722000001</v>
      </c>
      <c r="N46" s="30">
        <v>20859.094868</v>
      </c>
      <c r="O46" s="30">
        <v>24984.566187</v>
      </c>
      <c r="P46" s="30">
        <v>27966.962095999999</v>
      </c>
      <c r="Q46" s="30">
        <v>29867.200771</v>
      </c>
      <c r="R46" s="30">
        <v>31048.661399000001</v>
      </c>
      <c r="S46" s="30">
        <v>31817.597387999998</v>
      </c>
      <c r="T46" s="30">
        <v>32357.526388999999</v>
      </c>
      <c r="U46" s="30">
        <v>32765.551714000001</v>
      </c>
      <c r="V46" s="30">
        <v>33091.525568999998</v>
      </c>
      <c r="W46" s="30">
        <v>33361.212788999997</v>
      </c>
    </row>
    <row r="47" spans="1:28" x14ac:dyDescent="0.3">
      <c r="A47" t="s">
        <v>245</v>
      </c>
      <c r="B47" t="s">
        <v>243</v>
      </c>
      <c r="C47" s="30">
        <v>0</v>
      </c>
      <c r="D47" s="30">
        <v>10</v>
      </c>
      <c r="E47" s="30">
        <v>20.05481</v>
      </c>
      <c r="F47" s="30">
        <v>30.157059</v>
      </c>
      <c r="G47" s="30">
        <v>40.258794000000002</v>
      </c>
      <c r="H47" s="30">
        <v>50.433553000000003</v>
      </c>
      <c r="I47" s="30">
        <v>60.674335999999997</v>
      </c>
      <c r="J47" s="30">
        <v>70.933036000000001</v>
      </c>
      <c r="K47" s="30">
        <v>81.202129999999997</v>
      </c>
      <c r="L47" s="30">
        <v>91.515361999999996</v>
      </c>
      <c r="M47" s="30">
        <v>101.865481</v>
      </c>
      <c r="N47" s="30">
        <v>112.245161</v>
      </c>
      <c r="O47" s="30">
        <v>122.605439</v>
      </c>
      <c r="P47" s="30">
        <v>133.02207200000001</v>
      </c>
      <c r="Q47" s="30">
        <v>143.487717</v>
      </c>
      <c r="R47" s="30">
        <v>153.91128900000001</v>
      </c>
      <c r="S47" s="30">
        <v>164.368887</v>
      </c>
      <c r="T47" s="30">
        <v>174.852903</v>
      </c>
      <c r="U47" s="30">
        <v>185.355614</v>
      </c>
      <c r="V47" s="30">
        <v>195.827236</v>
      </c>
      <c r="W47" s="30">
        <v>206.34396100000001</v>
      </c>
    </row>
    <row r="48" spans="1:28" x14ac:dyDescent="0.3">
      <c r="A48" t="s">
        <v>69</v>
      </c>
      <c r="B48" t="s">
        <v>243</v>
      </c>
      <c r="C48" s="30">
        <v>0</v>
      </c>
      <c r="D48" s="30">
        <v>-139507.82464400001</v>
      </c>
      <c r="E48" s="30">
        <v>-4604.663141</v>
      </c>
      <c r="F48" s="30">
        <v>-4556.5003909999996</v>
      </c>
      <c r="G48" s="30">
        <v>-5355.7342269999999</v>
      </c>
      <c r="H48" s="30">
        <v>-9923.6606580000007</v>
      </c>
      <c r="I48" s="30">
        <v>-3979.1934219999998</v>
      </c>
      <c r="J48" s="30">
        <v>-5914.4333150000002</v>
      </c>
      <c r="K48" s="30">
        <v>-5996.4468470000002</v>
      </c>
      <c r="L48" s="30">
        <v>-10424.849128</v>
      </c>
      <c r="M48" s="30">
        <v>-6485.3340619999999</v>
      </c>
      <c r="N48" s="30">
        <v>-48901.248872999997</v>
      </c>
      <c r="O48" s="30">
        <v>-55769.064858999998</v>
      </c>
      <c r="P48" s="30">
        <v>-42803.215811000002</v>
      </c>
      <c r="Q48" s="30">
        <v>-29544.566659</v>
      </c>
      <c r="R48" s="30">
        <v>-19899.298246999999</v>
      </c>
      <c r="S48" s="30">
        <v>-16301.226398000001</v>
      </c>
      <c r="T48" s="30">
        <v>-13340.875784</v>
      </c>
      <c r="U48" s="30">
        <v>-11375.412404000001</v>
      </c>
      <c r="V48" s="30">
        <v>-9770.9506509999992</v>
      </c>
      <c r="W48" s="30">
        <v>-10119.315338</v>
      </c>
    </row>
    <row r="49" spans="1:23" x14ac:dyDescent="0.3">
      <c r="A49" t="s">
        <v>246</v>
      </c>
      <c r="B49" t="s">
        <v>243</v>
      </c>
      <c r="C49" s="30">
        <v>0</v>
      </c>
      <c r="D49" s="30">
        <v>138291.505148</v>
      </c>
      <c r="E49" s="30">
        <v>-1966.240131</v>
      </c>
      <c r="F49" s="30">
        <v>-5734.0434939999996</v>
      </c>
      <c r="G49" s="30">
        <v>-1236.2197430000001</v>
      </c>
      <c r="H49" s="30">
        <v>8324.7191019999991</v>
      </c>
      <c r="I49" s="30">
        <v>204.80452500000001</v>
      </c>
      <c r="J49" s="30">
        <v>-301.41290400000003</v>
      </c>
      <c r="K49" s="30">
        <v>8052.7960119999998</v>
      </c>
      <c r="L49" s="30">
        <v>34116.502717000003</v>
      </c>
      <c r="M49" s="30">
        <v>22611.607400000001</v>
      </c>
      <c r="N49" s="30">
        <v>91536.442809999993</v>
      </c>
      <c r="O49" s="30">
        <v>77363.172711000007</v>
      </c>
      <c r="P49" s="30">
        <v>53009.362652999996</v>
      </c>
      <c r="Q49" s="30">
        <v>41540.120527999999</v>
      </c>
      <c r="R49" s="30">
        <v>23385.514167000001</v>
      </c>
      <c r="S49" s="30">
        <v>6503.3982459999997</v>
      </c>
      <c r="T49" s="30">
        <v>5285.5409460000001</v>
      </c>
      <c r="U49" s="30">
        <v>5511.5711209999999</v>
      </c>
      <c r="V49" s="30">
        <v>12510.294014999999</v>
      </c>
      <c r="W49" s="30">
        <v>-379.547394</v>
      </c>
    </row>
    <row r="50" spans="1:23" x14ac:dyDescent="0.3">
      <c r="A50" t="s">
        <v>71</v>
      </c>
      <c r="B50" t="s">
        <v>243</v>
      </c>
      <c r="C50" s="30">
        <v>0</v>
      </c>
      <c r="D50" s="30">
        <v>-136.66274200000001</v>
      </c>
      <c r="E50" s="30">
        <v>-4609.0774229999997</v>
      </c>
      <c r="F50" s="30">
        <v>-6571.7686030000004</v>
      </c>
      <c r="G50" s="30">
        <v>-1332.5520919999999</v>
      </c>
      <c r="H50" s="30">
        <v>5350.0326249999998</v>
      </c>
      <c r="I50" s="30">
        <v>3953.608381</v>
      </c>
      <c r="J50" s="30">
        <v>3595.560735</v>
      </c>
      <c r="K50" s="30">
        <v>13787.090919</v>
      </c>
      <c r="L50" s="30">
        <v>36982.660928999998</v>
      </c>
      <c r="M50" s="30">
        <v>31488.622541000001</v>
      </c>
      <c r="N50" s="30">
        <v>63606.533966000003</v>
      </c>
      <c r="O50" s="30">
        <v>46701.279478999997</v>
      </c>
      <c r="P50" s="30">
        <v>38306.131009999997</v>
      </c>
      <c r="Q50" s="30">
        <v>42006.242356000002</v>
      </c>
      <c r="R50" s="30">
        <v>34688.788609000003</v>
      </c>
      <c r="S50" s="30">
        <v>22184.138123000001</v>
      </c>
      <c r="T50" s="30">
        <v>24477.044452999999</v>
      </c>
      <c r="U50" s="30">
        <v>27087.066045</v>
      </c>
      <c r="V50" s="30">
        <v>36026.696169000003</v>
      </c>
      <c r="W50" s="30">
        <v>23068.694017999998</v>
      </c>
    </row>
    <row r="51" spans="1:23" x14ac:dyDescent="0.3">
      <c r="A51" t="s">
        <v>72</v>
      </c>
      <c r="B51" t="s">
        <v>243</v>
      </c>
      <c r="C51" s="30">
        <v>0</v>
      </c>
      <c r="D51" s="30">
        <v>200</v>
      </c>
      <c r="E51" s="30">
        <v>200.95</v>
      </c>
      <c r="F51" s="30">
        <v>201.85447600000001</v>
      </c>
      <c r="G51" s="30">
        <v>202.712963</v>
      </c>
      <c r="H51" s="30">
        <v>203.52523400000001</v>
      </c>
      <c r="I51" s="30">
        <v>204.29069200000001</v>
      </c>
      <c r="J51" s="30">
        <v>205.00877399999999</v>
      </c>
      <c r="K51" s="30">
        <v>205.67915300000001</v>
      </c>
      <c r="L51" s="30">
        <v>206.30153799999999</v>
      </c>
      <c r="M51" s="30">
        <v>206.87546900000001</v>
      </c>
      <c r="N51" s="30">
        <v>207.400519</v>
      </c>
      <c r="O51" s="30">
        <v>207.876295</v>
      </c>
      <c r="P51" s="30">
        <v>208.30265</v>
      </c>
      <c r="Q51" s="30">
        <v>208.67905300000001</v>
      </c>
      <c r="R51" s="30">
        <v>209.005009</v>
      </c>
      <c r="S51" s="30">
        <v>209.28047799999999</v>
      </c>
      <c r="T51" s="30">
        <v>209.50503599999999</v>
      </c>
      <c r="U51" s="30">
        <v>209.67829699999999</v>
      </c>
      <c r="V51" s="30">
        <v>209.79991000000001</v>
      </c>
      <c r="W51" s="30">
        <v>209.86977300000001</v>
      </c>
    </row>
    <row r="52" spans="1:23" x14ac:dyDescent="0.3">
      <c r="A52" t="s">
        <v>73</v>
      </c>
      <c r="B52" t="s">
        <v>243</v>
      </c>
      <c r="C52" s="30">
        <v>0</v>
      </c>
      <c r="D52" s="30">
        <v>-200</v>
      </c>
      <c r="E52" s="30">
        <v>-200.95</v>
      </c>
      <c r="F52" s="30">
        <v>-201.85447600000001</v>
      </c>
      <c r="G52" s="30">
        <v>-202.712963</v>
      </c>
      <c r="H52" s="30">
        <v>-203.52523400000001</v>
      </c>
      <c r="I52" s="30">
        <v>-204.29069200000001</v>
      </c>
      <c r="J52" s="30">
        <v>-205.00877399999999</v>
      </c>
      <c r="K52" s="30">
        <v>-205.67915300000001</v>
      </c>
      <c r="L52" s="30">
        <v>-206.30153799999999</v>
      </c>
      <c r="M52" s="30">
        <v>-206.87546900000001</v>
      </c>
      <c r="N52" s="30">
        <v>-207.400519</v>
      </c>
      <c r="O52" s="30">
        <v>-207.876295</v>
      </c>
      <c r="P52" s="30">
        <v>-208.30265</v>
      </c>
      <c r="Q52" s="30">
        <v>-208.67905300000001</v>
      </c>
      <c r="R52" s="30">
        <v>-209.005009</v>
      </c>
      <c r="S52" s="30">
        <v>-209.28047799999999</v>
      </c>
      <c r="T52" s="30">
        <v>-209.50503599999999</v>
      </c>
      <c r="U52" s="30">
        <v>-209.67829699999999</v>
      </c>
      <c r="V52" s="30">
        <v>-209.79991000000001</v>
      </c>
      <c r="W52" s="30">
        <v>-209.86977300000001</v>
      </c>
    </row>
    <row r="53" spans="1:23" x14ac:dyDescent="0.3">
      <c r="A53" t="s">
        <v>74</v>
      </c>
      <c r="B53" t="s">
        <v>243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243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</row>
    <row r="55" spans="1:23" x14ac:dyDescent="0.3">
      <c r="A55" t="s">
        <v>76</v>
      </c>
      <c r="B55" t="s">
        <v>243</v>
      </c>
      <c r="C55" s="30">
        <v>0</v>
      </c>
      <c r="D55" s="30">
        <v>57098</v>
      </c>
      <c r="E55" s="30">
        <v>5431</v>
      </c>
      <c r="F55" s="30">
        <v>8012</v>
      </c>
      <c r="G55" s="30">
        <v>2622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</row>
    <row r="56" spans="1:23" x14ac:dyDescent="0.3">
      <c r="A56" t="s">
        <v>77</v>
      </c>
      <c r="B56" t="s">
        <v>243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27903</v>
      </c>
      <c r="N56" s="30">
        <v>20347</v>
      </c>
      <c r="O56" s="30">
        <v>0</v>
      </c>
      <c r="P56" s="30">
        <v>0</v>
      </c>
      <c r="Q56" s="30">
        <v>19113</v>
      </c>
      <c r="R56" s="30">
        <v>20352</v>
      </c>
      <c r="S56" s="30">
        <v>12743</v>
      </c>
      <c r="T56" s="30">
        <v>17757</v>
      </c>
      <c r="U56" s="30">
        <v>21932</v>
      </c>
      <c r="V56" s="30">
        <v>31847</v>
      </c>
      <c r="W56" s="30">
        <v>19557</v>
      </c>
    </row>
    <row r="57" spans="1:23" x14ac:dyDescent="0.3">
      <c r="A57" t="s">
        <v>79</v>
      </c>
      <c r="B57" t="s">
        <v>243</v>
      </c>
      <c r="C57" s="30">
        <v>0</v>
      </c>
      <c r="D57" s="30">
        <v>57098</v>
      </c>
      <c r="E57" s="30">
        <v>5431</v>
      </c>
      <c r="F57" s="30">
        <v>8012</v>
      </c>
      <c r="G57" s="30">
        <v>2622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-27903</v>
      </c>
      <c r="N57" s="30">
        <v>-20347</v>
      </c>
      <c r="O57" s="30">
        <v>0</v>
      </c>
      <c r="P57" s="30">
        <v>0</v>
      </c>
      <c r="Q57" s="30">
        <v>-19113</v>
      </c>
      <c r="R57" s="30">
        <v>-20352</v>
      </c>
      <c r="S57" s="30">
        <v>-12743</v>
      </c>
      <c r="T57" s="30">
        <v>-17757</v>
      </c>
      <c r="U57" s="30">
        <v>-21932</v>
      </c>
      <c r="V57" s="30">
        <v>-31847</v>
      </c>
      <c r="W57" s="30">
        <v>-19557</v>
      </c>
    </row>
    <row r="58" spans="1:23" x14ac:dyDescent="0.3">
      <c r="A58" t="s">
        <v>80</v>
      </c>
      <c r="B58" t="s">
        <v>243</v>
      </c>
      <c r="C58" s="30">
        <v>0</v>
      </c>
      <c r="D58" s="30">
        <v>56761.337258</v>
      </c>
      <c r="E58" s="30">
        <v>620.972577</v>
      </c>
      <c r="F58" s="30">
        <v>1238.376921</v>
      </c>
      <c r="G58" s="30">
        <v>1086.7349449999999</v>
      </c>
      <c r="H58" s="30">
        <v>5146.5073910000001</v>
      </c>
      <c r="I58" s="30">
        <v>3749.317689</v>
      </c>
      <c r="J58" s="30">
        <v>3390.5519610000001</v>
      </c>
      <c r="K58" s="30">
        <v>13581.411765999999</v>
      </c>
      <c r="L58" s="30">
        <v>36776.359390999998</v>
      </c>
      <c r="M58" s="30">
        <v>3378.7470720000001</v>
      </c>
      <c r="N58" s="30">
        <v>43052.133447</v>
      </c>
      <c r="O58" s="30">
        <v>46493.403184000003</v>
      </c>
      <c r="P58" s="30">
        <v>38097.82836</v>
      </c>
      <c r="Q58" s="30">
        <v>22684.563302999999</v>
      </c>
      <c r="R58" s="30">
        <v>14127.783600000001</v>
      </c>
      <c r="S58" s="30">
        <v>9231.857645</v>
      </c>
      <c r="T58" s="30">
        <v>6510.539417</v>
      </c>
      <c r="U58" s="30">
        <v>4945.3877480000001</v>
      </c>
      <c r="V58" s="30">
        <v>3969.8962590000001</v>
      </c>
      <c r="W58" s="30">
        <v>3301.8242449999998</v>
      </c>
    </row>
    <row r="59" spans="1:23" x14ac:dyDescent="0.3">
      <c r="A59" t="s">
        <v>81</v>
      </c>
      <c r="B59" t="s">
        <v>243</v>
      </c>
      <c r="C59" s="30">
        <v>80000</v>
      </c>
      <c r="D59" s="30">
        <v>136761.33725800001</v>
      </c>
      <c r="E59" s="30">
        <v>137382.30983499999</v>
      </c>
      <c r="F59" s="30">
        <v>138620.68675600001</v>
      </c>
      <c r="G59" s="30">
        <v>139707.42170100001</v>
      </c>
      <c r="H59" s="30">
        <v>144853.929091</v>
      </c>
      <c r="I59" s="30">
        <v>148603.24677999999</v>
      </c>
      <c r="J59" s="30">
        <v>151993.79874200001</v>
      </c>
      <c r="K59" s="30">
        <v>165575.21050799999</v>
      </c>
      <c r="L59" s="30">
        <v>202351.56989899999</v>
      </c>
      <c r="M59" s="30">
        <v>205730.31697099999</v>
      </c>
      <c r="N59" s="30">
        <v>248782.45041799999</v>
      </c>
      <c r="O59" s="30">
        <v>295275.85360199999</v>
      </c>
      <c r="P59" s="30">
        <v>333373.68196199997</v>
      </c>
      <c r="Q59" s="30">
        <v>356058.24526599998</v>
      </c>
      <c r="R59" s="30">
        <v>370186.028865</v>
      </c>
      <c r="S59" s="30">
        <v>379417.88651099999</v>
      </c>
      <c r="T59" s="30">
        <v>385928.42592800001</v>
      </c>
      <c r="U59" s="30">
        <v>390873.81367599999</v>
      </c>
      <c r="V59" s="30">
        <v>394843.709936</v>
      </c>
      <c r="W59" s="30">
        <v>398145.53418000002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7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247</v>
      </c>
    </row>
    <row r="2" spans="1:10" x14ac:dyDescent="0.3">
      <c r="A2" s="2" t="s">
        <v>248</v>
      </c>
      <c r="B2" s="36" t="str">
        <f>IF(COUNTIF(I7:I177,"FAIL")=0,"OK","FAIL")</f>
        <v>OK</v>
      </c>
    </row>
    <row r="3" spans="1:10" x14ac:dyDescent="0.3">
      <c r="A3" t="s">
        <v>249</v>
      </c>
      <c r="B3" s="52" t="s">
        <v>250</v>
      </c>
      <c r="C3" s="52"/>
      <c r="D3" s="52"/>
      <c r="E3" s="52"/>
      <c r="F3" s="52"/>
    </row>
    <row r="5" spans="1:10" x14ac:dyDescent="0.3">
      <c r="A5" s="37" t="s">
        <v>251</v>
      </c>
      <c r="B5" s="37" t="s">
        <v>252</v>
      </c>
      <c r="C5" s="37" t="s">
        <v>253</v>
      </c>
      <c r="D5" s="37" t="s">
        <v>254</v>
      </c>
      <c r="E5" s="37" t="s">
        <v>255</v>
      </c>
      <c r="F5" s="37" t="s">
        <v>256</v>
      </c>
      <c r="G5" s="37" t="s">
        <v>257</v>
      </c>
      <c r="H5" s="37" t="s">
        <v>258</v>
      </c>
      <c r="I5" s="37" t="s">
        <v>259</v>
      </c>
      <c r="J5" s="37" t="s">
        <v>260</v>
      </c>
    </row>
    <row r="6" spans="1:10" x14ac:dyDescent="0.3">
      <c r="A6" s="51" t="s">
        <v>261</v>
      </c>
      <c r="B6" s="52"/>
      <c r="C6" s="52"/>
      <c r="D6" s="52"/>
      <c r="E6" s="52"/>
      <c r="F6" s="52"/>
      <c r="G6" s="52"/>
      <c r="H6" s="52"/>
      <c r="I6" s="52"/>
      <c r="J6" s="52"/>
    </row>
    <row r="7" spans="1:10" x14ac:dyDescent="0.3">
      <c r="A7" t="s">
        <v>262</v>
      </c>
      <c r="B7" t="s">
        <v>263</v>
      </c>
      <c r="C7" t="s">
        <v>264</v>
      </c>
      <c r="D7" t="s">
        <v>265</v>
      </c>
      <c r="E7" s="38">
        <f>FINMO!D31</f>
        <v>328459.52075371804</v>
      </c>
      <c r="F7" s="38">
        <f>FINMO!D43</f>
        <v>328459.52075371798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266</v>
      </c>
    </row>
    <row r="8" spans="1:10" x14ac:dyDescent="0.3">
      <c r="A8" t="s">
        <v>262</v>
      </c>
      <c r="B8" t="s">
        <v>267</v>
      </c>
      <c r="C8" t="s">
        <v>264</v>
      </c>
      <c r="D8" t="s">
        <v>268</v>
      </c>
      <c r="E8" s="38">
        <f>FINMO!D61</f>
        <v>136761.69610939667</v>
      </c>
      <c r="F8" s="38">
        <f>FINMO!D23</f>
        <v>136761.69610939667</v>
      </c>
      <c r="G8" s="38">
        <f t="shared" si="0"/>
        <v>0</v>
      </c>
      <c r="H8" s="38">
        <v>1</v>
      </c>
      <c r="I8" s="39" t="str">
        <f t="shared" si="1"/>
        <v>OK</v>
      </c>
      <c r="J8" t="s">
        <v>269</v>
      </c>
    </row>
    <row r="9" spans="1:10" x14ac:dyDescent="0.3">
      <c r="A9" t="s">
        <v>262</v>
      </c>
      <c r="B9" t="s">
        <v>270</v>
      </c>
      <c r="C9" t="s">
        <v>264</v>
      </c>
      <c r="D9" t="s">
        <v>271</v>
      </c>
      <c r="E9" s="38">
        <f>FINMO!W31</f>
        <v>906709.56999677909</v>
      </c>
      <c r="F9" s="38">
        <f>FINMO!W43</f>
        <v>906709.5699967792</v>
      </c>
      <c r="G9" s="38">
        <f t="shared" si="0"/>
        <v>0</v>
      </c>
      <c r="H9" s="38">
        <v>1</v>
      </c>
      <c r="I9" s="39" t="str">
        <f t="shared" si="1"/>
        <v>OK</v>
      </c>
      <c r="J9" t="s">
        <v>266</v>
      </c>
    </row>
    <row r="10" spans="1:10" x14ac:dyDescent="0.3">
      <c r="A10" t="s">
        <v>262</v>
      </c>
      <c r="B10" t="s">
        <v>272</v>
      </c>
      <c r="C10" t="s">
        <v>264</v>
      </c>
      <c r="D10" t="s">
        <v>273</v>
      </c>
      <c r="E10" s="38">
        <f>FINMO!W61</f>
        <v>398158.27465863875</v>
      </c>
      <c r="F10" s="38">
        <f>FINMO!W23</f>
        <v>398158.27465863875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269</v>
      </c>
    </row>
    <row r="11" spans="1:10" x14ac:dyDescent="0.3">
      <c r="A11" t="s">
        <v>274</v>
      </c>
      <c r="B11" t="s">
        <v>275</v>
      </c>
      <c r="C11" t="s">
        <v>264</v>
      </c>
      <c r="D11" t="s">
        <v>276</v>
      </c>
      <c r="E11" s="38">
        <f>SUMPRODUCT(ABS('Revenue Drivers'!C20:W20-'Model Inputs'!C15:W15))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277</v>
      </c>
    </row>
    <row r="12" spans="1:10" x14ac:dyDescent="0.3">
      <c r="A12" t="s">
        <v>274</v>
      </c>
      <c r="B12" t="s">
        <v>278</v>
      </c>
      <c r="C12" t="s">
        <v>264</v>
      </c>
      <c r="D12" t="s">
        <v>279</v>
      </c>
      <c r="E12" s="38">
        <f>SUMPRODUCT(ABS('Payroll Schedule'!D17:W17-'Model Inputs'!D20:W20))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280</v>
      </c>
    </row>
    <row r="13" spans="1:10" x14ac:dyDescent="0.3">
      <c r="A13" t="s">
        <v>274</v>
      </c>
      <c r="B13" t="s">
        <v>281</v>
      </c>
      <c r="C13" t="s">
        <v>264</v>
      </c>
      <c r="D13" t="s">
        <v>282</v>
      </c>
      <c r="E13" s="38">
        <f>SUMPRODUCT(ABS('Debt Schedule'!C10:W10-'Model Inputs'!C47:W47))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283</v>
      </c>
    </row>
    <row r="14" spans="1:10" x14ac:dyDescent="0.3">
      <c r="A14" t="s">
        <v>274</v>
      </c>
      <c r="B14" t="s">
        <v>284</v>
      </c>
      <c r="C14" t="s">
        <v>264</v>
      </c>
      <c r="D14" t="s">
        <v>285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286</v>
      </c>
    </row>
    <row r="15" spans="1:10" x14ac:dyDescent="0.3">
      <c r="A15" t="s">
        <v>274</v>
      </c>
      <c r="B15" t="s">
        <v>287</v>
      </c>
      <c r="C15" t="s">
        <v>264</v>
      </c>
      <c r="D15" t="s">
        <v>288</v>
      </c>
      <c r="E15" s="38">
        <f>SUMPRODUCT(ABS('Cash Equity Schedule'!C12:W12-'Model Inputs'!C19:W19))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289</v>
      </c>
    </row>
    <row r="16" spans="1:10" x14ac:dyDescent="0.3">
      <c r="A16" t="s">
        <v>290</v>
      </c>
      <c r="B16" t="s">
        <v>291</v>
      </c>
      <c r="C16" t="s">
        <v>116</v>
      </c>
      <c r="D16" t="s">
        <v>292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293</v>
      </c>
    </row>
    <row r="17" spans="1:10" x14ac:dyDescent="0.3">
      <c r="A17" t="s">
        <v>290</v>
      </c>
      <c r="B17" t="s">
        <v>294</v>
      </c>
      <c r="C17" t="s">
        <v>116</v>
      </c>
      <c r="D17" t="s">
        <v>295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296</v>
      </c>
    </row>
    <row r="18" spans="1:10" x14ac:dyDescent="0.3">
      <c r="A18" t="s">
        <v>290</v>
      </c>
      <c r="B18" t="s">
        <v>297</v>
      </c>
      <c r="C18" t="s">
        <v>116</v>
      </c>
      <c r="D18" t="s">
        <v>298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299</v>
      </c>
    </row>
    <row r="19" spans="1:10" x14ac:dyDescent="0.3">
      <c r="A19" t="s">
        <v>290</v>
      </c>
      <c r="B19" t="s">
        <v>300</v>
      </c>
      <c r="C19" t="s">
        <v>116</v>
      </c>
      <c r="D19" t="s">
        <v>301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302</v>
      </c>
    </row>
    <row r="21" spans="1:10" x14ac:dyDescent="0.3">
      <c r="A21" s="51" t="s">
        <v>303</v>
      </c>
      <c r="B21" s="52"/>
      <c r="C21" s="52"/>
      <c r="D21" s="52"/>
      <c r="E21" s="52"/>
      <c r="F21" s="52"/>
      <c r="G21" s="52"/>
      <c r="H21" s="52"/>
      <c r="I21" s="52"/>
      <c r="J21" s="52"/>
    </row>
    <row r="22" spans="1:10" x14ac:dyDescent="0.3">
      <c r="A22" t="s">
        <v>304</v>
      </c>
      <c r="B22" t="s">
        <v>305</v>
      </c>
      <c r="C22" t="s">
        <v>82</v>
      </c>
      <c r="D22" t="s">
        <v>306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8" si="2">E22-F22</f>
        <v>0</v>
      </c>
      <c r="H22" s="38">
        <v>1</v>
      </c>
      <c r="I22" s="39" t="str">
        <f t="shared" ref="I22:I38" si="3">IF(ABS(G22)&lt;=H22,"OK","FAIL")</f>
        <v>OK</v>
      </c>
      <c r="J22" t="s">
        <v>307</v>
      </c>
    </row>
    <row r="23" spans="1:10" x14ac:dyDescent="0.3">
      <c r="A23" t="s">
        <v>304</v>
      </c>
      <c r="B23" t="s">
        <v>308</v>
      </c>
      <c r="C23" t="s">
        <v>82</v>
      </c>
      <c r="D23" t="s">
        <v>309</v>
      </c>
      <c r="E23" s="38">
        <f>SUMPRODUCT(ABS('Revenue Drivers'!C17:W17-('Revenue Drivers'!C14:W14*'Revenue Drivers'!C15:W15*'Revenue Drivers'!C16:W16)))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307</v>
      </c>
    </row>
    <row r="24" spans="1:10" x14ac:dyDescent="0.3">
      <c r="A24" t="s">
        <v>304</v>
      </c>
      <c r="B24" t="s">
        <v>310</v>
      </c>
      <c r="C24" t="s">
        <v>82</v>
      </c>
      <c r="D24" t="s">
        <v>276</v>
      </c>
      <c r="E24" s="38">
        <f>SUMPRODUCT(ABS('Revenue Drivers'!C20:W20-('Revenue Drivers'!C11:W11+'Revenue Drivers'!C17:W17)))</f>
        <v>0</v>
      </c>
      <c r="F24" s="38">
        <v>0</v>
      </c>
      <c r="G24" s="38">
        <f t="shared" si="2"/>
        <v>0</v>
      </c>
      <c r="H24" s="38">
        <v>1</v>
      </c>
      <c r="I24" s="39" t="str">
        <f t="shared" si="3"/>
        <v>OK</v>
      </c>
      <c r="J24" t="s">
        <v>311</v>
      </c>
    </row>
    <row r="25" spans="1:10" x14ac:dyDescent="0.3">
      <c r="A25" t="s">
        <v>304</v>
      </c>
      <c r="B25" t="s">
        <v>312</v>
      </c>
      <c r="C25" t="s">
        <v>82</v>
      </c>
      <c r="D25" t="s">
        <v>313</v>
      </c>
      <c r="E25" s="38">
        <f>SUMPRODUCT(ABS('Revenue Drivers'!C19:W19-('Revenue Drivers'!C8:W8+'Revenue Drivers'!C14:W14)))</f>
        <v>0</v>
      </c>
      <c r="F25" s="38">
        <v>0</v>
      </c>
      <c r="G25" s="38">
        <f t="shared" si="2"/>
        <v>0</v>
      </c>
      <c r="H25" s="38">
        <v>0.01</v>
      </c>
      <c r="I25" s="39" t="str">
        <f t="shared" si="3"/>
        <v>OK</v>
      </c>
      <c r="J25" t="s">
        <v>314</v>
      </c>
    </row>
    <row r="26" spans="1:10" x14ac:dyDescent="0.3">
      <c r="A26" t="s">
        <v>304</v>
      </c>
      <c r="B26" t="s">
        <v>315</v>
      </c>
      <c r="C26" t="s">
        <v>159</v>
      </c>
      <c r="D26" t="s">
        <v>316</v>
      </c>
      <c r="E26" s="38">
        <f>SUMPRODUCT(ABS('Debt Schedule'!D7:W7-'Debt Schedule'!C11:V11))</f>
        <v>0</v>
      </c>
      <c r="F26" s="38">
        <v>0</v>
      </c>
      <c r="G26" s="38">
        <f t="shared" si="2"/>
        <v>0</v>
      </c>
      <c r="H26" s="38">
        <v>1</v>
      </c>
      <c r="I26" s="39" t="str">
        <f t="shared" si="3"/>
        <v>OK</v>
      </c>
      <c r="J26" t="s">
        <v>317</v>
      </c>
    </row>
    <row r="27" spans="1:10" x14ac:dyDescent="0.3">
      <c r="A27" t="s">
        <v>304</v>
      </c>
      <c r="B27" t="s">
        <v>318</v>
      </c>
      <c r="C27" t="s">
        <v>159</v>
      </c>
      <c r="D27" t="s">
        <v>282</v>
      </c>
      <c r="E27" s="38">
        <f>SUMPRODUCT(--(('Debt Schedule'!C10:W10-'Debt Schedule'!C9:W9)&gt;1))+SUMPRODUCT(--(('Debt Schedule'!C10:W10-('Debt Schedule'!C7:W7+'Debt Schedule'!C8:W8))&gt;1))</f>
        <v>0</v>
      </c>
      <c r="F27" s="38">
        <v>0</v>
      </c>
      <c r="G27" s="38">
        <f t="shared" si="2"/>
        <v>0</v>
      </c>
      <c r="H27" s="38">
        <v>0</v>
      </c>
      <c r="I27" s="39" t="str">
        <f t="shared" si="3"/>
        <v>OK</v>
      </c>
      <c r="J27" t="s">
        <v>319</v>
      </c>
    </row>
    <row r="28" spans="1:10" x14ac:dyDescent="0.3">
      <c r="A28" t="s">
        <v>304</v>
      </c>
      <c r="B28" t="s">
        <v>320</v>
      </c>
      <c r="C28" t="s">
        <v>159</v>
      </c>
      <c r="D28" t="s">
        <v>321</v>
      </c>
      <c r="E28" s="38">
        <f>SUMPRODUCT(ABS('Debt Schedule'!C11:W11-('Debt Schedule'!C7:W7+'Debt Schedule'!C8:W8-'Debt Schedule'!C10:W10)))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322</v>
      </c>
    </row>
    <row r="29" spans="1:10" x14ac:dyDescent="0.3">
      <c r="A29" t="s">
        <v>304</v>
      </c>
      <c r="B29" t="s">
        <v>323</v>
      </c>
      <c r="C29" t="s">
        <v>159</v>
      </c>
      <c r="D29" t="s">
        <v>324</v>
      </c>
      <c r="E29" s="38">
        <f>SUMPRODUCT(ABS('Debt Schedule'!C13:W13-((('Debt Schedule'!C7:W7+'Debt Schedule'!C11:W11)/2)*'Debt Schedule'!C12:W12)))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325</v>
      </c>
    </row>
    <row r="30" spans="1:10" x14ac:dyDescent="0.3">
      <c r="A30" t="s">
        <v>304</v>
      </c>
      <c r="B30" t="s">
        <v>326</v>
      </c>
      <c r="C30" t="s">
        <v>159</v>
      </c>
      <c r="D30" t="s">
        <v>327</v>
      </c>
      <c r="E30" s="38">
        <f>SUMPRODUCT(ABS('Debt Schedule'!C14:W14-('Debt Schedule'!C13:W13+'Debt Schedule'!C10:W10)))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328</v>
      </c>
    </row>
    <row r="31" spans="1:10" x14ac:dyDescent="0.3">
      <c r="A31" t="s">
        <v>304</v>
      </c>
      <c r="B31" t="s">
        <v>329</v>
      </c>
      <c r="C31" t="s">
        <v>159</v>
      </c>
      <c r="D31" t="s">
        <v>330</v>
      </c>
      <c r="E31" s="38">
        <f>SUMPRODUCT(ABS('Debt Schedule'!D18:W18-'Debt Schedule'!C23:V23))</f>
        <v>0</v>
      </c>
      <c r="F31" s="38">
        <v>0</v>
      </c>
      <c r="G31" s="38">
        <f t="shared" si="2"/>
        <v>0</v>
      </c>
      <c r="H31" s="38">
        <v>1</v>
      </c>
      <c r="I31" s="39" t="str">
        <f t="shared" si="3"/>
        <v>OK</v>
      </c>
      <c r="J31" t="s">
        <v>331</v>
      </c>
    </row>
    <row r="32" spans="1:10" x14ac:dyDescent="0.3">
      <c r="A32" t="s">
        <v>304</v>
      </c>
      <c r="B32" t="s">
        <v>332</v>
      </c>
      <c r="C32" t="s">
        <v>159</v>
      </c>
      <c r="D32" t="s">
        <v>333</v>
      </c>
      <c r="E32" s="38">
        <f>SUMPRODUCT(--(('Debt Schedule'!C20:W20-'Debt Schedule'!C19:W19)&gt;1))+SUMPRODUCT(--(('Debt Schedule'!C20:W20-('Debt Schedule'!C18:W18+'Debt Schedule'!C21:W21))&gt;1))</f>
        <v>0</v>
      </c>
      <c r="F32" s="38">
        <v>0</v>
      </c>
      <c r="G32" s="38">
        <f t="shared" si="2"/>
        <v>0</v>
      </c>
      <c r="H32" s="38">
        <v>0</v>
      </c>
      <c r="I32" s="39" t="str">
        <f t="shared" si="3"/>
        <v>OK</v>
      </c>
      <c r="J32" t="s">
        <v>334</v>
      </c>
    </row>
    <row r="33" spans="1:10" x14ac:dyDescent="0.3">
      <c r="A33" t="s">
        <v>304</v>
      </c>
      <c r="B33" t="s">
        <v>335</v>
      </c>
      <c r="C33" t="s">
        <v>159</v>
      </c>
      <c r="D33" t="s">
        <v>336</v>
      </c>
      <c r="E33" s="38">
        <f>SUMPRODUCT(ABS('Debt Schedule'!C23:W23-('Debt Schedule'!C18:W18+'Debt Schedule'!C21:W21-'Debt Schedule'!C20:W20)))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337</v>
      </c>
    </row>
    <row r="34" spans="1:10" x14ac:dyDescent="0.3">
      <c r="A34" t="s">
        <v>304</v>
      </c>
      <c r="B34" t="s">
        <v>338</v>
      </c>
      <c r="C34" t="s">
        <v>339</v>
      </c>
      <c r="D34" t="s">
        <v>340</v>
      </c>
      <c r="E34" s="38">
        <f>SUMPRODUCT(ABS('CapEx Depreciation'!D7:W7-'CapEx Depreciation'!C12:V12))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341</v>
      </c>
    </row>
    <row r="35" spans="1:10" x14ac:dyDescent="0.3">
      <c r="A35" t="s">
        <v>304</v>
      </c>
      <c r="B35" t="s">
        <v>342</v>
      </c>
      <c r="C35" t="s">
        <v>339</v>
      </c>
      <c r="D35" t="s">
        <v>343</v>
      </c>
      <c r="E35" s="38">
        <f>SUMPRODUCT(ABS('CapEx Depreciation'!C11:W11-('CapEx Depreciation'!C7:W7*'CapEx Depreciation'!C10:W10)))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344</v>
      </c>
    </row>
    <row r="36" spans="1:10" x14ac:dyDescent="0.3">
      <c r="A36" t="s">
        <v>304</v>
      </c>
      <c r="B36" t="s">
        <v>345</v>
      </c>
      <c r="C36" t="s">
        <v>339</v>
      </c>
      <c r="D36" t="s">
        <v>346</v>
      </c>
      <c r="E36" s="38">
        <f>SUMPRODUCT(ABS('CapEx Depreciation'!C12:W12-('CapEx Depreciation'!C7:W7+'CapEx Depreciation'!C8:W8+'CapEx Depreciation'!C9:W9-'CapEx Depreciation'!C11:W11)))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347</v>
      </c>
    </row>
    <row r="37" spans="1:10" x14ac:dyDescent="0.3">
      <c r="A37" t="s">
        <v>304</v>
      </c>
      <c r="B37" t="s">
        <v>348</v>
      </c>
      <c r="C37" t="s">
        <v>339</v>
      </c>
      <c r="D37" t="s">
        <v>349</v>
      </c>
      <c r="E37" s="38">
        <f>SUMPRODUCT(ABS('CapEx Depreciation'!D13:W13-'CapEx Depreciation'!C14:V14))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350</v>
      </c>
    </row>
    <row r="38" spans="1:10" x14ac:dyDescent="0.3">
      <c r="A38" t="s">
        <v>304</v>
      </c>
      <c r="B38" t="s">
        <v>351</v>
      </c>
      <c r="C38" t="s">
        <v>339</v>
      </c>
      <c r="D38" t="s">
        <v>352</v>
      </c>
      <c r="E38" s="38">
        <f>SUMPRODUCT(ABS('CapEx Depreciation'!C14:W14-('CapEx Depreciation'!C13:W13-'CapEx Depreciation'!C11:W11)))</f>
        <v>0</v>
      </c>
      <c r="F38" s="38">
        <v>0</v>
      </c>
      <c r="G38" s="38">
        <f t="shared" si="2"/>
        <v>0</v>
      </c>
      <c r="H38" s="38">
        <v>1</v>
      </c>
      <c r="I38" s="39" t="str">
        <f t="shared" si="3"/>
        <v>OK</v>
      </c>
      <c r="J38" t="s">
        <v>353</v>
      </c>
    </row>
    <row r="40" spans="1:10" x14ac:dyDescent="0.3">
      <c r="A40" s="51" t="s">
        <v>354</v>
      </c>
      <c r="B40" s="52"/>
      <c r="C40" s="52"/>
      <c r="D40" s="52"/>
      <c r="E40" s="52"/>
      <c r="F40" s="52"/>
      <c r="G40" s="52"/>
      <c r="H40" s="52"/>
      <c r="I40" s="52"/>
      <c r="J40" s="52"/>
    </row>
    <row r="41" spans="1:10" x14ac:dyDescent="0.3">
      <c r="A41" t="s">
        <v>355</v>
      </c>
      <c r="B41" t="s">
        <v>356</v>
      </c>
      <c r="C41" t="s">
        <v>82</v>
      </c>
      <c r="D41" t="s">
        <v>276</v>
      </c>
      <c r="E41" s="38">
        <f>21</f>
        <v>21</v>
      </c>
      <c r="F41" s="38">
        <v>21</v>
      </c>
      <c r="G41" s="38">
        <f t="shared" ref="G41:G72" si="4">E41-F41</f>
        <v>0</v>
      </c>
      <c r="H41" s="38">
        <v>0</v>
      </c>
      <c r="I41" s="39" t="str">
        <f t="shared" ref="I41:I72" si="5">IF(G41=0,"OK","FAIL")</f>
        <v>OK</v>
      </c>
      <c r="J41" t="s">
        <v>357</v>
      </c>
    </row>
    <row r="42" spans="1:10" x14ac:dyDescent="0.3">
      <c r="A42" t="s">
        <v>355</v>
      </c>
      <c r="B42" t="s">
        <v>358</v>
      </c>
      <c r="C42" t="s">
        <v>82</v>
      </c>
      <c r="D42" t="s">
        <v>313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357</v>
      </c>
    </row>
    <row r="43" spans="1:10" x14ac:dyDescent="0.3">
      <c r="A43" t="s">
        <v>355</v>
      </c>
      <c r="B43" t="s">
        <v>359</v>
      </c>
      <c r="C43" t="s">
        <v>82</v>
      </c>
      <c r="D43" t="s">
        <v>360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357</v>
      </c>
    </row>
    <row r="44" spans="1:10" x14ac:dyDescent="0.3">
      <c r="A44" t="s">
        <v>355</v>
      </c>
      <c r="B44" t="s">
        <v>361</v>
      </c>
      <c r="C44" t="s">
        <v>116</v>
      </c>
      <c r="D44" t="s">
        <v>362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357</v>
      </c>
    </row>
    <row r="45" spans="1:10" x14ac:dyDescent="0.3">
      <c r="A45" t="s">
        <v>355</v>
      </c>
      <c r="B45" t="s">
        <v>363</v>
      </c>
      <c r="C45" t="s">
        <v>116</v>
      </c>
      <c r="D45" t="s">
        <v>364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357</v>
      </c>
    </row>
    <row r="46" spans="1:10" x14ac:dyDescent="0.3">
      <c r="A46" t="s">
        <v>355</v>
      </c>
      <c r="B46" t="s">
        <v>365</v>
      </c>
      <c r="C46" t="s">
        <v>116</v>
      </c>
      <c r="D46" t="s">
        <v>366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357</v>
      </c>
    </row>
    <row r="47" spans="1:10" x14ac:dyDescent="0.3">
      <c r="A47" t="s">
        <v>355</v>
      </c>
      <c r="B47" t="s">
        <v>367</v>
      </c>
      <c r="C47" t="s">
        <v>116</v>
      </c>
      <c r="D47" t="s">
        <v>368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357</v>
      </c>
    </row>
    <row r="48" spans="1:10" x14ac:dyDescent="0.3">
      <c r="A48" t="s">
        <v>355</v>
      </c>
      <c r="B48" t="s">
        <v>369</v>
      </c>
      <c r="C48" t="s">
        <v>116</v>
      </c>
      <c r="D48" t="s">
        <v>370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357</v>
      </c>
    </row>
    <row r="49" spans="1:10" x14ac:dyDescent="0.3">
      <c r="A49" t="s">
        <v>355</v>
      </c>
      <c r="B49" t="s">
        <v>371</v>
      </c>
      <c r="C49" t="s">
        <v>116</v>
      </c>
      <c r="D49" t="s">
        <v>372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357</v>
      </c>
    </row>
    <row r="50" spans="1:10" x14ac:dyDescent="0.3">
      <c r="A50" t="s">
        <v>355</v>
      </c>
      <c r="B50" t="s">
        <v>373</v>
      </c>
      <c r="C50" t="s">
        <v>116</v>
      </c>
      <c r="D50" t="s">
        <v>374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357</v>
      </c>
    </row>
    <row r="51" spans="1:10" x14ac:dyDescent="0.3">
      <c r="A51" t="s">
        <v>355</v>
      </c>
      <c r="B51" t="s">
        <v>375</v>
      </c>
      <c r="C51" t="s">
        <v>116</v>
      </c>
      <c r="D51" t="s">
        <v>376</v>
      </c>
      <c r="E51" s="38">
        <f>21</f>
        <v>21</v>
      </c>
      <c r="F51" s="38">
        <v>21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357</v>
      </c>
    </row>
    <row r="52" spans="1:10" x14ac:dyDescent="0.3">
      <c r="A52" t="s">
        <v>355</v>
      </c>
      <c r="B52" t="s">
        <v>377</v>
      </c>
      <c r="C52" t="s">
        <v>339</v>
      </c>
      <c r="D52" t="s">
        <v>378</v>
      </c>
      <c r="E52" s="38">
        <f>20</f>
        <v>20</v>
      </c>
      <c r="F52" s="38">
        <v>20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357</v>
      </c>
    </row>
    <row r="53" spans="1:10" x14ac:dyDescent="0.3">
      <c r="A53" t="s">
        <v>355</v>
      </c>
      <c r="B53" t="s">
        <v>379</v>
      </c>
      <c r="C53" t="s">
        <v>339</v>
      </c>
      <c r="D53" t="s">
        <v>346</v>
      </c>
      <c r="E53" s="38">
        <f>21</f>
        <v>21</v>
      </c>
      <c r="F53" s="38">
        <v>21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357</v>
      </c>
    </row>
    <row r="54" spans="1:10" x14ac:dyDescent="0.3">
      <c r="A54" t="s">
        <v>355</v>
      </c>
      <c r="B54" t="s">
        <v>380</v>
      </c>
      <c r="C54" t="s">
        <v>159</v>
      </c>
      <c r="D54" t="s">
        <v>316</v>
      </c>
      <c r="E54" s="38">
        <f>20</f>
        <v>20</v>
      </c>
      <c r="F54" s="38">
        <v>20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381</v>
      </c>
    </row>
    <row r="55" spans="1:10" x14ac:dyDescent="0.3">
      <c r="A55" t="s">
        <v>355</v>
      </c>
      <c r="B55" t="s">
        <v>382</v>
      </c>
      <c r="C55" t="s">
        <v>159</v>
      </c>
      <c r="D55" t="s">
        <v>282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381</v>
      </c>
    </row>
    <row r="56" spans="1:10" x14ac:dyDescent="0.3">
      <c r="A56" t="s">
        <v>355</v>
      </c>
      <c r="B56" t="s">
        <v>383</v>
      </c>
      <c r="C56" t="s">
        <v>159</v>
      </c>
      <c r="D56" t="s">
        <v>321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381</v>
      </c>
    </row>
    <row r="57" spans="1:10" x14ac:dyDescent="0.3">
      <c r="A57" t="s">
        <v>355</v>
      </c>
      <c r="B57" t="s">
        <v>384</v>
      </c>
      <c r="C57" t="s">
        <v>159</v>
      </c>
      <c r="D57" t="s">
        <v>324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381</v>
      </c>
    </row>
    <row r="58" spans="1:10" x14ac:dyDescent="0.3">
      <c r="A58" t="s">
        <v>355</v>
      </c>
      <c r="B58" t="s">
        <v>385</v>
      </c>
      <c r="C58" t="s">
        <v>159</v>
      </c>
      <c r="D58" t="s">
        <v>327</v>
      </c>
      <c r="E58" s="38">
        <f>21</f>
        <v>21</v>
      </c>
      <c r="F58" s="38">
        <v>21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381</v>
      </c>
    </row>
    <row r="59" spans="1:10" x14ac:dyDescent="0.3">
      <c r="A59" t="s">
        <v>355</v>
      </c>
      <c r="B59" t="s">
        <v>386</v>
      </c>
      <c r="C59" t="s">
        <v>159</v>
      </c>
      <c r="D59" t="s">
        <v>330</v>
      </c>
      <c r="E59" s="38">
        <f>20</f>
        <v>20</v>
      </c>
      <c r="F59" s="38">
        <v>20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381</v>
      </c>
    </row>
    <row r="60" spans="1:10" x14ac:dyDescent="0.3">
      <c r="A60" t="s">
        <v>355</v>
      </c>
      <c r="B60" t="s">
        <v>387</v>
      </c>
      <c r="C60" t="s">
        <v>159</v>
      </c>
      <c r="D60" t="s">
        <v>333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381</v>
      </c>
    </row>
    <row r="61" spans="1:10" x14ac:dyDescent="0.3">
      <c r="A61" t="s">
        <v>355</v>
      </c>
      <c r="B61" t="s">
        <v>388</v>
      </c>
      <c r="C61" t="s">
        <v>159</v>
      </c>
      <c r="D61" t="s">
        <v>336</v>
      </c>
      <c r="E61" s="38">
        <f>21</f>
        <v>21</v>
      </c>
      <c r="F61" s="38">
        <v>21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381</v>
      </c>
    </row>
    <row r="62" spans="1:10" x14ac:dyDescent="0.3">
      <c r="A62" t="s">
        <v>355</v>
      </c>
      <c r="B62" t="s">
        <v>389</v>
      </c>
      <c r="C62" t="s">
        <v>116</v>
      </c>
      <c r="D62" t="s">
        <v>390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391</v>
      </c>
    </row>
    <row r="63" spans="1:10" x14ac:dyDescent="0.3">
      <c r="A63" t="s">
        <v>355</v>
      </c>
      <c r="B63" t="s">
        <v>392</v>
      </c>
      <c r="C63" t="s">
        <v>116</v>
      </c>
      <c r="D63" t="s">
        <v>393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391</v>
      </c>
    </row>
    <row r="64" spans="1:10" x14ac:dyDescent="0.3">
      <c r="A64" t="s">
        <v>355</v>
      </c>
      <c r="B64" t="s">
        <v>394</v>
      </c>
      <c r="C64" t="s">
        <v>116</v>
      </c>
      <c r="D64" t="s">
        <v>395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391</v>
      </c>
    </row>
    <row r="65" spans="1:10" x14ac:dyDescent="0.3">
      <c r="A65" t="s">
        <v>355</v>
      </c>
      <c r="B65" t="s">
        <v>396</v>
      </c>
      <c r="C65" t="s">
        <v>116</v>
      </c>
      <c r="D65" t="s">
        <v>397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391</v>
      </c>
    </row>
    <row r="66" spans="1:10" x14ac:dyDescent="0.3">
      <c r="A66" t="s">
        <v>355</v>
      </c>
      <c r="B66" t="s">
        <v>398</v>
      </c>
      <c r="C66" t="s">
        <v>116</v>
      </c>
      <c r="D66" t="s">
        <v>399</v>
      </c>
      <c r="E66" s="38">
        <f>60</f>
        <v>60</v>
      </c>
      <c r="F66" s="38">
        <v>60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391</v>
      </c>
    </row>
    <row r="67" spans="1:10" x14ac:dyDescent="0.3">
      <c r="A67" t="s">
        <v>355</v>
      </c>
      <c r="B67" t="s">
        <v>400</v>
      </c>
      <c r="C67" t="s">
        <v>222</v>
      </c>
      <c r="D67" t="s">
        <v>401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402</v>
      </c>
    </row>
    <row r="68" spans="1:10" x14ac:dyDescent="0.3">
      <c r="A68" t="s">
        <v>355</v>
      </c>
      <c r="B68" t="s">
        <v>403</v>
      </c>
      <c r="C68" t="s">
        <v>222</v>
      </c>
      <c r="D68" t="s">
        <v>404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402</v>
      </c>
    </row>
    <row r="69" spans="1:10" x14ac:dyDescent="0.3">
      <c r="A69" t="s">
        <v>355</v>
      </c>
      <c r="B69" t="s">
        <v>405</v>
      </c>
      <c r="C69" t="s">
        <v>222</v>
      </c>
      <c r="D69" t="s">
        <v>406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402</v>
      </c>
    </row>
    <row r="70" spans="1:10" x14ac:dyDescent="0.3">
      <c r="A70" t="s">
        <v>355</v>
      </c>
      <c r="B70" t="s">
        <v>407</v>
      </c>
      <c r="C70" t="s">
        <v>222</v>
      </c>
      <c r="D70" t="s">
        <v>408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402</v>
      </c>
    </row>
    <row r="71" spans="1:10" x14ac:dyDescent="0.3">
      <c r="A71" t="s">
        <v>355</v>
      </c>
      <c r="B71" t="s">
        <v>409</v>
      </c>
      <c r="C71" t="s">
        <v>222</v>
      </c>
      <c r="D71" t="s">
        <v>410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402</v>
      </c>
    </row>
    <row r="72" spans="1:10" x14ac:dyDescent="0.3">
      <c r="A72" t="s">
        <v>355</v>
      </c>
      <c r="B72" t="s">
        <v>411</v>
      </c>
      <c r="C72" t="s">
        <v>222</v>
      </c>
      <c r="D72" t="s">
        <v>412</v>
      </c>
      <c r="E72" s="38">
        <f>21</f>
        <v>21</v>
      </c>
      <c r="F72" s="38">
        <v>21</v>
      </c>
      <c r="G72" s="38">
        <f t="shared" si="4"/>
        <v>0</v>
      </c>
      <c r="H72" s="38">
        <v>0</v>
      </c>
      <c r="I72" s="39" t="str">
        <f t="shared" si="5"/>
        <v>OK</v>
      </c>
      <c r="J72" t="s">
        <v>402</v>
      </c>
    </row>
    <row r="73" spans="1:10" x14ac:dyDescent="0.3">
      <c r="A73" t="s">
        <v>355</v>
      </c>
      <c r="B73" t="s">
        <v>413</v>
      </c>
      <c r="C73" t="s">
        <v>222</v>
      </c>
      <c r="D73" t="s">
        <v>414</v>
      </c>
      <c r="E73" s="38">
        <f>21</f>
        <v>21</v>
      </c>
      <c r="F73" s="38">
        <v>21</v>
      </c>
      <c r="G73" s="38">
        <f t="shared" ref="G73:G104" si="6">E73-F73</f>
        <v>0</v>
      </c>
      <c r="H73" s="38">
        <v>0</v>
      </c>
      <c r="I73" s="39" t="str">
        <f t="shared" ref="I73:I104" si="7">IF(G73=0,"OK","FAIL")</f>
        <v>OK</v>
      </c>
      <c r="J73" t="s">
        <v>402</v>
      </c>
    </row>
    <row r="74" spans="1:10" x14ac:dyDescent="0.3">
      <c r="A74" t="s">
        <v>355</v>
      </c>
      <c r="B74" t="s">
        <v>415</v>
      </c>
      <c r="C74" t="s">
        <v>222</v>
      </c>
      <c r="D74" t="s">
        <v>416</v>
      </c>
      <c r="E74" s="38">
        <f>21</f>
        <v>21</v>
      </c>
      <c r="F74" s="38">
        <v>21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402</v>
      </c>
    </row>
    <row r="75" spans="1:10" x14ac:dyDescent="0.3">
      <c r="A75" t="s">
        <v>355</v>
      </c>
      <c r="B75" t="s">
        <v>417</v>
      </c>
      <c r="C75" t="s">
        <v>222</v>
      </c>
      <c r="D75" t="s">
        <v>418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402</v>
      </c>
    </row>
    <row r="76" spans="1:10" x14ac:dyDescent="0.3">
      <c r="A76" t="s">
        <v>355</v>
      </c>
      <c r="B76" t="s">
        <v>419</v>
      </c>
      <c r="C76" t="s">
        <v>222</v>
      </c>
      <c r="D76" t="s">
        <v>420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402</v>
      </c>
    </row>
    <row r="77" spans="1:10" x14ac:dyDescent="0.3">
      <c r="A77" t="s">
        <v>355</v>
      </c>
      <c r="B77" t="s">
        <v>421</v>
      </c>
      <c r="C77" t="s">
        <v>222</v>
      </c>
      <c r="D77" t="s">
        <v>422</v>
      </c>
      <c r="E77" s="38">
        <f>20</f>
        <v>20</v>
      </c>
      <c r="F77" s="38">
        <v>20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402</v>
      </c>
    </row>
    <row r="78" spans="1:10" x14ac:dyDescent="0.3">
      <c r="A78" t="s">
        <v>355</v>
      </c>
      <c r="B78" t="s">
        <v>423</v>
      </c>
      <c r="C78" t="s">
        <v>222</v>
      </c>
      <c r="D78" t="s">
        <v>424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402</v>
      </c>
    </row>
    <row r="79" spans="1:10" x14ac:dyDescent="0.3">
      <c r="A79" t="s">
        <v>355</v>
      </c>
      <c r="B79" t="s">
        <v>425</v>
      </c>
      <c r="C79" t="s">
        <v>222</v>
      </c>
      <c r="D79" t="s">
        <v>426</v>
      </c>
      <c r="E79" s="38">
        <f>20</f>
        <v>20</v>
      </c>
      <c r="F79" s="38">
        <v>20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402</v>
      </c>
    </row>
    <row r="80" spans="1:10" x14ac:dyDescent="0.3">
      <c r="A80" t="s">
        <v>355</v>
      </c>
      <c r="B80" t="s">
        <v>427</v>
      </c>
      <c r="C80" t="s">
        <v>222</v>
      </c>
      <c r="D80" t="s">
        <v>428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402</v>
      </c>
    </row>
    <row r="81" spans="1:10" x14ac:dyDescent="0.3">
      <c r="A81" t="s">
        <v>355</v>
      </c>
      <c r="B81" t="s">
        <v>429</v>
      </c>
      <c r="C81" t="s">
        <v>222</v>
      </c>
      <c r="D81" t="s">
        <v>430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402</v>
      </c>
    </row>
    <row r="82" spans="1:10" x14ac:dyDescent="0.3">
      <c r="A82" t="s">
        <v>355</v>
      </c>
      <c r="B82" t="s">
        <v>431</v>
      </c>
      <c r="C82" t="s">
        <v>222</v>
      </c>
      <c r="D82" t="s">
        <v>432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402</v>
      </c>
    </row>
    <row r="83" spans="1:10" x14ac:dyDescent="0.3">
      <c r="A83" t="s">
        <v>355</v>
      </c>
      <c r="B83" t="s">
        <v>433</v>
      </c>
      <c r="C83" t="s">
        <v>222</v>
      </c>
      <c r="D83" t="s">
        <v>434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402</v>
      </c>
    </row>
    <row r="84" spans="1:10" x14ac:dyDescent="0.3">
      <c r="A84" t="s">
        <v>355</v>
      </c>
      <c r="B84" t="s">
        <v>435</v>
      </c>
      <c r="C84" t="s">
        <v>222</v>
      </c>
      <c r="D84" t="s">
        <v>436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402</v>
      </c>
    </row>
    <row r="85" spans="1:10" x14ac:dyDescent="0.3">
      <c r="A85" t="s">
        <v>355</v>
      </c>
      <c r="B85" t="s">
        <v>437</v>
      </c>
      <c r="C85" t="s">
        <v>222</v>
      </c>
      <c r="D85" t="s">
        <v>438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402</v>
      </c>
    </row>
    <row r="86" spans="1:10" x14ac:dyDescent="0.3">
      <c r="A86" t="s">
        <v>355</v>
      </c>
      <c r="B86" t="s">
        <v>439</v>
      </c>
      <c r="C86" t="s">
        <v>222</v>
      </c>
      <c r="D86" t="s">
        <v>440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402</v>
      </c>
    </row>
    <row r="87" spans="1:10" x14ac:dyDescent="0.3">
      <c r="A87" t="s">
        <v>355</v>
      </c>
      <c r="B87" t="s">
        <v>441</v>
      </c>
      <c r="C87" t="s">
        <v>222</v>
      </c>
      <c r="D87" t="s">
        <v>442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402</v>
      </c>
    </row>
    <row r="88" spans="1:10" x14ac:dyDescent="0.3">
      <c r="A88" t="s">
        <v>355</v>
      </c>
      <c r="B88" t="s">
        <v>443</v>
      </c>
      <c r="C88" t="s">
        <v>222</v>
      </c>
      <c r="D88" t="s">
        <v>444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402</v>
      </c>
    </row>
    <row r="89" spans="1:10" x14ac:dyDescent="0.3">
      <c r="A89" t="s">
        <v>355</v>
      </c>
      <c r="B89" t="s">
        <v>445</v>
      </c>
      <c r="C89" t="s">
        <v>222</v>
      </c>
      <c r="D89" t="s">
        <v>446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402</v>
      </c>
    </row>
    <row r="90" spans="1:10" x14ac:dyDescent="0.3">
      <c r="A90" t="s">
        <v>355</v>
      </c>
      <c r="B90" t="s">
        <v>447</v>
      </c>
      <c r="C90" t="s">
        <v>222</v>
      </c>
      <c r="D90" t="s">
        <v>448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402</v>
      </c>
    </row>
    <row r="91" spans="1:10" x14ac:dyDescent="0.3">
      <c r="A91" t="s">
        <v>355</v>
      </c>
      <c r="B91" t="s">
        <v>449</v>
      </c>
      <c r="C91" t="s">
        <v>222</v>
      </c>
      <c r="D91" t="s">
        <v>450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402</v>
      </c>
    </row>
    <row r="92" spans="1:10" x14ac:dyDescent="0.3">
      <c r="A92" t="s">
        <v>355</v>
      </c>
      <c r="B92" t="s">
        <v>451</v>
      </c>
      <c r="C92" t="s">
        <v>222</v>
      </c>
      <c r="D92" t="s">
        <v>452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402</v>
      </c>
    </row>
    <row r="93" spans="1:10" x14ac:dyDescent="0.3">
      <c r="A93" t="s">
        <v>355</v>
      </c>
      <c r="B93" t="s">
        <v>453</v>
      </c>
      <c r="C93" t="s">
        <v>222</v>
      </c>
      <c r="D93" t="s">
        <v>454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402</v>
      </c>
    </row>
    <row r="94" spans="1:10" x14ac:dyDescent="0.3">
      <c r="A94" t="s">
        <v>355</v>
      </c>
      <c r="B94" t="s">
        <v>455</v>
      </c>
      <c r="C94" t="s">
        <v>222</v>
      </c>
      <c r="D94" t="s">
        <v>456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402</v>
      </c>
    </row>
    <row r="95" spans="1:10" x14ac:dyDescent="0.3">
      <c r="A95" t="s">
        <v>355</v>
      </c>
      <c r="B95" t="s">
        <v>457</v>
      </c>
      <c r="C95" t="s">
        <v>222</v>
      </c>
      <c r="D95" t="s">
        <v>458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402</v>
      </c>
    </row>
    <row r="96" spans="1:10" x14ac:dyDescent="0.3">
      <c r="A96" t="s">
        <v>355</v>
      </c>
      <c r="B96" t="s">
        <v>459</v>
      </c>
      <c r="C96" t="s">
        <v>222</v>
      </c>
      <c r="D96" t="s">
        <v>460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402</v>
      </c>
    </row>
    <row r="97" spans="1:10" x14ac:dyDescent="0.3">
      <c r="A97" t="s">
        <v>355</v>
      </c>
      <c r="B97" t="s">
        <v>461</v>
      </c>
      <c r="C97" t="s">
        <v>222</v>
      </c>
      <c r="D97" t="s">
        <v>462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402</v>
      </c>
    </row>
    <row r="98" spans="1:10" x14ac:dyDescent="0.3">
      <c r="A98" t="s">
        <v>355</v>
      </c>
      <c r="B98" t="s">
        <v>463</v>
      </c>
      <c r="C98" t="s">
        <v>222</v>
      </c>
      <c r="D98" t="s">
        <v>464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402</v>
      </c>
    </row>
    <row r="99" spans="1:10" x14ac:dyDescent="0.3">
      <c r="A99" t="s">
        <v>355</v>
      </c>
      <c r="B99" t="s">
        <v>465</v>
      </c>
      <c r="C99" t="s">
        <v>222</v>
      </c>
      <c r="D99" t="s">
        <v>466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402</v>
      </c>
    </row>
    <row r="100" spans="1:10" x14ac:dyDescent="0.3">
      <c r="A100" t="s">
        <v>355</v>
      </c>
      <c r="B100" t="s">
        <v>467</v>
      </c>
      <c r="C100" t="s">
        <v>222</v>
      </c>
      <c r="D100" t="s">
        <v>468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402</v>
      </c>
    </row>
    <row r="101" spans="1:10" x14ac:dyDescent="0.3">
      <c r="A101" t="s">
        <v>355</v>
      </c>
      <c r="B101" t="s">
        <v>469</v>
      </c>
      <c r="C101" t="s">
        <v>222</v>
      </c>
      <c r="D101" t="s">
        <v>470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402</v>
      </c>
    </row>
    <row r="102" spans="1:10" x14ac:dyDescent="0.3">
      <c r="A102" t="s">
        <v>355</v>
      </c>
      <c r="B102" t="s">
        <v>471</v>
      </c>
      <c r="C102" t="s">
        <v>222</v>
      </c>
      <c r="D102" t="s">
        <v>472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402</v>
      </c>
    </row>
    <row r="103" spans="1:10" x14ac:dyDescent="0.3">
      <c r="A103" t="s">
        <v>355</v>
      </c>
      <c r="B103" t="s">
        <v>473</v>
      </c>
      <c r="C103" t="s">
        <v>222</v>
      </c>
      <c r="D103" t="s">
        <v>474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402</v>
      </c>
    </row>
    <row r="104" spans="1:10" x14ac:dyDescent="0.3">
      <c r="A104" t="s">
        <v>355</v>
      </c>
      <c r="B104" t="s">
        <v>475</v>
      </c>
      <c r="C104" t="s">
        <v>222</v>
      </c>
      <c r="D104" t="s">
        <v>476</v>
      </c>
      <c r="E104" s="38">
        <f>21</f>
        <v>21</v>
      </c>
      <c r="F104" s="38">
        <v>21</v>
      </c>
      <c r="G104" s="38">
        <f t="shared" si="6"/>
        <v>0</v>
      </c>
      <c r="H104" s="38">
        <v>0</v>
      </c>
      <c r="I104" s="39" t="str">
        <f t="shared" si="7"/>
        <v>OK</v>
      </c>
      <c r="J104" t="s">
        <v>402</v>
      </c>
    </row>
    <row r="105" spans="1:10" x14ac:dyDescent="0.3">
      <c r="A105" t="s">
        <v>355</v>
      </c>
      <c r="B105" t="s">
        <v>477</v>
      </c>
      <c r="C105" t="s">
        <v>222</v>
      </c>
      <c r="D105" t="s">
        <v>478</v>
      </c>
      <c r="E105" s="38">
        <f>21</f>
        <v>21</v>
      </c>
      <c r="F105" s="38">
        <v>21</v>
      </c>
      <c r="G105" s="38">
        <f t="shared" ref="G105:G136" si="8">E105-F105</f>
        <v>0</v>
      </c>
      <c r="H105" s="38">
        <v>0</v>
      </c>
      <c r="I105" s="39" t="str">
        <f t="shared" ref="I105:I136" si="9">IF(G105=0,"OK","FAIL")</f>
        <v>OK</v>
      </c>
      <c r="J105" t="s">
        <v>402</v>
      </c>
    </row>
    <row r="106" spans="1:10" x14ac:dyDescent="0.3">
      <c r="A106" t="s">
        <v>355</v>
      </c>
      <c r="B106" t="s">
        <v>479</v>
      </c>
      <c r="C106" t="s">
        <v>222</v>
      </c>
      <c r="D106" t="s">
        <v>480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402</v>
      </c>
    </row>
    <row r="107" spans="1:10" x14ac:dyDescent="0.3">
      <c r="A107" t="s">
        <v>355</v>
      </c>
      <c r="B107" t="s">
        <v>481</v>
      </c>
      <c r="C107" t="s">
        <v>222</v>
      </c>
      <c r="D107" t="s">
        <v>482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402</v>
      </c>
    </row>
    <row r="108" spans="1:10" x14ac:dyDescent="0.3">
      <c r="A108" t="s">
        <v>355</v>
      </c>
      <c r="B108" t="s">
        <v>483</v>
      </c>
      <c r="C108" t="s">
        <v>222</v>
      </c>
      <c r="D108" t="s">
        <v>484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402</v>
      </c>
    </row>
    <row r="109" spans="1:10" x14ac:dyDescent="0.3">
      <c r="A109" t="s">
        <v>355</v>
      </c>
      <c r="B109" t="s">
        <v>485</v>
      </c>
      <c r="C109" t="s">
        <v>222</v>
      </c>
      <c r="D109" t="s">
        <v>486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402</v>
      </c>
    </row>
    <row r="110" spans="1:10" x14ac:dyDescent="0.3">
      <c r="A110" t="s">
        <v>355</v>
      </c>
      <c r="B110" t="s">
        <v>487</v>
      </c>
      <c r="C110" t="s">
        <v>0</v>
      </c>
      <c r="D110" t="s">
        <v>488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489</v>
      </c>
    </row>
    <row r="111" spans="1:10" x14ac:dyDescent="0.3">
      <c r="A111" t="s">
        <v>355</v>
      </c>
      <c r="B111" t="s">
        <v>490</v>
      </c>
      <c r="C111" t="s">
        <v>0</v>
      </c>
      <c r="D111" t="s">
        <v>491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489</v>
      </c>
    </row>
    <row r="112" spans="1:10" x14ac:dyDescent="0.3">
      <c r="A112" t="s">
        <v>355</v>
      </c>
      <c r="B112" t="s">
        <v>492</v>
      </c>
      <c r="C112" t="s">
        <v>0</v>
      </c>
      <c r="D112" t="s">
        <v>493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489</v>
      </c>
    </row>
    <row r="113" spans="1:10" x14ac:dyDescent="0.3">
      <c r="A113" t="s">
        <v>355</v>
      </c>
      <c r="B113" t="s">
        <v>494</v>
      </c>
      <c r="C113" t="s">
        <v>0</v>
      </c>
      <c r="D113" t="s">
        <v>495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489</v>
      </c>
    </row>
    <row r="114" spans="1:10" x14ac:dyDescent="0.3">
      <c r="A114" t="s">
        <v>355</v>
      </c>
      <c r="B114" t="s">
        <v>496</v>
      </c>
      <c r="C114" t="s">
        <v>0</v>
      </c>
      <c r="D114" t="s">
        <v>497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489</v>
      </c>
    </row>
    <row r="115" spans="1:10" x14ac:dyDescent="0.3">
      <c r="A115" t="s">
        <v>355</v>
      </c>
      <c r="B115" t="s">
        <v>498</v>
      </c>
      <c r="C115" t="s">
        <v>0</v>
      </c>
      <c r="D115" t="s">
        <v>499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489</v>
      </c>
    </row>
    <row r="116" spans="1:10" x14ac:dyDescent="0.3">
      <c r="A116" t="s">
        <v>355</v>
      </c>
      <c r="B116" t="s">
        <v>500</v>
      </c>
      <c r="C116" t="s">
        <v>0</v>
      </c>
      <c r="D116" t="s">
        <v>501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489</v>
      </c>
    </row>
    <row r="117" spans="1:10" x14ac:dyDescent="0.3">
      <c r="A117" t="s">
        <v>355</v>
      </c>
      <c r="B117" t="s">
        <v>502</v>
      </c>
      <c r="C117" t="s">
        <v>0</v>
      </c>
      <c r="D117" t="s">
        <v>503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489</v>
      </c>
    </row>
    <row r="118" spans="1:10" x14ac:dyDescent="0.3">
      <c r="A118" t="s">
        <v>355</v>
      </c>
      <c r="B118" t="s">
        <v>504</v>
      </c>
      <c r="C118" t="s">
        <v>0</v>
      </c>
      <c r="D118" t="s">
        <v>505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489</v>
      </c>
    </row>
    <row r="119" spans="1:10" x14ac:dyDescent="0.3">
      <c r="A119" t="s">
        <v>355</v>
      </c>
      <c r="B119" t="s">
        <v>506</v>
      </c>
      <c r="C119" t="s">
        <v>0</v>
      </c>
      <c r="D119" t="s">
        <v>507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489</v>
      </c>
    </row>
    <row r="120" spans="1:10" x14ac:dyDescent="0.3">
      <c r="A120" t="s">
        <v>355</v>
      </c>
      <c r="B120" t="s">
        <v>508</v>
      </c>
      <c r="C120" t="s">
        <v>0</v>
      </c>
      <c r="D120" t="s">
        <v>509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489</v>
      </c>
    </row>
    <row r="121" spans="1:10" x14ac:dyDescent="0.3">
      <c r="A121" t="s">
        <v>355</v>
      </c>
      <c r="B121" t="s">
        <v>510</v>
      </c>
      <c r="C121" t="s">
        <v>0</v>
      </c>
      <c r="D121" t="s">
        <v>511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489</v>
      </c>
    </row>
    <row r="122" spans="1:10" x14ac:dyDescent="0.3">
      <c r="A122" t="s">
        <v>355</v>
      </c>
      <c r="B122" t="s">
        <v>512</v>
      </c>
      <c r="C122" t="s">
        <v>0</v>
      </c>
      <c r="D122" t="s">
        <v>513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489</v>
      </c>
    </row>
    <row r="123" spans="1:10" x14ac:dyDescent="0.3">
      <c r="A123" t="s">
        <v>355</v>
      </c>
      <c r="B123" t="s">
        <v>514</v>
      </c>
      <c r="C123" t="s">
        <v>0</v>
      </c>
      <c r="D123" t="s">
        <v>515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489</v>
      </c>
    </row>
    <row r="124" spans="1:10" x14ac:dyDescent="0.3">
      <c r="A124" t="s">
        <v>355</v>
      </c>
      <c r="B124" t="s">
        <v>516</v>
      </c>
      <c r="C124" t="s">
        <v>0</v>
      </c>
      <c r="D124" t="s">
        <v>517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489</v>
      </c>
    </row>
    <row r="125" spans="1:10" x14ac:dyDescent="0.3">
      <c r="A125" t="s">
        <v>355</v>
      </c>
      <c r="B125" t="s">
        <v>518</v>
      </c>
      <c r="C125" t="s">
        <v>0</v>
      </c>
      <c r="D125" t="s">
        <v>519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489</v>
      </c>
    </row>
    <row r="126" spans="1:10" x14ac:dyDescent="0.3">
      <c r="A126" t="s">
        <v>355</v>
      </c>
      <c r="B126" t="s">
        <v>520</v>
      </c>
      <c r="C126" t="s">
        <v>0</v>
      </c>
      <c r="D126" t="s">
        <v>521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489</v>
      </c>
    </row>
    <row r="127" spans="1:10" x14ac:dyDescent="0.3">
      <c r="A127" t="s">
        <v>355</v>
      </c>
      <c r="B127" t="s">
        <v>522</v>
      </c>
      <c r="C127" t="s">
        <v>0</v>
      </c>
      <c r="D127" t="s">
        <v>523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489</v>
      </c>
    </row>
    <row r="128" spans="1:10" x14ac:dyDescent="0.3">
      <c r="A128" t="s">
        <v>355</v>
      </c>
      <c r="B128" t="s">
        <v>524</v>
      </c>
      <c r="C128" t="s">
        <v>0</v>
      </c>
      <c r="D128" t="s">
        <v>525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489</v>
      </c>
    </row>
    <row r="129" spans="1:10" x14ac:dyDescent="0.3">
      <c r="A129" t="s">
        <v>355</v>
      </c>
      <c r="B129" t="s">
        <v>526</v>
      </c>
      <c r="C129" t="s">
        <v>0</v>
      </c>
      <c r="D129" t="s">
        <v>527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489</v>
      </c>
    </row>
    <row r="130" spans="1:10" x14ac:dyDescent="0.3">
      <c r="A130" t="s">
        <v>355</v>
      </c>
      <c r="B130" t="s">
        <v>528</v>
      </c>
      <c r="C130" t="s">
        <v>0</v>
      </c>
      <c r="D130" t="s">
        <v>529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489</v>
      </c>
    </row>
    <row r="131" spans="1:10" x14ac:dyDescent="0.3">
      <c r="A131" t="s">
        <v>355</v>
      </c>
      <c r="B131" t="s">
        <v>530</v>
      </c>
      <c r="C131" t="s">
        <v>0</v>
      </c>
      <c r="D131" t="s">
        <v>531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489</v>
      </c>
    </row>
    <row r="132" spans="1:10" x14ac:dyDescent="0.3">
      <c r="A132" t="s">
        <v>355</v>
      </c>
      <c r="B132" t="s">
        <v>532</v>
      </c>
      <c r="C132" t="s">
        <v>0</v>
      </c>
      <c r="D132" t="s">
        <v>533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489</v>
      </c>
    </row>
    <row r="133" spans="1:10" x14ac:dyDescent="0.3">
      <c r="A133" t="s">
        <v>355</v>
      </c>
      <c r="B133" t="s">
        <v>534</v>
      </c>
      <c r="C133" t="s">
        <v>0</v>
      </c>
      <c r="D133" t="s">
        <v>535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489</v>
      </c>
    </row>
    <row r="134" spans="1:10" x14ac:dyDescent="0.3">
      <c r="A134" t="s">
        <v>355</v>
      </c>
      <c r="B134" t="s">
        <v>536</v>
      </c>
      <c r="C134" t="s">
        <v>0</v>
      </c>
      <c r="D134" t="s">
        <v>537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489</v>
      </c>
    </row>
    <row r="135" spans="1:10" x14ac:dyDescent="0.3">
      <c r="A135" t="s">
        <v>355</v>
      </c>
      <c r="B135" t="s">
        <v>538</v>
      </c>
      <c r="C135" t="s">
        <v>0</v>
      </c>
      <c r="D135" t="s">
        <v>539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489</v>
      </c>
    </row>
    <row r="136" spans="1:10" x14ac:dyDescent="0.3">
      <c r="A136" t="s">
        <v>355</v>
      </c>
      <c r="B136" t="s">
        <v>540</v>
      </c>
      <c r="C136" t="s">
        <v>0</v>
      </c>
      <c r="D136" t="s">
        <v>541</v>
      </c>
      <c r="E136" s="38">
        <f>21</f>
        <v>21</v>
      </c>
      <c r="F136" s="38">
        <v>21</v>
      </c>
      <c r="G136" s="38">
        <f t="shared" si="8"/>
        <v>0</v>
      </c>
      <c r="H136" s="38">
        <v>0</v>
      </c>
      <c r="I136" s="39" t="str">
        <f t="shared" si="9"/>
        <v>OK</v>
      </c>
      <c r="J136" t="s">
        <v>489</v>
      </c>
    </row>
    <row r="137" spans="1:10" x14ac:dyDescent="0.3">
      <c r="A137" t="s">
        <v>355</v>
      </c>
      <c r="B137" t="s">
        <v>542</v>
      </c>
      <c r="C137" t="s">
        <v>0</v>
      </c>
      <c r="D137" t="s">
        <v>543</v>
      </c>
      <c r="E137" s="38">
        <f>21</f>
        <v>21</v>
      </c>
      <c r="F137" s="38">
        <v>21</v>
      </c>
      <c r="G137" s="38">
        <f t="shared" ref="G137:G159" si="10">E137-F137</f>
        <v>0</v>
      </c>
      <c r="H137" s="38">
        <v>0</v>
      </c>
      <c r="I137" s="39" t="str">
        <f t="shared" ref="I137:I159" si="11">IF(G137=0,"OK","FAIL")</f>
        <v>OK</v>
      </c>
      <c r="J137" t="s">
        <v>489</v>
      </c>
    </row>
    <row r="138" spans="1:10" x14ac:dyDescent="0.3">
      <c r="A138" t="s">
        <v>355</v>
      </c>
      <c r="B138" t="s">
        <v>544</v>
      </c>
      <c r="C138" t="s">
        <v>0</v>
      </c>
      <c r="D138" t="s">
        <v>545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489</v>
      </c>
    </row>
    <row r="139" spans="1:10" x14ac:dyDescent="0.3">
      <c r="A139" t="s">
        <v>355</v>
      </c>
      <c r="B139" t="s">
        <v>546</v>
      </c>
      <c r="C139" t="s">
        <v>0</v>
      </c>
      <c r="D139" t="s">
        <v>547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489</v>
      </c>
    </row>
    <row r="140" spans="1:10" x14ac:dyDescent="0.3">
      <c r="A140" t="s">
        <v>355</v>
      </c>
      <c r="B140" t="s">
        <v>548</v>
      </c>
      <c r="C140" t="s">
        <v>0</v>
      </c>
      <c r="D140" t="s">
        <v>549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489</v>
      </c>
    </row>
    <row r="141" spans="1:10" x14ac:dyDescent="0.3">
      <c r="A141" t="s">
        <v>355</v>
      </c>
      <c r="B141" t="s">
        <v>550</v>
      </c>
      <c r="C141" t="s">
        <v>0</v>
      </c>
      <c r="D141" t="s">
        <v>551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489</v>
      </c>
    </row>
    <row r="142" spans="1:10" x14ac:dyDescent="0.3">
      <c r="A142" t="s">
        <v>355</v>
      </c>
      <c r="B142" t="s">
        <v>552</v>
      </c>
      <c r="C142" t="s">
        <v>0</v>
      </c>
      <c r="D142" t="s">
        <v>553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489</v>
      </c>
    </row>
    <row r="143" spans="1:10" x14ac:dyDescent="0.3">
      <c r="A143" t="s">
        <v>355</v>
      </c>
      <c r="B143" t="s">
        <v>554</v>
      </c>
      <c r="C143" t="s">
        <v>0</v>
      </c>
      <c r="D143" t="s">
        <v>555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489</v>
      </c>
    </row>
    <row r="144" spans="1:10" x14ac:dyDescent="0.3">
      <c r="A144" t="s">
        <v>355</v>
      </c>
      <c r="B144" t="s">
        <v>556</v>
      </c>
      <c r="C144" t="s">
        <v>0</v>
      </c>
      <c r="D144" t="s">
        <v>557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489</v>
      </c>
    </row>
    <row r="145" spans="1:10" x14ac:dyDescent="0.3">
      <c r="A145" t="s">
        <v>355</v>
      </c>
      <c r="B145" t="s">
        <v>558</v>
      </c>
      <c r="C145" t="s">
        <v>0</v>
      </c>
      <c r="D145" t="s">
        <v>559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489</v>
      </c>
    </row>
    <row r="146" spans="1:10" x14ac:dyDescent="0.3">
      <c r="A146" t="s">
        <v>355</v>
      </c>
      <c r="B146" t="s">
        <v>560</v>
      </c>
      <c r="C146" t="s">
        <v>0</v>
      </c>
      <c r="D146" t="s">
        <v>561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489</v>
      </c>
    </row>
    <row r="147" spans="1:10" x14ac:dyDescent="0.3">
      <c r="A147" t="s">
        <v>355</v>
      </c>
      <c r="B147" t="s">
        <v>562</v>
      </c>
      <c r="C147" t="s">
        <v>0</v>
      </c>
      <c r="D147" t="s">
        <v>563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489</v>
      </c>
    </row>
    <row r="148" spans="1:10" x14ac:dyDescent="0.3">
      <c r="A148" t="s">
        <v>355</v>
      </c>
      <c r="B148" t="s">
        <v>564</v>
      </c>
      <c r="C148" t="s">
        <v>0</v>
      </c>
      <c r="D148" t="s">
        <v>565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489</v>
      </c>
    </row>
    <row r="149" spans="1:10" x14ac:dyDescent="0.3">
      <c r="A149" t="s">
        <v>355</v>
      </c>
      <c r="B149" t="s">
        <v>566</v>
      </c>
      <c r="C149" t="s">
        <v>0</v>
      </c>
      <c r="D149" t="s">
        <v>567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489</v>
      </c>
    </row>
    <row r="150" spans="1:10" x14ac:dyDescent="0.3">
      <c r="A150" t="s">
        <v>355</v>
      </c>
      <c r="B150" t="s">
        <v>568</v>
      </c>
      <c r="C150" t="s">
        <v>0</v>
      </c>
      <c r="D150" t="s">
        <v>569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489</v>
      </c>
    </row>
    <row r="151" spans="1:10" x14ac:dyDescent="0.3">
      <c r="A151" t="s">
        <v>355</v>
      </c>
      <c r="B151" t="s">
        <v>570</v>
      </c>
      <c r="C151" t="s">
        <v>0</v>
      </c>
      <c r="D151" t="s">
        <v>571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489</v>
      </c>
    </row>
    <row r="152" spans="1:10" x14ac:dyDescent="0.3">
      <c r="A152" t="s">
        <v>355</v>
      </c>
      <c r="B152" t="s">
        <v>572</v>
      </c>
      <c r="C152" t="s">
        <v>0</v>
      </c>
      <c r="D152" t="s">
        <v>573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489</v>
      </c>
    </row>
    <row r="153" spans="1:10" x14ac:dyDescent="0.3">
      <c r="A153" t="s">
        <v>355</v>
      </c>
      <c r="B153" t="s">
        <v>574</v>
      </c>
      <c r="C153" t="s">
        <v>0</v>
      </c>
      <c r="D153" t="s">
        <v>575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489</v>
      </c>
    </row>
    <row r="154" spans="1:10" x14ac:dyDescent="0.3">
      <c r="A154" t="s">
        <v>355</v>
      </c>
      <c r="B154" t="s">
        <v>576</v>
      </c>
      <c r="C154" t="s">
        <v>0</v>
      </c>
      <c r="D154" t="s">
        <v>577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489</v>
      </c>
    </row>
    <row r="155" spans="1:10" x14ac:dyDescent="0.3">
      <c r="A155" t="s">
        <v>355</v>
      </c>
      <c r="B155" t="s">
        <v>578</v>
      </c>
      <c r="C155" t="s">
        <v>0</v>
      </c>
      <c r="D155" t="s">
        <v>579</v>
      </c>
      <c r="E155" s="38">
        <f>21</f>
        <v>21</v>
      </c>
      <c r="F155" s="38">
        <v>21</v>
      </c>
      <c r="G155" s="38">
        <f t="shared" si="10"/>
        <v>0</v>
      </c>
      <c r="H155" s="38">
        <v>0</v>
      </c>
      <c r="I155" s="39" t="str">
        <f t="shared" si="11"/>
        <v>OK</v>
      </c>
      <c r="J155" t="s">
        <v>489</v>
      </c>
    </row>
    <row r="156" spans="1:10" x14ac:dyDescent="0.3">
      <c r="A156" t="s">
        <v>355</v>
      </c>
      <c r="B156" t="s">
        <v>580</v>
      </c>
      <c r="C156" t="s">
        <v>0</v>
      </c>
      <c r="D156" t="s">
        <v>581</v>
      </c>
      <c r="E156" s="38">
        <f>21</f>
        <v>21</v>
      </c>
      <c r="F156" s="38">
        <v>21</v>
      </c>
      <c r="G156" s="38">
        <f t="shared" si="10"/>
        <v>0</v>
      </c>
      <c r="H156" s="38">
        <v>0</v>
      </c>
      <c r="I156" s="39" t="str">
        <f t="shared" si="11"/>
        <v>OK</v>
      </c>
      <c r="J156" t="s">
        <v>489</v>
      </c>
    </row>
    <row r="157" spans="1:10" x14ac:dyDescent="0.3">
      <c r="A157" t="s">
        <v>355</v>
      </c>
      <c r="B157" t="s">
        <v>582</v>
      </c>
      <c r="C157" t="s">
        <v>0</v>
      </c>
      <c r="D157" t="s">
        <v>583</v>
      </c>
      <c r="E157" s="38">
        <f>21</f>
        <v>21</v>
      </c>
      <c r="F157" s="38">
        <v>21</v>
      </c>
      <c r="G157" s="38">
        <f t="shared" si="10"/>
        <v>0</v>
      </c>
      <c r="H157" s="38">
        <v>0</v>
      </c>
      <c r="I157" s="39" t="str">
        <f t="shared" si="11"/>
        <v>OK</v>
      </c>
      <c r="J157" t="s">
        <v>489</v>
      </c>
    </row>
    <row r="158" spans="1:10" x14ac:dyDescent="0.3">
      <c r="A158" t="s">
        <v>355</v>
      </c>
      <c r="B158" t="s">
        <v>584</v>
      </c>
      <c r="C158" t="s">
        <v>0</v>
      </c>
      <c r="D158" t="s">
        <v>585</v>
      </c>
      <c r="E158" s="38">
        <f>21</f>
        <v>21</v>
      </c>
      <c r="F158" s="38">
        <v>21</v>
      </c>
      <c r="G158" s="38">
        <f t="shared" si="10"/>
        <v>0</v>
      </c>
      <c r="H158" s="38">
        <v>0</v>
      </c>
      <c r="I158" s="39" t="str">
        <f t="shared" si="11"/>
        <v>OK</v>
      </c>
      <c r="J158" t="s">
        <v>489</v>
      </c>
    </row>
    <row r="159" spans="1:10" x14ac:dyDescent="0.3">
      <c r="A159" t="s">
        <v>355</v>
      </c>
      <c r="B159" t="s">
        <v>586</v>
      </c>
      <c r="C159" t="s">
        <v>0</v>
      </c>
      <c r="D159" t="s">
        <v>587</v>
      </c>
      <c r="E159" s="38">
        <f>21</f>
        <v>21</v>
      </c>
      <c r="F159" s="38">
        <v>21</v>
      </c>
      <c r="G159" s="38">
        <f t="shared" si="10"/>
        <v>0</v>
      </c>
      <c r="H159" s="38">
        <v>0</v>
      </c>
      <c r="I159" s="39" t="str">
        <f t="shared" si="11"/>
        <v>OK</v>
      </c>
      <c r="J159" t="s">
        <v>489</v>
      </c>
    </row>
    <row r="161" spans="1:10" x14ac:dyDescent="0.3">
      <c r="A161" s="51" t="s">
        <v>588</v>
      </c>
      <c r="B161" s="52"/>
      <c r="C161" s="52"/>
      <c r="D161" s="52"/>
      <c r="E161" s="52"/>
      <c r="F161" s="52"/>
      <c r="G161" s="52"/>
      <c r="H161" s="52"/>
      <c r="I161" s="52"/>
      <c r="J161" s="52"/>
    </row>
    <row r="162" spans="1:10" x14ac:dyDescent="0.3">
      <c r="A162" t="s">
        <v>589</v>
      </c>
      <c r="B162" t="s">
        <v>590</v>
      </c>
      <c r="C162" t="s">
        <v>82</v>
      </c>
      <c r="D162" t="s">
        <v>591</v>
      </c>
      <c r="E162" s="38">
        <f>SUMPRODUCT(--ISERROR('Revenue Drivers'!C7:W34))</f>
        <v>0</v>
      </c>
      <c r="F162" s="38">
        <v>0</v>
      </c>
      <c r="G162" s="38">
        <f t="shared" ref="G162:G168" si="12">E162-F162</f>
        <v>0</v>
      </c>
      <c r="H162" s="38">
        <v>0</v>
      </c>
      <c r="I162" s="39" t="str">
        <f t="shared" ref="I162:I168" si="13">IF(E162=0,"OK","FAIL")</f>
        <v>OK</v>
      </c>
      <c r="J162" t="s">
        <v>592</v>
      </c>
    </row>
    <row r="163" spans="1:10" x14ac:dyDescent="0.3">
      <c r="A163" t="s">
        <v>589</v>
      </c>
      <c r="B163" t="s">
        <v>593</v>
      </c>
      <c r="C163" t="s">
        <v>116</v>
      </c>
      <c r="D163" t="s">
        <v>594</v>
      </c>
      <c r="E163" s="38">
        <f>SUMPRODUCT(--ISERROR('Payroll Schedule'!C15:W86))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592</v>
      </c>
    </row>
    <row r="164" spans="1:10" x14ac:dyDescent="0.3">
      <c r="A164" t="s">
        <v>589</v>
      </c>
      <c r="B164" t="s">
        <v>595</v>
      </c>
      <c r="C164" t="s">
        <v>159</v>
      </c>
      <c r="D164" t="s">
        <v>596</v>
      </c>
      <c r="E164" s="38">
        <f>SUMPRODUCT(--ISERROR('Debt Schedule'!C7:W26))</f>
        <v>0</v>
      </c>
      <c r="F164" s="38">
        <v>0</v>
      </c>
      <c r="G164" s="38">
        <f t="shared" si="12"/>
        <v>0</v>
      </c>
      <c r="H164" s="38">
        <v>0</v>
      </c>
      <c r="I164" s="39" t="str">
        <f t="shared" si="13"/>
        <v>OK</v>
      </c>
      <c r="J164" t="s">
        <v>592</v>
      </c>
    </row>
    <row r="165" spans="1:10" x14ac:dyDescent="0.3">
      <c r="A165" t="s">
        <v>589</v>
      </c>
      <c r="B165" t="s">
        <v>597</v>
      </c>
      <c r="C165" t="s">
        <v>339</v>
      </c>
      <c r="D165" t="s">
        <v>598</v>
      </c>
      <c r="E165" s="38">
        <f>SUMPRODUCT(--ISERROR('CapEx Depreciation'!C7:W14))</f>
        <v>0</v>
      </c>
      <c r="F165" s="38">
        <v>0</v>
      </c>
      <c r="G165" s="38">
        <f t="shared" si="12"/>
        <v>0</v>
      </c>
      <c r="H165" s="38">
        <v>0</v>
      </c>
      <c r="I165" s="39" t="str">
        <f t="shared" si="13"/>
        <v>OK</v>
      </c>
      <c r="J165" t="s">
        <v>592</v>
      </c>
    </row>
    <row r="166" spans="1:10" x14ac:dyDescent="0.3">
      <c r="A166" t="s">
        <v>589</v>
      </c>
      <c r="B166" t="s">
        <v>599</v>
      </c>
      <c r="C166" t="s">
        <v>600</v>
      </c>
      <c r="D166" t="s">
        <v>601</v>
      </c>
      <c r="E166" s="38">
        <f>SUMPRODUCT(--ISERROR('Cash Equity Schedule'!C7:W12))</f>
        <v>0</v>
      </c>
      <c r="F166" s="38">
        <v>0</v>
      </c>
      <c r="G166" s="38">
        <f t="shared" si="12"/>
        <v>0</v>
      </c>
      <c r="H166" s="38">
        <v>0</v>
      </c>
      <c r="I166" s="39" t="str">
        <f t="shared" si="13"/>
        <v>OK</v>
      </c>
      <c r="J166" t="s">
        <v>592</v>
      </c>
    </row>
    <row r="167" spans="1:10" x14ac:dyDescent="0.3">
      <c r="A167" t="s">
        <v>589</v>
      </c>
      <c r="B167" t="s">
        <v>602</v>
      </c>
      <c r="C167" t="s">
        <v>222</v>
      </c>
      <c r="D167" t="s">
        <v>603</v>
      </c>
      <c r="E167" s="38">
        <f>SUMPRODUCT(--ISERROR('Model Inputs'!C7:W58))</f>
        <v>0</v>
      </c>
      <c r="F167" s="38">
        <v>0</v>
      </c>
      <c r="G167" s="38">
        <f t="shared" si="12"/>
        <v>0</v>
      </c>
      <c r="H167" s="38">
        <v>0</v>
      </c>
      <c r="I167" s="39" t="str">
        <f t="shared" si="13"/>
        <v>OK</v>
      </c>
      <c r="J167" t="s">
        <v>592</v>
      </c>
    </row>
    <row r="168" spans="1:10" x14ac:dyDescent="0.3">
      <c r="A168" t="s">
        <v>589</v>
      </c>
      <c r="B168" t="s">
        <v>604</v>
      </c>
      <c r="C168" t="s">
        <v>0</v>
      </c>
      <c r="D168" t="s">
        <v>605</v>
      </c>
      <c r="E168" s="38">
        <f>SUMPRODUCT(--ISERROR(FINMO!C8:W61))</f>
        <v>0</v>
      </c>
      <c r="F168" s="38">
        <v>0</v>
      </c>
      <c r="G168" s="38">
        <f t="shared" si="12"/>
        <v>0</v>
      </c>
      <c r="H168" s="38">
        <v>0</v>
      </c>
      <c r="I168" s="39" t="str">
        <f t="shared" si="13"/>
        <v>OK</v>
      </c>
      <c r="J168" t="s">
        <v>592</v>
      </c>
    </row>
    <row r="170" spans="1:10" x14ac:dyDescent="0.3">
      <c r="A170" s="51" t="s">
        <v>606</v>
      </c>
      <c r="B170" s="52"/>
      <c r="C170" s="52"/>
      <c r="D170" s="52"/>
      <c r="E170" s="52"/>
      <c r="F170" s="52"/>
      <c r="G170" s="52"/>
      <c r="H170" s="52"/>
      <c r="I170" s="52"/>
      <c r="J170" s="52"/>
    </row>
    <row r="171" spans="1:10" x14ac:dyDescent="0.3">
      <c r="A171" t="s">
        <v>607</v>
      </c>
      <c r="B171" t="s">
        <v>608</v>
      </c>
      <c r="C171" t="s">
        <v>609</v>
      </c>
      <c r="D171" t="s">
        <v>610</v>
      </c>
      <c r="E171" s="38">
        <f>FINMO!W8</f>
        <v>639387.23374430416</v>
      </c>
      <c r="F171" s="38">
        <f>'Audit Source'!W7</f>
        <v>639387.23374399997</v>
      </c>
      <c r="G171" s="38">
        <f t="shared" ref="G171:G177" si="14">E171-F171</f>
        <v>3.0419323593378067E-7</v>
      </c>
      <c r="H171" s="38">
        <v>1</v>
      </c>
      <c r="I171" s="39" t="str">
        <f t="shared" ref="I171:I177" si="15">IF(ABS(G171)&lt;=H171,"MATCH","CHANGED")</f>
        <v>MATCH</v>
      </c>
      <c r="J171" t="s">
        <v>611</v>
      </c>
    </row>
    <row r="172" spans="1:10" x14ac:dyDescent="0.3">
      <c r="A172" t="s">
        <v>607</v>
      </c>
      <c r="B172" t="s">
        <v>612</v>
      </c>
      <c r="C172" t="s">
        <v>609</v>
      </c>
      <c r="D172" t="s">
        <v>613</v>
      </c>
      <c r="E172" s="38">
        <f>FINMO!W14</f>
        <v>130050.345</v>
      </c>
      <c r="F172" s="38">
        <f>'Audit Source'!W13</f>
        <v>130050</v>
      </c>
      <c r="G172" s="38">
        <f t="shared" si="14"/>
        <v>0.34500000000116415</v>
      </c>
      <c r="H172" s="38">
        <v>1</v>
      </c>
      <c r="I172" s="39" t="str">
        <f t="shared" si="15"/>
        <v>MATCH</v>
      </c>
      <c r="J172" t="s">
        <v>611</v>
      </c>
    </row>
    <row r="173" spans="1:10" x14ac:dyDescent="0.3">
      <c r="A173" t="s">
        <v>607</v>
      </c>
      <c r="B173" t="s">
        <v>614</v>
      </c>
      <c r="C173" t="s">
        <v>609</v>
      </c>
      <c r="D173" t="s">
        <v>615</v>
      </c>
      <c r="E173" s="38">
        <f>FINMO!W20</f>
        <v>33360.938505832055</v>
      </c>
      <c r="F173" s="38">
        <f>'Audit Source'!W19</f>
        <v>33361.212788999997</v>
      </c>
      <c r="G173" s="38">
        <f t="shared" si="14"/>
        <v>-0.27428316794248531</v>
      </c>
      <c r="H173" s="38">
        <v>1</v>
      </c>
      <c r="I173" s="39" t="str">
        <f t="shared" si="15"/>
        <v>MATCH</v>
      </c>
      <c r="J173" t="s">
        <v>611</v>
      </c>
    </row>
    <row r="174" spans="1:10" x14ac:dyDescent="0.3">
      <c r="A174" t="s">
        <v>607</v>
      </c>
      <c r="B174" t="s">
        <v>616</v>
      </c>
      <c r="C174" t="s">
        <v>609</v>
      </c>
      <c r="D174" t="s">
        <v>617</v>
      </c>
      <c r="E174" s="38">
        <f>FINMO!W23</f>
        <v>398158.27465863875</v>
      </c>
      <c r="F174" s="38">
        <f>'Audit Source'!W23</f>
        <v>398145.53418000002</v>
      </c>
      <c r="G174" s="38">
        <f t="shared" si="14"/>
        <v>12.740478638734203</v>
      </c>
      <c r="H174" s="38">
        <v>1</v>
      </c>
      <c r="I174" s="39" t="str">
        <f t="shared" si="15"/>
        <v>CHANGED</v>
      </c>
      <c r="J174" t="s">
        <v>611</v>
      </c>
    </row>
    <row r="175" spans="1:10" x14ac:dyDescent="0.3">
      <c r="A175" t="s">
        <v>607</v>
      </c>
      <c r="B175" t="s">
        <v>618</v>
      </c>
      <c r="C175" t="s">
        <v>609</v>
      </c>
      <c r="D175" t="s">
        <v>271</v>
      </c>
      <c r="E175" s="38">
        <f>FINMO!W31</f>
        <v>906709.56999677909</v>
      </c>
      <c r="F175" s="38">
        <f>'Audit Source'!W29</f>
        <v>906696.82951800001</v>
      </c>
      <c r="G175" s="38">
        <f t="shared" si="14"/>
        <v>12.740478779072873</v>
      </c>
      <c r="H175" s="38">
        <v>1</v>
      </c>
      <c r="I175" s="39" t="str">
        <f t="shared" si="15"/>
        <v>CHANGED</v>
      </c>
      <c r="J175" t="s">
        <v>611</v>
      </c>
    </row>
    <row r="176" spans="1:10" x14ac:dyDescent="0.3">
      <c r="A176" t="s">
        <v>607</v>
      </c>
      <c r="B176" t="s">
        <v>619</v>
      </c>
      <c r="C176" t="s">
        <v>609</v>
      </c>
      <c r="D176" t="s">
        <v>620</v>
      </c>
      <c r="E176" s="38">
        <f>FINMO!W43</f>
        <v>906709.5699967792</v>
      </c>
      <c r="F176" s="38">
        <f>'Audit Source'!W41</f>
        <v>906696.82951800001</v>
      </c>
      <c r="G176" s="38">
        <f t="shared" si="14"/>
        <v>12.740478779189289</v>
      </c>
      <c r="H176" s="38">
        <v>1</v>
      </c>
      <c r="I176" s="39" t="str">
        <f t="shared" si="15"/>
        <v>CHANGED</v>
      </c>
      <c r="J176" t="s">
        <v>611</v>
      </c>
    </row>
    <row r="177" spans="1:10" x14ac:dyDescent="0.3">
      <c r="A177" t="s">
        <v>607</v>
      </c>
      <c r="B177" t="s">
        <v>621</v>
      </c>
      <c r="C177" t="s">
        <v>609</v>
      </c>
      <c r="D177" t="s">
        <v>273</v>
      </c>
      <c r="E177" s="38">
        <f>FINMO!W61</f>
        <v>398158.27465863875</v>
      </c>
      <c r="F177" s="38">
        <f>'Audit Source'!W59</f>
        <v>398145.53418000002</v>
      </c>
      <c r="G177" s="38">
        <f t="shared" si="14"/>
        <v>12.740478638734203</v>
      </c>
      <c r="H177" s="38">
        <v>1</v>
      </c>
      <c r="I177" s="39" t="str">
        <f t="shared" si="15"/>
        <v>CHANGED</v>
      </c>
      <c r="J177" t="s">
        <v>611</v>
      </c>
    </row>
  </sheetData>
  <mergeCells count="6">
    <mergeCell ref="A170:J170"/>
    <mergeCell ref="A6:J6"/>
    <mergeCell ref="A40:J40"/>
    <mergeCell ref="B3:F3"/>
    <mergeCell ref="A21:J21"/>
    <mergeCell ref="A161:J161"/>
  </mergeCells>
  <conditionalFormatting sqref="I7:I177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622</v>
      </c>
    </row>
    <row r="3" spans="1:3" ht="22.05" customHeight="1" x14ac:dyDescent="0.3">
      <c r="A3" s="42" t="s">
        <v>623</v>
      </c>
      <c r="B3" s="43"/>
      <c r="C3" s="43"/>
    </row>
    <row r="4" spans="1:3" x14ac:dyDescent="0.3">
      <c r="A4" s="44" t="s">
        <v>624</v>
      </c>
      <c r="B4" s="45" t="s">
        <v>625</v>
      </c>
    </row>
    <row r="5" spans="1:3" x14ac:dyDescent="0.3">
      <c r="A5" s="44" t="s">
        <v>626</v>
      </c>
      <c r="B5" s="45" t="s">
        <v>627</v>
      </c>
    </row>
    <row r="6" spans="1:3" x14ac:dyDescent="0.3">
      <c r="A6" s="44" t="s">
        <v>628</v>
      </c>
      <c r="B6" s="45" t="s">
        <v>629</v>
      </c>
    </row>
    <row r="7" spans="1:3" x14ac:dyDescent="0.3">
      <c r="A7" s="44" t="s">
        <v>630</v>
      </c>
      <c r="B7" s="45" t="s">
        <v>631</v>
      </c>
    </row>
    <row r="8" spans="1:3" x14ac:dyDescent="0.3">
      <c r="A8" s="44" t="s">
        <v>632</v>
      </c>
      <c r="B8" s="45" t="s">
        <v>633</v>
      </c>
    </row>
    <row r="9" spans="1:3" x14ac:dyDescent="0.3">
      <c r="A9" s="44" t="s">
        <v>634</v>
      </c>
      <c r="B9" s="45" t="s">
        <v>635</v>
      </c>
    </row>
    <row r="10" spans="1:3" x14ac:dyDescent="0.3">
      <c r="A10" s="44" t="s">
        <v>636</v>
      </c>
      <c r="B10" s="45" t="s">
        <v>637</v>
      </c>
    </row>
    <row r="11" spans="1:3" x14ac:dyDescent="0.3">
      <c r="A11" s="44" t="s">
        <v>638</v>
      </c>
      <c r="B11" s="45" t="s">
        <v>639</v>
      </c>
    </row>
    <row r="13" spans="1:3" ht="22.05" customHeight="1" x14ac:dyDescent="0.3">
      <c r="A13" s="42" t="s">
        <v>640</v>
      </c>
      <c r="B13" s="43"/>
      <c r="C13" s="43"/>
    </row>
    <row r="14" spans="1:3" x14ac:dyDescent="0.3">
      <c r="A14" s="44" t="s">
        <v>641</v>
      </c>
      <c r="B14" s="45" t="s">
        <v>642</v>
      </c>
    </row>
    <row r="15" spans="1:3" x14ac:dyDescent="0.3">
      <c r="A15" s="44" t="s">
        <v>643</v>
      </c>
      <c r="B15" s="45" t="s">
        <v>644</v>
      </c>
    </row>
    <row r="17" spans="1:3" ht="22.05" customHeight="1" x14ac:dyDescent="0.3">
      <c r="A17" s="42" t="s">
        <v>645</v>
      </c>
      <c r="B17" s="43"/>
      <c r="C17" s="43"/>
    </row>
    <row r="18" spans="1:3" x14ac:dyDescent="0.3">
      <c r="A18" s="44" t="s">
        <v>646</v>
      </c>
      <c r="B18" s="45" t="s">
        <v>647</v>
      </c>
    </row>
    <row r="20" spans="1:3" ht="22.05" customHeight="1" x14ac:dyDescent="0.3">
      <c r="A20" s="42" t="s">
        <v>648</v>
      </c>
      <c r="B20" s="43"/>
      <c r="C20" s="43"/>
    </row>
    <row r="21" spans="1:3" x14ac:dyDescent="0.3">
      <c r="A21" s="46" t="s">
        <v>649</v>
      </c>
      <c r="B21" s="47" t="s">
        <v>259</v>
      </c>
    </row>
    <row r="22" spans="1:3" x14ac:dyDescent="0.3">
      <c r="A22" s="45" t="s">
        <v>650</v>
      </c>
      <c r="B22" s="48" t="s">
        <v>651</v>
      </c>
    </row>
    <row r="23" spans="1:3" x14ac:dyDescent="0.3">
      <c r="A23" s="49" t="s">
        <v>652</v>
      </c>
      <c r="B23" s="50" t="s">
        <v>651</v>
      </c>
    </row>
    <row r="24" spans="1:3" x14ac:dyDescent="0.3">
      <c r="A24" s="45" t="s">
        <v>653</v>
      </c>
      <c r="B24" s="48" t="s">
        <v>651</v>
      </c>
    </row>
    <row r="25" spans="1:3" x14ac:dyDescent="0.3">
      <c r="A25" s="49" t="s">
        <v>654</v>
      </c>
      <c r="B25" s="50" t="s">
        <v>651</v>
      </c>
    </row>
    <row r="26" spans="1:3" x14ac:dyDescent="0.3">
      <c r="A26" s="45" t="s">
        <v>655</v>
      </c>
      <c r="B26" s="48" t="s">
        <v>651</v>
      </c>
    </row>
    <row r="27" spans="1:3" x14ac:dyDescent="0.3">
      <c r="A27" s="49" t="s">
        <v>656</v>
      </c>
      <c r="B27" s="50" t="s">
        <v>651</v>
      </c>
    </row>
    <row r="28" spans="1:3" x14ac:dyDescent="0.3">
      <c r="A28" s="45" t="s">
        <v>657</v>
      </c>
      <c r="B28" s="48" t="s">
        <v>651</v>
      </c>
    </row>
    <row r="29" spans="1:3" x14ac:dyDescent="0.3">
      <c r="A29" s="49" t="s">
        <v>658</v>
      </c>
      <c r="B29" s="50" t="s">
        <v>651</v>
      </c>
    </row>
    <row r="30" spans="1:3" x14ac:dyDescent="0.3">
      <c r="A30" s="45" t="s">
        <v>659</v>
      </c>
      <c r="B30" s="48" t="s">
        <v>651</v>
      </c>
    </row>
    <row r="31" spans="1:3" x14ac:dyDescent="0.3">
      <c r="A31" s="49" t="s">
        <v>660</v>
      </c>
      <c r="B31" s="50" t="s">
        <v>651</v>
      </c>
    </row>
    <row r="32" spans="1:3" x14ac:dyDescent="0.3">
      <c r="A32" s="45" t="s">
        <v>661</v>
      </c>
      <c r="B32" s="48" t="s">
        <v>651</v>
      </c>
    </row>
    <row r="33" spans="1:2" x14ac:dyDescent="0.3">
      <c r="A33" s="49" t="s">
        <v>662</v>
      </c>
      <c r="B33" s="50" t="s">
        <v>651</v>
      </c>
    </row>
    <row r="34" spans="1:2" x14ac:dyDescent="0.3">
      <c r="A34" s="45" t="s">
        <v>663</v>
      </c>
      <c r="B34" s="48" t="s">
        <v>651</v>
      </c>
    </row>
    <row r="35" spans="1:2" x14ac:dyDescent="0.3">
      <c r="A35" s="49" t="s">
        <v>664</v>
      </c>
      <c r="B35" s="50" t="s">
        <v>651</v>
      </c>
    </row>
    <row r="36" spans="1:2" x14ac:dyDescent="0.3">
      <c r="A36" s="45" t="s">
        <v>665</v>
      </c>
      <c r="B36" s="48" t="s">
        <v>651</v>
      </c>
    </row>
    <row r="37" spans="1:2" x14ac:dyDescent="0.3">
      <c r="A37" s="49" t="s">
        <v>666</v>
      </c>
      <c r="B37" s="50" t="s">
        <v>651</v>
      </c>
    </row>
    <row r="38" spans="1:2" x14ac:dyDescent="0.3">
      <c r="A38" s="45" t="s">
        <v>667</v>
      </c>
      <c r="B38" s="48" t="s">
        <v>651</v>
      </c>
    </row>
    <row r="39" spans="1:2" x14ac:dyDescent="0.3">
      <c r="A39" s="49" t="s">
        <v>668</v>
      </c>
      <c r="B39" s="50" t="s">
        <v>651</v>
      </c>
    </row>
    <row r="40" spans="1:2" x14ac:dyDescent="0.3">
      <c r="A40" s="45" t="s">
        <v>669</v>
      </c>
      <c r="B40" s="48" t="s">
        <v>651</v>
      </c>
    </row>
    <row r="41" spans="1:2" x14ac:dyDescent="0.3">
      <c r="A41" s="49" t="s">
        <v>670</v>
      </c>
      <c r="B41" s="50" t="s">
        <v>651</v>
      </c>
    </row>
    <row r="42" spans="1:2" x14ac:dyDescent="0.3">
      <c r="A42" s="45" t="s">
        <v>671</v>
      </c>
      <c r="B42" s="48" t="s">
        <v>651</v>
      </c>
    </row>
    <row r="43" spans="1:2" x14ac:dyDescent="0.3">
      <c r="A43" s="49" t="s">
        <v>672</v>
      </c>
      <c r="B43" s="50" t="s">
        <v>651</v>
      </c>
    </row>
    <row r="44" spans="1:2" x14ac:dyDescent="0.3">
      <c r="A44" s="45" t="s">
        <v>673</v>
      </c>
      <c r="B44" s="48" t="s">
        <v>651</v>
      </c>
    </row>
    <row r="45" spans="1:2" x14ac:dyDescent="0.3">
      <c r="A45" s="49" t="s">
        <v>674</v>
      </c>
      <c r="B45" s="50" t="s">
        <v>651</v>
      </c>
    </row>
    <row r="46" spans="1:2" x14ac:dyDescent="0.3">
      <c r="A46" s="45" t="s">
        <v>675</v>
      </c>
      <c r="B46" s="48" t="s">
        <v>651</v>
      </c>
    </row>
    <row r="47" spans="1:2" x14ac:dyDescent="0.3">
      <c r="A47" s="49" t="s">
        <v>676</v>
      </c>
      <c r="B47" s="50" t="s">
        <v>651</v>
      </c>
    </row>
    <row r="48" spans="1:2" x14ac:dyDescent="0.3">
      <c r="A48" s="45" t="s">
        <v>677</v>
      </c>
      <c r="B48" s="48" t="s">
        <v>651</v>
      </c>
    </row>
    <row r="49" spans="1:2" x14ac:dyDescent="0.3">
      <c r="A49" s="49" t="s">
        <v>678</v>
      </c>
      <c r="B49" s="50" t="s">
        <v>651</v>
      </c>
    </row>
    <row r="50" spans="1:2" x14ac:dyDescent="0.3">
      <c r="A50" s="45" t="s">
        <v>679</v>
      </c>
      <c r="B50" s="48" t="s">
        <v>651</v>
      </c>
    </row>
    <row r="51" spans="1:2" x14ac:dyDescent="0.3">
      <c r="A51" s="49" t="s">
        <v>680</v>
      </c>
      <c r="B51" s="50" t="s">
        <v>651</v>
      </c>
    </row>
    <row r="52" spans="1:2" x14ac:dyDescent="0.3">
      <c r="A52" s="45" t="s">
        <v>681</v>
      </c>
      <c r="B52" s="48" t="s">
        <v>651</v>
      </c>
    </row>
    <row r="53" spans="1:2" x14ac:dyDescent="0.3">
      <c r="A53" s="49" t="s">
        <v>682</v>
      </c>
      <c r="B53" s="50" t="s">
        <v>651</v>
      </c>
    </row>
    <row r="54" spans="1:2" x14ac:dyDescent="0.3">
      <c r="A54" s="45" t="s">
        <v>683</v>
      </c>
      <c r="B54" s="48" t="s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Anderson &amp; Blake Legal Associates Financial Model</dc:title>
  <dc:subject>Client financial model workbook</dc:subject>
  <dc:creator>Business Plan Generator</dc:creator>
  <cp:lastModifiedBy>Ignatius Henry</cp:lastModifiedBy>
  <dcterms:created xsi:type="dcterms:W3CDTF">2026-05-21T01:29:48Z</dcterms:created>
  <dcterms:modified xsi:type="dcterms:W3CDTF">2026-05-21T01:30:21Z</dcterms:modified>
</cp:coreProperties>
</file>