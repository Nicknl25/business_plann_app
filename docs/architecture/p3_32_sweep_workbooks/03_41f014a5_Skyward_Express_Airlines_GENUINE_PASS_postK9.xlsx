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\Cilient Plans\"/>
    </mc:Choice>
  </mc:AlternateContent>
  <xr:revisionPtr revIDLastSave="0" documentId="13_ncr:1_{EB82F1B1-E1B4-445A-8C77-DA33F516819F}" xr6:coauthVersionLast="47" xr6:coauthVersionMax="47" xr10:uidLastSave="{00000000-0000-0000-0000-000000000000}"/>
  <bookViews>
    <workbookView xWindow="-57720" yWindow="1620" windowWidth="29040" windowHeight="15720" firstSheet="1" activeTab="7" xr2:uid="{00000000-000D-0000-FFFF-FFFF00000000}"/>
  </bookViews>
  <sheets>
    <sheet name="Revenue Drivers" sheetId="1" r:id="rId1"/>
    <sheet name="Payroll Schedule" sheetId="2" r:id="rId2"/>
    <sheet name="Debt Schedule" sheetId="3" r:id="rId3"/>
    <sheet name="CapEx Depreciation" sheetId="4" r:id="rId4"/>
    <sheet name="Working Capital" sheetId="5" r:id="rId5"/>
    <sheet name="Cash Equity Schedule" sheetId="6" r:id="rId6"/>
    <sheet name="Model Inputs" sheetId="7" r:id="rId7"/>
    <sheet name="FINMO" sheetId="8" r:id="rId8"/>
    <sheet name="Audit Source" sheetId="9" state="hidden" r:id="rId9"/>
    <sheet name="Checks" sheetId="10" r:id="rId10"/>
    <sheet name="Diagnostics" sheetId="11" r:id="rId11"/>
  </sheets>
  <definedNames>
    <definedName name="_xlnm._FilterDatabase" localSheetId="1" hidden="1">'Payroll Schedule'!$A$26:$N$86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2" i="10" l="1"/>
  <c r="F171" i="10"/>
  <c r="F170" i="10"/>
  <c r="F169" i="10"/>
  <c r="F168" i="10"/>
  <c r="F167" i="10"/>
  <c r="F166" i="10"/>
  <c r="E161" i="10"/>
  <c r="I161" i="10" s="1"/>
  <c r="E154" i="10"/>
  <c r="G154" i="10" s="1"/>
  <c r="I154" i="10" s="1"/>
  <c r="E153" i="10"/>
  <c r="G153" i="10" s="1"/>
  <c r="I153" i="10" s="1"/>
  <c r="E152" i="10"/>
  <c r="G152" i="10" s="1"/>
  <c r="I152" i="10" s="1"/>
  <c r="E151" i="10"/>
  <c r="G151" i="10" s="1"/>
  <c r="I151" i="10" s="1"/>
  <c r="E150" i="10"/>
  <c r="G150" i="10" s="1"/>
  <c r="I150" i="10" s="1"/>
  <c r="E149" i="10"/>
  <c r="G149" i="10" s="1"/>
  <c r="I149" i="10" s="1"/>
  <c r="E148" i="10"/>
  <c r="G148" i="10" s="1"/>
  <c r="I148" i="10" s="1"/>
  <c r="E147" i="10"/>
  <c r="G147" i="10" s="1"/>
  <c r="I147" i="10" s="1"/>
  <c r="E146" i="10"/>
  <c r="G146" i="10" s="1"/>
  <c r="I146" i="10" s="1"/>
  <c r="E145" i="10"/>
  <c r="G145" i="10" s="1"/>
  <c r="I145" i="10" s="1"/>
  <c r="E144" i="10"/>
  <c r="G144" i="10" s="1"/>
  <c r="I144" i="10" s="1"/>
  <c r="E143" i="10"/>
  <c r="G143" i="10" s="1"/>
  <c r="I143" i="10" s="1"/>
  <c r="E142" i="10"/>
  <c r="G142" i="10" s="1"/>
  <c r="I142" i="10" s="1"/>
  <c r="E141" i="10"/>
  <c r="G141" i="10" s="1"/>
  <c r="I141" i="10" s="1"/>
  <c r="E140" i="10"/>
  <c r="G140" i="10" s="1"/>
  <c r="I140" i="10" s="1"/>
  <c r="E139" i="10"/>
  <c r="G139" i="10" s="1"/>
  <c r="I139" i="10" s="1"/>
  <c r="E138" i="10"/>
  <c r="G138" i="10" s="1"/>
  <c r="I138" i="10" s="1"/>
  <c r="E137" i="10"/>
  <c r="G137" i="10" s="1"/>
  <c r="I137" i="10" s="1"/>
  <c r="E136" i="10"/>
  <c r="G136" i="10" s="1"/>
  <c r="I136" i="10" s="1"/>
  <c r="E135" i="10"/>
  <c r="G135" i="10" s="1"/>
  <c r="I135" i="10" s="1"/>
  <c r="E134" i="10"/>
  <c r="G134" i="10" s="1"/>
  <c r="I134" i="10" s="1"/>
  <c r="E133" i="10"/>
  <c r="G133" i="10" s="1"/>
  <c r="I133" i="10" s="1"/>
  <c r="E132" i="10"/>
  <c r="G132" i="10" s="1"/>
  <c r="I132" i="10" s="1"/>
  <c r="E131" i="10"/>
  <c r="G131" i="10" s="1"/>
  <c r="I131" i="10" s="1"/>
  <c r="E130" i="10"/>
  <c r="G130" i="10" s="1"/>
  <c r="I130" i="10" s="1"/>
  <c r="E129" i="10"/>
  <c r="G129" i="10" s="1"/>
  <c r="I129" i="10" s="1"/>
  <c r="E128" i="10"/>
  <c r="G128" i="10" s="1"/>
  <c r="I128" i="10" s="1"/>
  <c r="E127" i="10"/>
  <c r="G127" i="10" s="1"/>
  <c r="I127" i="10" s="1"/>
  <c r="E126" i="10"/>
  <c r="G126" i="10" s="1"/>
  <c r="I126" i="10" s="1"/>
  <c r="E125" i="10"/>
  <c r="G125" i="10" s="1"/>
  <c r="I125" i="10" s="1"/>
  <c r="E124" i="10"/>
  <c r="G124" i="10" s="1"/>
  <c r="I124" i="10" s="1"/>
  <c r="E123" i="10"/>
  <c r="G123" i="10" s="1"/>
  <c r="I123" i="10" s="1"/>
  <c r="E122" i="10"/>
  <c r="G122" i="10" s="1"/>
  <c r="I122" i="10" s="1"/>
  <c r="E121" i="10"/>
  <c r="G121" i="10" s="1"/>
  <c r="I121" i="10" s="1"/>
  <c r="E120" i="10"/>
  <c r="G120" i="10" s="1"/>
  <c r="I120" i="10" s="1"/>
  <c r="E119" i="10"/>
  <c r="G119" i="10" s="1"/>
  <c r="I119" i="10" s="1"/>
  <c r="E118" i="10"/>
  <c r="G118" i="10" s="1"/>
  <c r="I118" i="10" s="1"/>
  <c r="E117" i="10"/>
  <c r="G117" i="10" s="1"/>
  <c r="I117" i="10" s="1"/>
  <c r="E116" i="10"/>
  <c r="G116" i="10" s="1"/>
  <c r="I116" i="10" s="1"/>
  <c r="E115" i="10"/>
  <c r="G115" i="10" s="1"/>
  <c r="I115" i="10" s="1"/>
  <c r="E114" i="10"/>
  <c r="G114" i="10" s="1"/>
  <c r="I114" i="10" s="1"/>
  <c r="E113" i="10"/>
  <c r="G113" i="10" s="1"/>
  <c r="I113" i="10" s="1"/>
  <c r="E112" i="10"/>
  <c r="G112" i="10" s="1"/>
  <c r="I112" i="10" s="1"/>
  <c r="E111" i="10"/>
  <c r="G111" i="10" s="1"/>
  <c r="I111" i="10" s="1"/>
  <c r="E110" i="10"/>
  <c r="G110" i="10" s="1"/>
  <c r="I110" i="10" s="1"/>
  <c r="E109" i="10"/>
  <c r="G109" i="10" s="1"/>
  <c r="I109" i="10" s="1"/>
  <c r="E108" i="10"/>
  <c r="G108" i="10" s="1"/>
  <c r="I108" i="10" s="1"/>
  <c r="E107" i="10"/>
  <c r="G107" i="10" s="1"/>
  <c r="I107" i="10" s="1"/>
  <c r="E106" i="10"/>
  <c r="G106" i="10" s="1"/>
  <c r="I106" i="10" s="1"/>
  <c r="E105" i="10"/>
  <c r="G105" i="10" s="1"/>
  <c r="I105" i="10" s="1"/>
  <c r="E104" i="10"/>
  <c r="G104" i="10" s="1"/>
  <c r="I104" i="10" s="1"/>
  <c r="E103" i="10"/>
  <c r="G103" i="10" s="1"/>
  <c r="I103" i="10" s="1"/>
  <c r="E102" i="10"/>
  <c r="G102" i="10" s="1"/>
  <c r="I102" i="10" s="1"/>
  <c r="E101" i="10"/>
  <c r="G101" i="10" s="1"/>
  <c r="I101" i="10" s="1"/>
  <c r="E100" i="10"/>
  <c r="G100" i="10" s="1"/>
  <c r="I100" i="10" s="1"/>
  <c r="E99" i="10"/>
  <c r="G99" i="10" s="1"/>
  <c r="I99" i="10" s="1"/>
  <c r="E98" i="10"/>
  <c r="G98" i="10" s="1"/>
  <c r="I98" i="10" s="1"/>
  <c r="E97" i="10"/>
  <c r="G97" i="10" s="1"/>
  <c r="I97" i="10" s="1"/>
  <c r="E96" i="10"/>
  <c r="G96" i="10" s="1"/>
  <c r="I96" i="10" s="1"/>
  <c r="E95" i="10"/>
  <c r="G95" i="10" s="1"/>
  <c r="I95" i="10" s="1"/>
  <c r="E94" i="10"/>
  <c r="G94" i="10" s="1"/>
  <c r="I94" i="10" s="1"/>
  <c r="E93" i="10"/>
  <c r="G93" i="10" s="1"/>
  <c r="I93" i="10" s="1"/>
  <c r="E92" i="10"/>
  <c r="G92" i="10" s="1"/>
  <c r="I92" i="10" s="1"/>
  <c r="E91" i="10"/>
  <c r="G91" i="10" s="1"/>
  <c r="I91" i="10" s="1"/>
  <c r="E90" i="10"/>
  <c r="G90" i="10" s="1"/>
  <c r="I90" i="10" s="1"/>
  <c r="E89" i="10"/>
  <c r="G89" i="10" s="1"/>
  <c r="I89" i="10" s="1"/>
  <c r="E88" i="10"/>
  <c r="G88" i="10" s="1"/>
  <c r="I88" i="10" s="1"/>
  <c r="E87" i="10"/>
  <c r="G87" i="10" s="1"/>
  <c r="I87" i="10" s="1"/>
  <c r="E86" i="10"/>
  <c r="G86" i="10" s="1"/>
  <c r="I86" i="10" s="1"/>
  <c r="E85" i="10"/>
  <c r="G85" i="10" s="1"/>
  <c r="I85" i="10" s="1"/>
  <c r="E84" i="10"/>
  <c r="G84" i="10" s="1"/>
  <c r="I84" i="10" s="1"/>
  <c r="E83" i="10"/>
  <c r="G83" i="10" s="1"/>
  <c r="I83" i="10" s="1"/>
  <c r="E82" i="10"/>
  <c r="G82" i="10" s="1"/>
  <c r="I82" i="10" s="1"/>
  <c r="E81" i="10"/>
  <c r="G81" i="10" s="1"/>
  <c r="I81" i="10" s="1"/>
  <c r="E80" i="10"/>
  <c r="G80" i="10" s="1"/>
  <c r="I80" i="10" s="1"/>
  <c r="E79" i="10"/>
  <c r="G79" i="10" s="1"/>
  <c r="I79" i="10" s="1"/>
  <c r="E78" i="10"/>
  <c r="G78" i="10" s="1"/>
  <c r="I78" i="10" s="1"/>
  <c r="E77" i="10"/>
  <c r="G77" i="10" s="1"/>
  <c r="I77" i="10" s="1"/>
  <c r="E76" i="10"/>
  <c r="G76" i="10" s="1"/>
  <c r="I76" i="10" s="1"/>
  <c r="E75" i="10"/>
  <c r="G75" i="10" s="1"/>
  <c r="I75" i="10" s="1"/>
  <c r="E74" i="10"/>
  <c r="G74" i="10" s="1"/>
  <c r="I74" i="10" s="1"/>
  <c r="E73" i="10"/>
  <c r="G73" i="10" s="1"/>
  <c r="I73" i="10" s="1"/>
  <c r="E72" i="10"/>
  <c r="G72" i="10" s="1"/>
  <c r="I72" i="10" s="1"/>
  <c r="E71" i="10"/>
  <c r="G71" i="10" s="1"/>
  <c r="I71" i="10" s="1"/>
  <c r="E70" i="10"/>
  <c r="G70" i="10" s="1"/>
  <c r="I70" i="10" s="1"/>
  <c r="E69" i="10"/>
  <c r="G69" i="10" s="1"/>
  <c r="I69" i="10" s="1"/>
  <c r="E68" i="10"/>
  <c r="G68" i="10" s="1"/>
  <c r="I68" i="10" s="1"/>
  <c r="E67" i="10"/>
  <c r="G67" i="10" s="1"/>
  <c r="I67" i="10" s="1"/>
  <c r="E66" i="10"/>
  <c r="G66" i="10" s="1"/>
  <c r="I66" i="10" s="1"/>
  <c r="E65" i="10"/>
  <c r="G65" i="10" s="1"/>
  <c r="I65" i="10" s="1"/>
  <c r="E64" i="10"/>
  <c r="G64" i="10" s="1"/>
  <c r="I64" i="10" s="1"/>
  <c r="E63" i="10"/>
  <c r="G63" i="10" s="1"/>
  <c r="I63" i="10" s="1"/>
  <c r="E62" i="10"/>
  <c r="G62" i="10" s="1"/>
  <c r="I62" i="10" s="1"/>
  <c r="E61" i="10"/>
  <c r="G61" i="10" s="1"/>
  <c r="I61" i="10" s="1"/>
  <c r="E60" i="10"/>
  <c r="G60" i="10" s="1"/>
  <c r="I60" i="10" s="1"/>
  <c r="E59" i="10"/>
  <c r="G59" i="10" s="1"/>
  <c r="I59" i="10" s="1"/>
  <c r="E58" i="10"/>
  <c r="G58" i="10" s="1"/>
  <c r="I58" i="10" s="1"/>
  <c r="E57" i="10"/>
  <c r="G57" i="10" s="1"/>
  <c r="I57" i="10" s="1"/>
  <c r="E56" i="10"/>
  <c r="G56" i="10" s="1"/>
  <c r="I56" i="10" s="1"/>
  <c r="E55" i="10"/>
  <c r="G55" i="10" s="1"/>
  <c r="I55" i="10" s="1"/>
  <c r="E54" i="10"/>
  <c r="G54" i="10" s="1"/>
  <c r="I54" i="10" s="1"/>
  <c r="E53" i="10"/>
  <c r="G53" i="10" s="1"/>
  <c r="I53" i="10" s="1"/>
  <c r="E52" i="10"/>
  <c r="G52" i="10" s="1"/>
  <c r="I52" i="10" s="1"/>
  <c r="E51" i="10"/>
  <c r="G51" i="10" s="1"/>
  <c r="I51" i="10" s="1"/>
  <c r="E50" i="10"/>
  <c r="G50" i="10" s="1"/>
  <c r="I50" i="10" s="1"/>
  <c r="E49" i="10"/>
  <c r="G49" i="10" s="1"/>
  <c r="I49" i="10" s="1"/>
  <c r="E48" i="10"/>
  <c r="G48" i="10" s="1"/>
  <c r="I48" i="10" s="1"/>
  <c r="E47" i="10"/>
  <c r="G47" i="10" s="1"/>
  <c r="I47" i="10" s="1"/>
  <c r="E46" i="10"/>
  <c r="G46" i="10" s="1"/>
  <c r="I46" i="10" s="1"/>
  <c r="E45" i="10"/>
  <c r="G45" i="10" s="1"/>
  <c r="I45" i="10" s="1"/>
  <c r="E44" i="10"/>
  <c r="G44" i="10" s="1"/>
  <c r="I44" i="10" s="1"/>
  <c r="E43" i="10"/>
  <c r="G43" i="10" s="1"/>
  <c r="I43" i="10" s="1"/>
  <c r="E42" i="10"/>
  <c r="G42" i="10" s="1"/>
  <c r="I42" i="10" s="1"/>
  <c r="E41" i="10"/>
  <c r="G41" i="10" s="1"/>
  <c r="I41" i="10" s="1"/>
  <c r="E40" i="10"/>
  <c r="G40" i="10" s="1"/>
  <c r="I40" i="10" s="1"/>
  <c r="W52" i="7"/>
  <c r="W52" i="8" s="1"/>
  <c r="W53" i="8" s="1"/>
  <c r="V52" i="7"/>
  <c r="V52" i="8" s="1"/>
  <c r="V53" i="8" s="1"/>
  <c r="U52" i="7"/>
  <c r="U52" i="8" s="1"/>
  <c r="U53" i="8" s="1"/>
  <c r="T52" i="7"/>
  <c r="S52" i="7"/>
  <c r="S52" i="8" s="1"/>
  <c r="S53" i="8" s="1"/>
  <c r="R52" i="7"/>
  <c r="R52" i="8" s="1"/>
  <c r="R53" i="8" s="1"/>
  <c r="Q52" i="7"/>
  <c r="Q52" i="8" s="1"/>
  <c r="Q53" i="8" s="1"/>
  <c r="P52" i="7"/>
  <c r="O52" i="7"/>
  <c r="N52" i="7"/>
  <c r="N52" i="8" s="1"/>
  <c r="M52" i="7"/>
  <c r="M52" i="8" s="1"/>
  <c r="M53" i="8" s="1"/>
  <c r="L52" i="7"/>
  <c r="K52" i="7"/>
  <c r="K52" i="8" s="1"/>
  <c r="K53" i="8" s="1"/>
  <c r="J52" i="7"/>
  <c r="J52" i="8" s="1"/>
  <c r="J53" i="8" s="1"/>
  <c r="I52" i="7"/>
  <c r="I52" i="8" s="1"/>
  <c r="I53" i="8" s="1"/>
  <c r="H52" i="7"/>
  <c r="G52" i="7"/>
  <c r="G52" i="8" s="1"/>
  <c r="F52" i="7"/>
  <c r="F52" i="8" s="1"/>
  <c r="F53" i="8" s="1"/>
  <c r="E52" i="7"/>
  <c r="E52" i="8" s="1"/>
  <c r="E53" i="8" s="1"/>
  <c r="D52" i="7"/>
  <c r="D52" i="8" s="1"/>
  <c r="C52" i="7"/>
  <c r="C52" i="8" s="1"/>
  <c r="C51" i="7"/>
  <c r="C48" i="7"/>
  <c r="C17" i="8" s="1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C45" i="7"/>
  <c r="W42" i="7"/>
  <c r="W54" i="8" s="1"/>
  <c r="V42" i="7"/>
  <c r="V54" i="8" s="1"/>
  <c r="U42" i="7"/>
  <c r="U54" i="8" s="1"/>
  <c r="T42" i="7"/>
  <c r="T54" i="8" s="1"/>
  <c r="S42" i="7"/>
  <c r="S54" i="8" s="1"/>
  <c r="R42" i="7"/>
  <c r="R54" i="8" s="1"/>
  <c r="Q42" i="7"/>
  <c r="Q54" i="8" s="1"/>
  <c r="P42" i="7"/>
  <c r="P54" i="8" s="1"/>
  <c r="O42" i="7"/>
  <c r="O54" i="8" s="1"/>
  <c r="N42" i="7"/>
  <c r="N54" i="8" s="1"/>
  <c r="M42" i="7"/>
  <c r="L42" i="7"/>
  <c r="K42" i="7"/>
  <c r="K54" i="8" s="1"/>
  <c r="J42" i="7"/>
  <c r="J54" i="8" s="1"/>
  <c r="I42" i="7"/>
  <c r="I54" i="8" s="1"/>
  <c r="H42" i="7"/>
  <c r="H54" i="8" s="1"/>
  <c r="G42" i="7"/>
  <c r="G54" i="8" s="1"/>
  <c r="F42" i="7"/>
  <c r="F54" i="8" s="1"/>
  <c r="E42" i="7"/>
  <c r="E54" i="8" s="1"/>
  <c r="D42" i="7"/>
  <c r="D54" i="8" s="1"/>
  <c r="C42" i="7"/>
  <c r="C54" i="8" s="1"/>
  <c r="C41" i="7"/>
  <c r="W40" i="7"/>
  <c r="AB40" i="7" s="1"/>
  <c r="V40" i="7"/>
  <c r="U40" i="7"/>
  <c r="T40" i="7"/>
  <c r="S40" i="7"/>
  <c r="AA40" i="7" s="1"/>
  <c r="R40" i="7"/>
  <c r="Q40" i="7"/>
  <c r="P40" i="7"/>
  <c r="O40" i="7"/>
  <c r="Z40" i="7" s="1"/>
  <c r="N40" i="7"/>
  <c r="M40" i="7"/>
  <c r="L40" i="7"/>
  <c r="K40" i="7"/>
  <c r="Y40" i="7" s="1"/>
  <c r="J40" i="7"/>
  <c r="I40" i="7"/>
  <c r="H40" i="7"/>
  <c r="G40" i="7"/>
  <c r="X40" i="7" s="1"/>
  <c r="F40" i="7"/>
  <c r="E40" i="7"/>
  <c r="D40" i="7"/>
  <c r="C40" i="7"/>
  <c r="C33" i="8" s="1"/>
  <c r="W39" i="7"/>
  <c r="AB39" i="7" s="1"/>
  <c r="V39" i="7"/>
  <c r="U39" i="7"/>
  <c r="T39" i="7"/>
  <c r="S39" i="7"/>
  <c r="AA39" i="7" s="1"/>
  <c r="R39" i="7"/>
  <c r="Q39" i="7"/>
  <c r="P39" i="7"/>
  <c r="O39" i="7"/>
  <c r="Z39" i="7" s="1"/>
  <c r="N39" i="7"/>
  <c r="M39" i="7"/>
  <c r="L39" i="7"/>
  <c r="K39" i="7"/>
  <c r="Y39" i="7" s="1"/>
  <c r="J39" i="7"/>
  <c r="I39" i="7"/>
  <c r="H39" i="7"/>
  <c r="G39" i="7"/>
  <c r="X39" i="7" s="1"/>
  <c r="F39" i="7"/>
  <c r="E39" i="7"/>
  <c r="D39" i="7"/>
  <c r="C39" i="7"/>
  <c r="W38" i="7"/>
  <c r="AB38" i="7" s="1"/>
  <c r="V38" i="7"/>
  <c r="U38" i="7"/>
  <c r="T38" i="7"/>
  <c r="S38" i="7"/>
  <c r="AA38" i="7" s="1"/>
  <c r="R38" i="7"/>
  <c r="Q38" i="7"/>
  <c r="P38" i="7"/>
  <c r="O38" i="7"/>
  <c r="Z38" i="7" s="1"/>
  <c r="N38" i="7"/>
  <c r="M38" i="7"/>
  <c r="L38" i="7"/>
  <c r="K38" i="7"/>
  <c r="Y38" i="7" s="1"/>
  <c r="J38" i="7"/>
  <c r="I38" i="7"/>
  <c r="H38" i="7"/>
  <c r="G38" i="7"/>
  <c r="X38" i="7" s="1"/>
  <c r="F38" i="7"/>
  <c r="E38" i="7"/>
  <c r="D38" i="7"/>
  <c r="C38" i="7"/>
  <c r="C25" i="8" s="1"/>
  <c r="W37" i="7"/>
  <c r="AB37" i="7" s="1"/>
  <c r="V37" i="7"/>
  <c r="U37" i="7"/>
  <c r="T37" i="7"/>
  <c r="S37" i="7"/>
  <c r="AA37" i="7" s="1"/>
  <c r="R37" i="7"/>
  <c r="Q37" i="7"/>
  <c r="P37" i="7"/>
  <c r="O37" i="7"/>
  <c r="Z37" i="7" s="1"/>
  <c r="N37" i="7"/>
  <c r="M37" i="7"/>
  <c r="L37" i="7"/>
  <c r="K37" i="7"/>
  <c r="Y37" i="7" s="1"/>
  <c r="J37" i="7"/>
  <c r="I37" i="7"/>
  <c r="H37" i="7"/>
  <c r="G37" i="7"/>
  <c r="X37" i="7" s="1"/>
  <c r="F37" i="7"/>
  <c r="E37" i="7"/>
  <c r="D37" i="7"/>
  <c r="C37" i="7"/>
  <c r="C24" i="8" s="1"/>
  <c r="W36" i="7"/>
  <c r="AB36" i="7" s="1"/>
  <c r="V36" i="7"/>
  <c r="U36" i="7"/>
  <c r="T36" i="7"/>
  <c r="S36" i="7"/>
  <c r="AA36" i="7" s="1"/>
  <c r="R36" i="7"/>
  <c r="Q36" i="7"/>
  <c r="P36" i="7"/>
  <c r="O36" i="7"/>
  <c r="Z36" i="7" s="1"/>
  <c r="N36" i="7"/>
  <c r="M36" i="7"/>
  <c r="L36" i="7"/>
  <c r="K36" i="7"/>
  <c r="Y36" i="7" s="1"/>
  <c r="J36" i="7"/>
  <c r="I36" i="7"/>
  <c r="H36" i="7"/>
  <c r="G36" i="7"/>
  <c r="X36" i="7" s="1"/>
  <c r="F36" i="7"/>
  <c r="E36" i="7"/>
  <c r="D36" i="7"/>
  <c r="C36" i="7"/>
  <c r="C46" i="8" s="1"/>
  <c r="W33" i="7"/>
  <c r="V33" i="7"/>
  <c r="V57" i="8" s="1"/>
  <c r="U33" i="7"/>
  <c r="U57" i="8" s="1"/>
  <c r="T33" i="7"/>
  <c r="T57" i="8" s="1"/>
  <c r="S33" i="7"/>
  <c r="R33" i="7"/>
  <c r="R57" i="8" s="1"/>
  <c r="Q33" i="7"/>
  <c r="Q57" i="8" s="1"/>
  <c r="P33" i="7"/>
  <c r="P57" i="8" s="1"/>
  <c r="O33" i="7"/>
  <c r="Z33" i="7" s="1"/>
  <c r="N33" i="7"/>
  <c r="N57" i="8" s="1"/>
  <c r="M33" i="7"/>
  <c r="M57" i="8" s="1"/>
  <c r="L33" i="7"/>
  <c r="K33" i="7"/>
  <c r="Y33" i="7" s="1"/>
  <c r="J33" i="7"/>
  <c r="I33" i="7"/>
  <c r="I57" i="8" s="1"/>
  <c r="H33" i="7"/>
  <c r="H57" i="8" s="1"/>
  <c r="G33" i="7"/>
  <c r="X33" i="7" s="1"/>
  <c r="F33" i="7"/>
  <c r="F57" i="8" s="1"/>
  <c r="E33" i="7"/>
  <c r="E57" i="8" s="1"/>
  <c r="D33" i="7"/>
  <c r="D57" i="8" s="1"/>
  <c r="C33" i="7"/>
  <c r="C57" i="8" s="1"/>
  <c r="W32" i="7"/>
  <c r="AB32" i="7" s="1"/>
  <c r="V32" i="7"/>
  <c r="V41" i="8" s="1"/>
  <c r="U32" i="7"/>
  <c r="U41" i="8" s="1"/>
  <c r="T32" i="7"/>
  <c r="T41" i="8" s="1"/>
  <c r="S32" i="7"/>
  <c r="S41" i="8" s="1"/>
  <c r="AA41" i="8" s="1"/>
  <c r="R32" i="7"/>
  <c r="R41" i="8" s="1"/>
  <c r="Q32" i="7"/>
  <c r="Q41" i="8" s="1"/>
  <c r="P32" i="7"/>
  <c r="P41" i="8" s="1"/>
  <c r="O32" i="7"/>
  <c r="N32" i="7"/>
  <c r="N41" i="8" s="1"/>
  <c r="M32" i="7"/>
  <c r="M41" i="8" s="1"/>
  <c r="L32" i="7"/>
  <c r="L41" i="8" s="1"/>
  <c r="K32" i="7"/>
  <c r="K41" i="8" s="1"/>
  <c r="Y41" i="8" s="1"/>
  <c r="J32" i="7"/>
  <c r="J41" i="8" s="1"/>
  <c r="I32" i="7"/>
  <c r="I41" i="8" s="1"/>
  <c r="H32" i="7"/>
  <c r="H41" i="8" s="1"/>
  <c r="G32" i="7"/>
  <c r="X32" i="7" s="1"/>
  <c r="F32" i="7"/>
  <c r="F41" i="8" s="1"/>
  <c r="E32" i="7"/>
  <c r="E41" i="8" s="1"/>
  <c r="D32" i="7"/>
  <c r="D41" i="8" s="1"/>
  <c r="C32" i="7"/>
  <c r="C41" i="8" s="1"/>
  <c r="W31" i="7"/>
  <c r="AB31" i="7" s="1"/>
  <c r="V31" i="7"/>
  <c r="V39" i="8" s="1"/>
  <c r="U31" i="7"/>
  <c r="U39" i="8" s="1"/>
  <c r="T31" i="7"/>
  <c r="T39" i="8" s="1"/>
  <c r="S31" i="7"/>
  <c r="R31" i="7"/>
  <c r="R39" i="8" s="1"/>
  <c r="Q31" i="7"/>
  <c r="Q39" i="8" s="1"/>
  <c r="P31" i="7"/>
  <c r="P39" i="8" s="1"/>
  <c r="O31" i="7"/>
  <c r="N31" i="7"/>
  <c r="N39" i="8" s="1"/>
  <c r="M31" i="7"/>
  <c r="M39" i="8" s="1"/>
  <c r="L31" i="7"/>
  <c r="L39" i="8" s="1"/>
  <c r="K31" i="7"/>
  <c r="Y31" i="7" s="1"/>
  <c r="J31" i="7"/>
  <c r="J39" i="8" s="1"/>
  <c r="I31" i="7"/>
  <c r="I39" i="8" s="1"/>
  <c r="H31" i="7"/>
  <c r="H39" i="8" s="1"/>
  <c r="G31" i="7"/>
  <c r="F31" i="7"/>
  <c r="F39" i="8" s="1"/>
  <c r="E31" i="7"/>
  <c r="E39" i="8" s="1"/>
  <c r="D31" i="7"/>
  <c r="D39" i="8" s="1"/>
  <c r="C31" i="7"/>
  <c r="C39" i="8" s="1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AB22" i="7"/>
  <c r="AA22" i="7"/>
  <c r="Z22" i="7"/>
  <c r="Y22" i="7"/>
  <c r="X22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AB17" i="7"/>
  <c r="AA17" i="7"/>
  <c r="Z17" i="7"/>
  <c r="Y17" i="7"/>
  <c r="X17" i="7"/>
  <c r="W15" i="7"/>
  <c r="W13" i="8" s="1"/>
  <c r="V15" i="7"/>
  <c r="V13" i="8" s="1"/>
  <c r="U15" i="7"/>
  <c r="U13" i="8" s="1"/>
  <c r="T15" i="7"/>
  <c r="S15" i="7"/>
  <c r="S13" i="8" s="1"/>
  <c r="R15" i="7"/>
  <c r="R13" i="8" s="1"/>
  <c r="Q15" i="7"/>
  <c r="Q13" i="8" s="1"/>
  <c r="P15" i="7"/>
  <c r="O15" i="7"/>
  <c r="O13" i="8" s="1"/>
  <c r="N15" i="7"/>
  <c r="N13" i="8" s="1"/>
  <c r="M15" i="7"/>
  <c r="M13" i="8" s="1"/>
  <c r="L15" i="7"/>
  <c r="L13" i="8" s="1"/>
  <c r="K15" i="7"/>
  <c r="K13" i="8" s="1"/>
  <c r="J15" i="7"/>
  <c r="J13" i="8" s="1"/>
  <c r="I15" i="7"/>
  <c r="I13" i="8" s="1"/>
  <c r="H15" i="7"/>
  <c r="H13" i="8" s="1"/>
  <c r="G15" i="7"/>
  <c r="G13" i="8" s="1"/>
  <c r="F15" i="7"/>
  <c r="F13" i="8" s="1"/>
  <c r="E15" i="7"/>
  <c r="E13" i="8" s="1"/>
  <c r="D15" i="7"/>
  <c r="D13" i="8" s="1"/>
  <c r="C15" i="7"/>
  <c r="C13" i="8" s="1"/>
  <c r="AB14" i="7"/>
  <c r="AA14" i="7"/>
  <c r="Z14" i="7"/>
  <c r="Y14" i="7"/>
  <c r="X14" i="7"/>
  <c r="AB13" i="7"/>
  <c r="AA13" i="7"/>
  <c r="Z13" i="7"/>
  <c r="Y13" i="7"/>
  <c r="X13" i="7"/>
  <c r="AB12" i="7"/>
  <c r="AA12" i="7"/>
  <c r="Z12" i="7"/>
  <c r="Y12" i="7"/>
  <c r="X12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C11" i="4"/>
  <c r="C21" i="7" s="1"/>
  <c r="AB10" i="4"/>
  <c r="AA10" i="4"/>
  <c r="Z10" i="4"/>
  <c r="Y10" i="4"/>
  <c r="X10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AB8" i="4"/>
  <c r="AA8" i="4"/>
  <c r="Z8" i="4"/>
  <c r="Y8" i="4"/>
  <c r="X8" i="4"/>
  <c r="C26" i="3"/>
  <c r="C50" i="7" s="1"/>
  <c r="C29" i="8" s="1"/>
  <c r="C23" i="3"/>
  <c r="C49" i="7" s="1"/>
  <c r="C37" i="8" s="1"/>
  <c r="AB21" i="3"/>
  <c r="AA21" i="3"/>
  <c r="Z21" i="3"/>
  <c r="Y21" i="3"/>
  <c r="X21" i="3"/>
  <c r="C20" i="3"/>
  <c r="C46" i="7" s="1"/>
  <c r="C58" i="8" s="1"/>
  <c r="AB19" i="3"/>
  <c r="AA19" i="3"/>
  <c r="Z19" i="3"/>
  <c r="Y19" i="3"/>
  <c r="X19" i="3"/>
  <c r="AB12" i="3"/>
  <c r="AA12" i="3"/>
  <c r="Z12" i="3"/>
  <c r="Y12" i="3"/>
  <c r="X12" i="3"/>
  <c r="C10" i="3"/>
  <c r="C11" i="3" s="1"/>
  <c r="D7" i="3" s="1"/>
  <c r="AB9" i="3"/>
  <c r="AA9" i="3"/>
  <c r="Z9" i="3"/>
  <c r="Y9" i="3"/>
  <c r="X9" i="3"/>
  <c r="AB8" i="3"/>
  <c r="AA8" i="3"/>
  <c r="Z8" i="3"/>
  <c r="Y8" i="3"/>
  <c r="X8" i="3"/>
  <c r="G86" i="2"/>
  <c r="H86" i="2" s="1"/>
  <c r="K86" i="2" s="1"/>
  <c r="G85" i="2"/>
  <c r="H85" i="2" s="1"/>
  <c r="K85" i="2" s="1"/>
  <c r="G84" i="2"/>
  <c r="H84" i="2" s="1"/>
  <c r="K84" i="2" s="1"/>
  <c r="G83" i="2"/>
  <c r="H83" i="2" s="1"/>
  <c r="K83" i="2" s="1"/>
  <c r="G82" i="2"/>
  <c r="H82" i="2" s="1"/>
  <c r="K82" i="2" s="1"/>
  <c r="L82" i="2" s="1"/>
  <c r="G81" i="2"/>
  <c r="H81" i="2" s="1"/>
  <c r="K81" i="2" s="1"/>
  <c r="L81" i="2" s="1"/>
  <c r="G80" i="2"/>
  <c r="G79" i="2"/>
  <c r="H79" i="2" s="1"/>
  <c r="K79" i="2" s="1"/>
  <c r="G78" i="2"/>
  <c r="H78" i="2" s="1"/>
  <c r="K78" i="2" s="1"/>
  <c r="G77" i="2"/>
  <c r="H77" i="2" s="1"/>
  <c r="K77" i="2" s="1"/>
  <c r="L77" i="2" s="1"/>
  <c r="G76" i="2"/>
  <c r="H76" i="2" s="1"/>
  <c r="K76" i="2" s="1"/>
  <c r="G75" i="2"/>
  <c r="H75" i="2" s="1"/>
  <c r="K75" i="2" s="1"/>
  <c r="G74" i="2"/>
  <c r="H74" i="2" s="1"/>
  <c r="K74" i="2" s="1"/>
  <c r="G73" i="2"/>
  <c r="H73" i="2" s="1"/>
  <c r="K73" i="2" s="1"/>
  <c r="G72" i="2"/>
  <c r="H72" i="2" s="1"/>
  <c r="K72" i="2" s="1"/>
  <c r="G71" i="2"/>
  <c r="H71" i="2" s="1"/>
  <c r="K71" i="2" s="1"/>
  <c r="G70" i="2"/>
  <c r="H70" i="2" s="1"/>
  <c r="K70" i="2" s="1"/>
  <c r="G69" i="2"/>
  <c r="H69" i="2" s="1"/>
  <c r="K69" i="2" s="1"/>
  <c r="G68" i="2"/>
  <c r="H68" i="2" s="1"/>
  <c r="K68" i="2" s="1"/>
  <c r="G67" i="2"/>
  <c r="H67" i="2" s="1"/>
  <c r="K67" i="2" s="1"/>
  <c r="G66" i="2"/>
  <c r="H66" i="2" s="1"/>
  <c r="K66" i="2" s="1"/>
  <c r="G65" i="2"/>
  <c r="H65" i="2" s="1"/>
  <c r="K65" i="2" s="1"/>
  <c r="G64" i="2"/>
  <c r="H64" i="2" s="1"/>
  <c r="K64" i="2" s="1"/>
  <c r="G63" i="2"/>
  <c r="H63" i="2" s="1"/>
  <c r="K63" i="2" s="1"/>
  <c r="G62" i="2"/>
  <c r="H62" i="2" s="1"/>
  <c r="K62" i="2" s="1"/>
  <c r="G61" i="2"/>
  <c r="H61" i="2" s="1"/>
  <c r="K61" i="2" s="1"/>
  <c r="G60" i="2"/>
  <c r="H60" i="2" s="1"/>
  <c r="K60" i="2" s="1"/>
  <c r="G59" i="2"/>
  <c r="H59" i="2" s="1"/>
  <c r="K59" i="2" s="1"/>
  <c r="G58" i="2"/>
  <c r="H58" i="2" s="1"/>
  <c r="K58" i="2" s="1"/>
  <c r="G57" i="2"/>
  <c r="H57" i="2" s="1"/>
  <c r="K57" i="2" s="1"/>
  <c r="L57" i="2" s="1"/>
  <c r="G56" i="2"/>
  <c r="H56" i="2" s="1"/>
  <c r="K56" i="2" s="1"/>
  <c r="G55" i="2"/>
  <c r="G54" i="2"/>
  <c r="H54" i="2" s="1"/>
  <c r="K54" i="2" s="1"/>
  <c r="G53" i="2"/>
  <c r="H53" i="2" s="1"/>
  <c r="K53" i="2" s="1"/>
  <c r="G52" i="2"/>
  <c r="G51" i="2"/>
  <c r="H51" i="2" s="1"/>
  <c r="K51" i="2" s="1"/>
  <c r="G50" i="2"/>
  <c r="G49" i="2"/>
  <c r="H49" i="2" s="1"/>
  <c r="K49" i="2" s="1"/>
  <c r="G48" i="2"/>
  <c r="H48" i="2" s="1"/>
  <c r="K48" i="2" s="1"/>
  <c r="G47" i="2"/>
  <c r="H47" i="2" s="1"/>
  <c r="K47" i="2" s="1"/>
  <c r="G46" i="2"/>
  <c r="G45" i="2"/>
  <c r="G44" i="2"/>
  <c r="G43" i="2"/>
  <c r="G42" i="2"/>
  <c r="G41" i="2"/>
  <c r="G40" i="2"/>
  <c r="H40" i="2" s="1"/>
  <c r="G39" i="2"/>
  <c r="G38" i="2"/>
  <c r="G37" i="2"/>
  <c r="G36" i="2"/>
  <c r="G35" i="2"/>
  <c r="H35" i="2" s="1"/>
  <c r="G34" i="2"/>
  <c r="H34" i="2" s="1"/>
  <c r="G33" i="2"/>
  <c r="H33" i="2" s="1"/>
  <c r="G32" i="2"/>
  <c r="H32" i="2" s="1"/>
  <c r="G31" i="2"/>
  <c r="H31" i="2" s="1"/>
  <c r="G30" i="2"/>
  <c r="H30" i="2" s="1"/>
  <c r="G29" i="2"/>
  <c r="G28" i="2"/>
  <c r="G27" i="2"/>
  <c r="C17" i="2"/>
  <c r="C16" i="2"/>
  <c r="C15" i="2"/>
  <c r="AB28" i="1"/>
  <c r="AA28" i="1"/>
  <c r="Z28" i="1"/>
  <c r="Y28" i="1"/>
  <c r="X28" i="1"/>
  <c r="AB27" i="1"/>
  <c r="AA27" i="1"/>
  <c r="Z27" i="1"/>
  <c r="Y27" i="1"/>
  <c r="X27" i="1"/>
  <c r="AB26" i="1"/>
  <c r="AA26" i="1"/>
  <c r="Z26" i="1"/>
  <c r="Y26" i="1"/>
  <c r="X26" i="1"/>
  <c r="AB25" i="1"/>
  <c r="AA25" i="1"/>
  <c r="Z25" i="1"/>
  <c r="Y25" i="1"/>
  <c r="X25" i="1"/>
  <c r="AB24" i="1"/>
  <c r="AA24" i="1"/>
  <c r="Z24" i="1"/>
  <c r="Y24" i="1"/>
  <c r="X24" i="1"/>
  <c r="AB23" i="1"/>
  <c r="AA23" i="1"/>
  <c r="Z23" i="1"/>
  <c r="Y23" i="1"/>
  <c r="X23" i="1"/>
  <c r="AB22" i="1"/>
  <c r="AA22" i="1"/>
  <c r="Z22" i="1"/>
  <c r="Y22" i="1"/>
  <c r="X22" i="1"/>
  <c r="AB21" i="1"/>
  <c r="AA21" i="1"/>
  <c r="Z21" i="1"/>
  <c r="Y21" i="1"/>
  <c r="X21" i="1"/>
  <c r="AB20" i="1"/>
  <c r="AA20" i="1"/>
  <c r="Z20" i="1"/>
  <c r="Y20" i="1"/>
  <c r="X20" i="1"/>
  <c r="AB19" i="1"/>
  <c r="AA19" i="1"/>
  <c r="Z19" i="1"/>
  <c r="Y19" i="1"/>
  <c r="X19" i="1"/>
  <c r="AB18" i="1"/>
  <c r="AA18" i="1"/>
  <c r="Z18" i="1"/>
  <c r="Y18" i="1"/>
  <c r="X18" i="1"/>
  <c r="C17" i="1"/>
  <c r="W13" i="1"/>
  <c r="W19" i="2" s="1"/>
  <c r="V13" i="1"/>
  <c r="V19" i="2" s="1"/>
  <c r="U13" i="1"/>
  <c r="U19" i="2" s="1"/>
  <c r="T13" i="1"/>
  <c r="S13" i="1"/>
  <c r="S19" i="2" s="1"/>
  <c r="R13" i="1"/>
  <c r="R19" i="2" s="1"/>
  <c r="Q13" i="1"/>
  <c r="Q19" i="2" s="1"/>
  <c r="P13" i="1"/>
  <c r="O13" i="1"/>
  <c r="O19" i="2" s="1"/>
  <c r="N13" i="1"/>
  <c r="N19" i="2" s="1"/>
  <c r="M13" i="1"/>
  <c r="M19" i="2" s="1"/>
  <c r="L13" i="1"/>
  <c r="K13" i="1"/>
  <c r="K19" i="2" s="1"/>
  <c r="J13" i="1"/>
  <c r="J19" i="2" s="1"/>
  <c r="I13" i="1"/>
  <c r="I19" i="2" s="1"/>
  <c r="H13" i="1"/>
  <c r="G13" i="1"/>
  <c r="G19" i="2" s="1"/>
  <c r="F13" i="1"/>
  <c r="F19" i="2" s="1"/>
  <c r="E13" i="1"/>
  <c r="E19" i="2" s="1"/>
  <c r="D13" i="1"/>
  <c r="D19" i="2" s="1"/>
  <c r="C13" i="1"/>
  <c r="C19" i="2" s="1"/>
  <c r="W11" i="1"/>
  <c r="W10" i="7" s="1"/>
  <c r="V11" i="1"/>
  <c r="V10" i="7" s="1"/>
  <c r="U11" i="1"/>
  <c r="U14" i="1" s="1"/>
  <c r="U11" i="7" s="1"/>
  <c r="U8" i="8" s="1"/>
  <c r="T11" i="1"/>
  <c r="T14" i="1" s="1"/>
  <c r="T18" i="2" s="1"/>
  <c r="S11" i="1"/>
  <c r="S10" i="7" s="1"/>
  <c r="R11" i="1"/>
  <c r="R10" i="7" s="1"/>
  <c r="Q11" i="1"/>
  <c r="Q10" i="7" s="1"/>
  <c r="P11" i="1"/>
  <c r="P10" i="7" s="1"/>
  <c r="O11" i="1"/>
  <c r="N11" i="1"/>
  <c r="N10" i="7" s="1"/>
  <c r="M11" i="1"/>
  <c r="M10" i="7" s="1"/>
  <c r="L11" i="1"/>
  <c r="L10" i="7" s="1"/>
  <c r="K11" i="1"/>
  <c r="K10" i="7" s="1"/>
  <c r="J11" i="1"/>
  <c r="I11" i="1"/>
  <c r="I14" i="1" s="1"/>
  <c r="H11" i="1"/>
  <c r="H10" i="7" s="1"/>
  <c r="G11" i="1"/>
  <c r="G10" i="7" s="1"/>
  <c r="F11" i="1"/>
  <c r="F10" i="7" s="1"/>
  <c r="E11" i="1"/>
  <c r="E10" i="7" s="1"/>
  <c r="D11" i="1"/>
  <c r="D10" i="7" s="1"/>
  <c r="C11" i="1"/>
  <c r="C10" i="7" s="1"/>
  <c r="C60" i="8"/>
  <c r="C59" i="8"/>
  <c r="L57" i="8"/>
  <c r="J57" i="8"/>
  <c r="C56" i="8"/>
  <c r="M54" i="8"/>
  <c r="N53" i="8"/>
  <c r="G53" i="8"/>
  <c r="C53" i="8"/>
  <c r="P52" i="8"/>
  <c r="O52" i="8"/>
  <c r="O53" i="8" s="1"/>
  <c r="C51" i="8"/>
  <c r="C50" i="8"/>
  <c r="C49" i="8"/>
  <c r="C48" i="8"/>
  <c r="C47" i="8"/>
  <c r="C34" i="8"/>
  <c r="W33" i="8"/>
  <c r="AB33" i="8" s="1"/>
  <c r="C32" i="8"/>
  <c r="C26" i="8"/>
  <c r="C14" i="8"/>
  <c r="T13" i="8"/>
  <c r="J16" i="2" l="1"/>
  <c r="J21" i="2" s="1"/>
  <c r="Y18" i="7"/>
  <c r="Z47" i="7"/>
  <c r="X20" i="7"/>
  <c r="O57" i="8"/>
  <c r="G15" i="2"/>
  <c r="X15" i="2" s="1"/>
  <c r="AB20" i="7"/>
  <c r="AA27" i="7"/>
  <c r="D24" i="3"/>
  <c r="Y9" i="7"/>
  <c r="AB15" i="7"/>
  <c r="X54" i="8"/>
  <c r="I15" i="2"/>
  <c r="O15" i="2"/>
  <c r="Z15" i="2" s="1"/>
  <c r="N15" i="2"/>
  <c r="AB7" i="7"/>
  <c r="P15" i="2"/>
  <c r="AA28" i="7"/>
  <c r="AA13" i="1"/>
  <c r="Z52" i="7"/>
  <c r="K57" i="8"/>
  <c r="X9" i="4"/>
  <c r="AB9" i="4"/>
  <c r="W41" i="8"/>
  <c r="AB41" i="8" s="1"/>
  <c r="X28" i="7"/>
  <c r="AB28" i="7"/>
  <c r="G57" i="8"/>
  <c r="X57" i="8" s="1"/>
  <c r="Y8" i="7"/>
  <c r="AA9" i="7"/>
  <c r="Z27" i="7"/>
  <c r="G41" i="8"/>
  <c r="X41" i="8" s="1"/>
  <c r="Z57" i="8"/>
  <c r="Y13" i="1"/>
  <c r="AA15" i="7"/>
  <c r="Y28" i="7"/>
  <c r="J56" i="8"/>
  <c r="X19" i="2"/>
  <c r="C43" i="7"/>
  <c r="C55" i="8" s="1"/>
  <c r="M14" i="1"/>
  <c r="M17" i="1" s="1"/>
  <c r="P14" i="1"/>
  <c r="P11" i="7" s="1"/>
  <c r="P8" i="8" s="1"/>
  <c r="P24" i="8" s="1"/>
  <c r="K39" i="8"/>
  <c r="Y39" i="8" s="1"/>
  <c r="Q14" i="1"/>
  <c r="Q11" i="7" s="1"/>
  <c r="Q8" i="8" s="1"/>
  <c r="R15" i="2"/>
  <c r="Y32" i="7"/>
  <c r="Z42" i="7"/>
  <c r="X10" i="7"/>
  <c r="R14" i="1"/>
  <c r="R11" i="7" s="1"/>
  <c r="R8" i="8" s="1"/>
  <c r="R15" i="8" s="1"/>
  <c r="Y20" i="7"/>
  <c r="Y29" i="7"/>
  <c r="AA32" i="7"/>
  <c r="K14" i="1"/>
  <c r="X9" i="7"/>
  <c r="W39" i="8"/>
  <c r="J15" i="2"/>
  <c r="C14" i="4"/>
  <c r="C54" i="7" s="1"/>
  <c r="C30" i="8" s="1"/>
  <c r="H50" i="2"/>
  <c r="K50" i="2" s="1"/>
  <c r="L50" i="2" s="1"/>
  <c r="M50" i="2" s="1"/>
  <c r="N14" i="1"/>
  <c r="N18" i="2" s="1"/>
  <c r="F15" i="2"/>
  <c r="AA25" i="7"/>
  <c r="Z11" i="1"/>
  <c r="Y27" i="7"/>
  <c r="L14" i="1"/>
  <c r="L11" i="7" s="1"/>
  <c r="Z8" i="7"/>
  <c r="C61" i="8"/>
  <c r="D46" i="8" s="1"/>
  <c r="D18" i="3"/>
  <c r="D20" i="3" s="1"/>
  <c r="E15" i="2"/>
  <c r="AA52" i="8"/>
  <c r="C21" i="2"/>
  <c r="Y7" i="7"/>
  <c r="Z20" i="7"/>
  <c r="Y30" i="7"/>
  <c r="Y47" i="7"/>
  <c r="X13" i="1"/>
  <c r="AB13" i="1"/>
  <c r="Z7" i="7"/>
  <c r="X25" i="7"/>
  <c r="AB25" i="7"/>
  <c r="AB52" i="7"/>
  <c r="Y54" i="8"/>
  <c r="Z26" i="7"/>
  <c r="AA33" i="7"/>
  <c r="S57" i="8"/>
  <c r="AA57" i="8" s="1"/>
  <c r="H15" i="2"/>
  <c r="AA47" i="7"/>
  <c r="U24" i="8"/>
  <c r="X30" i="7"/>
  <c r="U10" i="7"/>
  <c r="AA11" i="1"/>
  <c r="X18" i="7"/>
  <c r="W57" i="8"/>
  <c r="AB57" i="8" s="1"/>
  <c r="AB33" i="7"/>
  <c r="S14" i="1"/>
  <c r="Q15" i="2"/>
  <c r="Z32" i="7"/>
  <c r="O41" i="8"/>
  <c r="Z41" i="8" s="1"/>
  <c r="L54" i="8"/>
  <c r="Z54" i="8" s="1"/>
  <c r="T11" i="7"/>
  <c r="T8" i="8" s="1"/>
  <c r="U56" i="8"/>
  <c r="H46" i="2"/>
  <c r="K46" i="2" s="1"/>
  <c r="W15" i="2"/>
  <c r="AB15" i="2" s="1"/>
  <c r="X15" i="7"/>
  <c r="AA10" i="7"/>
  <c r="D14" i="1"/>
  <c r="AB9" i="7"/>
  <c r="E14" i="1"/>
  <c r="E18" i="2" s="1"/>
  <c r="AA7" i="7"/>
  <c r="AB42" i="7"/>
  <c r="H37" i="2"/>
  <c r="N16" i="2" s="1"/>
  <c r="N21" i="2" s="1"/>
  <c r="U17" i="1"/>
  <c r="T10" i="7"/>
  <c r="R56" i="8"/>
  <c r="C35" i="8"/>
  <c r="AA20" i="7"/>
  <c r="Z29" i="7"/>
  <c r="S39" i="8"/>
  <c r="T56" i="8" s="1"/>
  <c r="AA31" i="7"/>
  <c r="L15" i="2"/>
  <c r="H44" i="2"/>
  <c r="K44" i="2" s="1"/>
  <c r="U15" i="2"/>
  <c r="H45" i="2"/>
  <c r="V15" i="2"/>
  <c r="X13" i="8"/>
  <c r="Z13" i="8"/>
  <c r="C14" i="1"/>
  <c r="C18" i="2" s="1"/>
  <c r="AB13" i="8"/>
  <c r="Z9" i="4"/>
  <c r="P13" i="8"/>
  <c r="AA13" i="8" s="1"/>
  <c r="H14" i="1"/>
  <c r="H18" i="2" s="1"/>
  <c r="C12" i="4"/>
  <c r="C53" i="7" s="1"/>
  <c r="C28" i="8" s="1"/>
  <c r="Y52" i="7"/>
  <c r="AB47" i="7"/>
  <c r="X7" i="7"/>
  <c r="Z18" i="7"/>
  <c r="Z9" i="7"/>
  <c r="Y26" i="7"/>
  <c r="Y13" i="8"/>
  <c r="AA18" i="7"/>
  <c r="Z30" i="7"/>
  <c r="AA54" i="8"/>
  <c r="Y9" i="4"/>
  <c r="X8" i="7"/>
  <c r="AB8" i="7"/>
  <c r="Z15" i="7"/>
  <c r="Z28" i="7"/>
  <c r="AA30" i="7"/>
  <c r="L83" i="2"/>
  <c r="M83" i="2" s="1"/>
  <c r="L73" i="2"/>
  <c r="M73" i="2" s="1"/>
  <c r="L86" i="2"/>
  <c r="M86" i="2" s="1"/>
  <c r="K30" i="2"/>
  <c r="L65" i="2"/>
  <c r="M65" i="2"/>
  <c r="U9" i="8"/>
  <c r="U25" i="8" s="1"/>
  <c r="U34" i="8"/>
  <c r="U11" i="8"/>
  <c r="U26" i="8"/>
  <c r="U15" i="8"/>
  <c r="U12" i="8"/>
  <c r="L54" i="2"/>
  <c r="M54" i="2" s="1"/>
  <c r="L66" i="2"/>
  <c r="M66" i="2" s="1"/>
  <c r="L78" i="2"/>
  <c r="M78" i="2" s="1"/>
  <c r="L67" i="2"/>
  <c r="M67" i="2" s="1"/>
  <c r="L58" i="2"/>
  <c r="M58" i="2" s="1"/>
  <c r="L59" i="2"/>
  <c r="M59" i="2" s="1"/>
  <c r="L48" i="2"/>
  <c r="M48" i="2" s="1"/>
  <c r="M56" i="8"/>
  <c r="D53" i="8"/>
  <c r="X53" i="8" s="1"/>
  <c r="X52" i="8"/>
  <c r="L62" i="2"/>
  <c r="M62" i="2" s="1"/>
  <c r="N56" i="8"/>
  <c r="L51" i="2"/>
  <c r="M51" i="2" s="1"/>
  <c r="L74" i="2"/>
  <c r="M74" i="2" s="1"/>
  <c r="L75" i="2"/>
  <c r="M75" i="2" s="1"/>
  <c r="L79" i="2"/>
  <c r="M79" i="2" s="1"/>
  <c r="F56" i="8"/>
  <c r="L47" i="2"/>
  <c r="M47" i="2" s="1"/>
  <c r="L71" i="2"/>
  <c r="M71" i="2" s="1"/>
  <c r="L56" i="2"/>
  <c r="M56" i="2" s="1"/>
  <c r="L72" i="2"/>
  <c r="M72" i="2"/>
  <c r="V56" i="8"/>
  <c r="L76" i="2"/>
  <c r="M76" i="2" s="1"/>
  <c r="D25" i="3"/>
  <c r="D26" i="3" s="1"/>
  <c r="E56" i="8"/>
  <c r="P53" i="8"/>
  <c r="AA53" i="8" s="1"/>
  <c r="M81" i="2"/>
  <c r="M11" i="7"/>
  <c r="M8" i="8" s="1"/>
  <c r="H52" i="2"/>
  <c r="K52" i="2" s="1"/>
  <c r="Y25" i="7"/>
  <c r="K33" i="2"/>
  <c r="M82" i="2"/>
  <c r="X52" i="7"/>
  <c r="AB39" i="8"/>
  <c r="K32" i="2"/>
  <c r="L61" i="2"/>
  <c r="M61" i="2" s="1"/>
  <c r="T52" i="8"/>
  <c r="X11" i="1"/>
  <c r="I18" i="2"/>
  <c r="I11" i="7"/>
  <c r="I8" i="8" s="1"/>
  <c r="Y11" i="1"/>
  <c r="H28" i="2"/>
  <c r="M77" i="2"/>
  <c r="D41" i="7"/>
  <c r="G39" i="8"/>
  <c r="X31" i="7"/>
  <c r="J14" i="1"/>
  <c r="J10" i="7"/>
  <c r="M57" i="2"/>
  <c r="D56" i="8"/>
  <c r="H39" i="2"/>
  <c r="I10" i="7"/>
  <c r="AA52" i="7"/>
  <c r="K16" i="2"/>
  <c r="K21" i="2" s="1"/>
  <c r="K34" i="2"/>
  <c r="L68" i="2"/>
  <c r="M68" i="2" s="1"/>
  <c r="C13" i="3"/>
  <c r="X26" i="7"/>
  <c r="H29" i="2"/>
  <c r="L49" i="2"/>
  <c r="M49" i="2" s="1"/>
  <c r="L63" i="2"/>
  <c r="M63" i="2" s="1"/>
  <c r="O14" i="1"/>
  <c r="O10" i="7"/>
  <c r="Z10" i="7" s="1"/>
  <c r="E24" i="10"/>
  <c r="G24" i="10" s="1"/>
  <c r="I24" i="10" s="1"/>
  <c r="V14" i="1"/>
  <c r="K18" i="2"/>
  <c r="K35" i="2"/>
  <c r="K40" i="2"/>
  <c r="L64" i="2"/>
  <c r="M64" i="2" s="1"/>
  <c r="L69" i="2"/>
  <c r="M69" i="2" s="1"/>
  <c r="H52" i="8"/>
  <c r="AB54" i="8"/>
  <c r="W14" i="1"/>
  <c r="D10" i="3"/>
  <c r="O39" i="8"/>
  <c r="Z31" i="7"/>
  <c r="Q56" i="8"/>
  <c r="P19" i="2"/>
  <c r="K31" i="2"/>
  <c r="H16" i="2"/>
  <c r="AA26" i="7"/>
  <c r="E14" i="10"/>
  <c r="G14" i="10" s="1"/>
  <c r="I14" i="10" s="1"/>
  <c r="H36" i="2"/>
  <c r="M15" i="2"/>
  <c r="H55" i="2"/>
  <c r="K55" i="2" s="1"/>
  <c r="L70" i="2"/>
  <c r="M70" i="2" s="1"/>
  <c r="L85" i="2"/>
  <c r="M85" i="2" s="1"/>
  <c r="AB26" i="7"/>
  <c r="AA29" i="7"/>
  <c r="C36" i="8"/>
  <c r="G161" i="10"/>
  <c r="F14" i="1"/>
  <c r="K15" i="2"/>
  <c r="Y15" i="2" s="1"/>
  <c r="T19" i="2"/>
  <c r="H41" i="2"/>
  <c r="L60" i="2"/>
  <c r="M60" i="2" s="1"/>
  <c r="AA8" i="7"/>
  <c r="AA42" i="7"/>
  <c r="E15" i="10"/>
  <c r="G15" i="10" s="1"/>
  <c r="I15" i="10" s="1"/>
  <c r="I56" i="8"/>
  <c r="L19" i="2"/>
  <c r="Z13" i="1"/>
  <c r="G14" i="1"/>
  <c r="U18" i="2"/>
  <c r="X27" i="7"/>
  <c r="AB27" i="7"/>
  <c r="C44" i="7"/>
  <c r="C18" i="8"/>
  <c r="Y57" i="8"/>
  <c r="H19" i="2"/>
  <c r="H38" i="2"/>
  <c r="Z25" i="7"/>
  <c r="H27" i="2"/>
  <c r="D15" i="2"/>
  <c r="S15" i="2"/>
  <c r="AA15" i="2" s="1"/>
  <c r="L53" i="2"/>
  <c r="M53" i="2" s="1"/>
  <c r="H80" i="2"/>
  <c r="K80" i="2" s="1"/>
  <c r="L84" i="2"/>
  <c r="M84" i="2" s="1"/>
  <c r="L52" i="8"/>
  <c r="H42" i="2"/>
  <c r="Y15" i="7"/>
  <c r="AB30" i="7"/>
  <c r="X42" i="7"/>
  <c r="AB11" i="1"/>
  <c r="AA9" i="4"/>
  <c r="X29" i="7"/>
  <c r="AB29" i="7"/>
  <c r="H43" i="2"/>
  <c r="T15" i="2"/>
  <c r="Y42" i="7"/>
  <c r="E22" i="10"/>
  <c r="G22" i="10" s="1"/>
  <c r="I22" i="10" s="1"/>
  <c r="X47" i="7"/>
  <c r="AB18" i="7"/>
  <c r="M18" i="2" l="1"/>
  <c r="P17" i="1"/>
  <c r="AB10" i="7"/>
  <c r="P11" i="8"/>
  <c r="R18" i="2"/>
  <c r="R26" i="8"/>
  <c r="P12" i="8"/>
  <c r="N17" i="1"/>
  <c r="P9" i="8"/>
  <c r="P10" i="8" s="1"/>
  <c r="G16" i="2"/>
  <c r="G21" i="2" s="1"/>
  <c r="D13" i="4"/>
  <c r="N11" i="7"/>
  <c r="N8" i="8" s="1"/>
  <c r="N24" i="8" s="1"/>
  <c r="W56" i="8"/>
  <c r="AB56" i="8" s="1"/>
  <c r="L18" i="2"/>
  <c r="P15" i="8"/>
  <c r="P26" i="8"/>
  <c r="L17" i="1"/>
  <c r="C38" i="8"/>
  <c r="C11" i="7"/>
  <c r="C8" i="8" s="1"/>
  <c r="C11" i="8" s="1"/>
  <c r="P34" i="8"/>
  <c r="K56" i="8"/>
  <c r="E17" i="1"/>
  <c r="L56" i="8"/>
  <c r="R17" i="1"/>
  <c r="R9" i="8"/>
  <c r="R25" i="8" s="1"/>
  <c r="R24" i="8"/>
  <c r="R49" i="8" s="1"/>
  <c r="P18" i="2"/>
  <c r="D22" i="3"/>
  <c r="D48" i="7" s="1"/>
  <c r="N20" i="2"/>
  <c r="D45" i="7"/>
  <c r="R34" i="8"/>
  <c r="R11" i="8"/>
  <c r="H17" i="1"/>
  <c r="R12" i="8"/>
  <c r="Q17" i="1"/>
  <c r="Q18" i="2"/>
  <c r="K11" i="7"/>
  <c r="K8" i="8" s="1"/>
  <c r="K34" i="8" s="1"/>
  <c r="Y34" i="8" s="1"/>
  <c r="C23" i="8"/>
  <c r="C27" i="8" s="1"/>
  <c r="C31" i="8" s="1"/>
  <c r="C40" i="8" s="1"/>
  <c r="K37" i="2"/>
  <c r="L37" i="2" s="1"/>
  <c r="M37" i="2" s="1"/>
  <c r="N17" i="2" s="1"/>
  <c r="U10" i="8"/>
  <c r="K45" i="2"/>
  <c r="L45" i="2" s="1"/>
  <c r="M45" i="2" s="1"/>
  <c r="V17" i="2" s="1"/>
  <c r="V16" i="2"/>
  <c r="V21" i="2" s="1"/>
  <c r="S11" i="7"/>
  <c r="S8" i="8" s="1"/>
  <c r="AA8" i="8" s="1"/>
  <c r="S17" i="1"/>
  <c r="S18" i="2"/>
  <c r="Z14" i="1"/>
  <c r="D11" i="7"/>
  <c r="D8" i="8" s="1"/>
  <c r="D24" i="8" s="1"/>
  <c r="D17" i="1"/>
  <c r="D18" i="2"/>
  <c r="Q16" i="2"/>
  <c r="Q21" i="2" s="1"/>
  <c r="D7" i="4"/>
  <c r="D11" i="4" s="1"/>
  <c r="AA39" i="8"/>
  <c r="S56" i="8"/>
  <c r="I17" i="1"/>
  <c r="L46" i="2"/>
  <c r="M46" i="2" s="1"/>
  <c r="W17" i="2" s="1"/>
  <c r="AA14" i="1"/>
  <c r="U16" i="2"/>
  <c r="U21" i="2" s="1"/>
  <c r="T17" i="1"/>
  <c r="H11" i="7"/>
  <c r="H8" i="8" s="1"/>
  <c r="I16" i="2"/>
  <c r="I21" i="2" s="1"/>
  <c r="W16" i="2"/>
  <c r="W21" i="2" s="1"/>
  <c r="C20" i="2"/>
  <c r="C22" i="2"/>
  <c r="Y10" i="7"/>
  <c r="E11" i="7"/>
  <c r="E8" i="8" s="1"/>
  <c r="E26" i="8" s="1"/>
  <c r="K27" i="2"/>
  <c r="D16" i="2"/>
  <c r="E18" i="10"/>
  <c r="G18" i="10" s="1"/>
  <c r="I18" i="10" s="1"/>
  <c r="L55" i="2"/>
  <c r="M55" i="2"/>
  <c r="D43" i="7"/>
  <c r="L40" i="2"/>
  <c r="M40" i="2" s="1"/>
  <c r="K41" i="2"/>
  <c r="R16" i="2"/>
  <c r="R21" i="2" s="1"/>
  <c r="L31" i="2"/>
  <c r="M31" i="2" s="1"/>
  <c r="H17" i="2" s="1"/>
  <c r="K20" i="2"/>
  <c r="K36" i="2"/>
  <c r="M16" i="2"/>
  <c r="M21" i="2" s="1"/>
  <c r="P16" i="2"/>
  <c r="K39" i="2"/>
  <c r="K26" i="8"/>
  <c r="Y26" i="8" s="1"/>
  <c r="Q11" i="8"/>
  <c r="Q26" i="8"/>
  <c r="Q15" i="8"/>
  <c r="Q12" i="8"/>
  <c r="Q34" i="8"/>
  <c r="Q24" i="8"/>
  <c r="Q9" i="8"/>
  <c r="Q25" i="8" s="1"/>
  <c r="O56" i="8"/>
  <c r="Z39" i="8"/>
  <c r="E16" i="2"/>
  <c r="K28" i="2"/>
  <c r="M26" i="8"/>
  <c r="M12" i="8"/>
  <c r="M11" i="8"/>
  <c r="M34" i="8"/>
  <c r="M15" i="8"/>
  <c r="M9" i="8"/>
  <c r="M25" i="8" s="1"/>
  <c r="L34" i="2"/>
  <c r="M34" i="2" s="1"/>
  <c r="K17" i="2" s="1"/>
  <c r="J18" i="2"/>
  <c r="J20" i="2" s="1"/>
  <c r="J11" i="7"/>
  <c r="J8" i="8" s="1"/>
  <c r="J17" i="1"/>
  <c r="L30" i="2"/>
  <c r="M30" i="2" s="1"/>
  <c r="G17" i="2" s="1"/>
  <c r="M24" i="8"/>
  <c r="Y16" i="2"/>
  <c r="D11" i="3"/>
  <c r="I15" i="8"/>
  <c r="I24" i="8"/>
  <c r="I12" i="8"/>
  <c r="I26" i="8"/>
  <c r="I11" i="8"/>
  <c r="I9" i="8"/>
  <c r="I25" i="8" s="1"/>
  <c r="L35" i="2"/>
  <c r="M35" i="2" s="1"/>
  <c r="K38" i="2"/>
  <c r="O16" i="2"/>
  <c r="O21" i="2" s="1"/>
  <c r="AB19" i="2"/>
  <c r="AA19" i="2"/>
  <c r="Y14" i="1"/>
  <c r="H21" i="2"/>
  <c r="Y19" i="2"/>
  <c r="G18" i="2"/>
  <c r="G17" i="1"/>
  <c r="G11" i="7"/>
  <c r="G8" i="8" s="1"/>
  <c r="V18" i="2"/>
  <c r="AB14" i="1"/>
  <c r="V17" i="1"/>
  <c r="V11" i="7"/>
  <c r="L33" i="2"/>
  <c r="M33" i="2" s="1"/>
  <c r="J17" i="2" s="1"/>
  <c r="L8" i="8"/>
  <c r="X14" i="1"/>
  <c r="W11" i="7"/>
  <c r="W8" i="8" s="1"/>
  <c r="W17" i="1"/>
  <c r="W18" i="2"/>
  <c r="K29" i="2"/>
  <c r="F16" i="2"/>
  <c r="F21" i="2" s="1"/>
  <c r="G56" i="8"/>
  <c r="X56" i="8" s="1"/>
  <c r="X39" i="8"/>
  <c r="K42" i="2"/>
  <c r="S16" i="2"/>
  <c r="Z19" i="2"/>
  <c r="F18" i="2"/>
  <c r="E23" i="10"/>
  <c r="G23" i="10" s="1"/>
  <c r="I23" i="10" s="1"/>
  <c r="F17" i="1"/>
  <c r="F11" i="7"/>
  <c r="F8" i="8" s="1"/>
  <c r="E9" i="8"/>
  <c r="E25" i="8" s="1"/>
  <c r="T34" i="8"/>
  <c r="T11" i="8"/>
  <c r="T9" i="8"/>
  <c r="T10" i="8"/>
  <c r="T26" i="8"/>
  <c r="T15" i="8"/>
  <c r="T12" i="8"/>
  <c r="D46" i="7"/>
  <c r="H56" i="8"/>
  <c r="Y56" i="8" s="1"/>
  <c r="L53" i="8"/>
  <c r="Z53" i="8" s="1"/>
  <c r="Z52" i="8"/>
  <c r="I34" i="8"/>
  <c r="H53" i="8"/>
  <c r="Y53" i="8" s="1"/>
  <c r="Y52" i="8"/>
  <c r="L16" i="2"/>
  <c r="D23" i="3"/>
  <c r="L44" i="2"/>
  <c r="M44" i="2" s="1"/>
  <c r="U17" i="2" s="1"/>
  <c r="T24" i="8"/>
  <c r="H20" i="2"/>
  <c r="AB52" i="8"/>
  <c r="T53" i="8"/>
  <c r="AB53" i="8" s="1"/>
  <c r="E24" i="3"/>
  <c r="D50" i="7"/>
  <c r="D29" i="8" s="1"/>
  <c r="K43" i="2"/>
  <c r="T16" i="2"/>
  <c r="T21" i="2" s="1"/>
  <c r="L80" i="2"/>
  <c r="M80" i="2" s="1"/>
  <c r="O18" i="2"/>
  <c r="O11" i="7"/>
  <c r="O8" i="8" s="1"/>
  <c r="O17" i="1"/>
  <c r="C14" i="3"/>
  <c r="L32" i="2"/>
  <c r="M32" i="2" s="1"/>
  <c r="L52" i="2"/>
  <c r="M52" i="2" s="1"/>
  <c r="D51" i="7"/>
  <c r="P56" i="8"/>
  <c r="N26" i="8"/>
  <c r="N12" i="8"/>
  <c r="N11" i="8"/>
  <c r="N34" i="8"/>
  <c r="N15" i="8"/>
  <c r="N9" i="8"/>
  <c r="N25" i="8" s="1"/>
  <c r="K17" i="1"/>
  <c r="P25" i="8" l="1"/>
  <c r="W20" i="2"/>
  <c r="Q20" i="2"/>
  <c r="K12" i="8"/>
  <c r="G20" i="2"/>
  <c r="E34" i="8"/>
  <c r="C12" i="8"/>
  <c r="L20" i="2"/>
  <c r="E12" i="8"/>
  <c r="C15" i="8"/>
  <c r="E11" i="8"/>
  <c r="C9" i="8"/>
  <c r="C10" i="8" s="1"/>
  <c r="C16" i="8" s="1"/>
  <c r="C19" i="8" s="1"/>
  <c r="C20" i="8" s="1"/>
  <c r="Z17" i="1"/>
  <c r="K11" i="8"/>
  <c r="R10" i="8"/>
  <c r="Y21" i="2"/>
  <c r="Z56" i="8"/>
  <c r="P20" i="2"/>
  <c r="D11" i="8"/>
  <c r="AA11" i="7"/>
  <c r="K24" i="8"/>
  <c r="D9" i="8"/>
  <c r="D25" i="8" s="1"/>
  <c r="P21" i="2"/>
  <c r="V20" i="2"/>
  <c r="K9" i="8"/>
  <c r="K25" i="8" s="1"/>
  <c r="Y25" i="8" s="1"/>
  <c r="Y17" i="1"/>
  <c r="K15" i="8"/>
  <c r="AA18" i="2"/>
  <c r="N49" i="8"/>
  <c r="E157" i="10"/>
  <c r="I157" i="10" s="1"/>
  <c r="AA17" i="1"/>
  <c r="W22" i="2"/>
  <c r="W16" i="7"/>
  <c r="W14" i="8" s="1"/>
  <c r="E167" i="10" s="1"/>
  <c r="G167" i="10" s="1"/>
  <c r="I167" i="10" s="1"/>
  <c r="AA56" i="8"/>
  <c r="D12" i="4"/>
  <c r="D53" i="7" s="1"/>
  <c r="D28" i="8" s="1"/>
  <c r="D34" i="8"/>
  <c r="E24" i="8"/>
  <c r="D12" i="8"/>
  <c r="L17" i="2"/>
  <c r="L22" i="2" s="1"/>
  <c r="Z11" i="7"/>
  <c r="Q17" i="2"/>
  <c r="Q22" i="2" s="1"/>
  <c r="D10" i="8"/>
  <c r="AB17" i="1"/>
  <c r="D26" i="8"/>
  <c r="X11" i="7"/>
  <c r="E15" i="8"/>
  <c r="AB18" i="2"/>
  <c r="S12" i="8"/>
  <c r="AA12" i="8" s="1"/>
  <c r="S9" i="8"/>
  <c r="AA9" i="8" s="1"/>
  <c r="S24" i="8"/>
  <c r="S11" i="8"/>
  <c r="S26" i="8"/>
  <c r="AA26" i="8" s="1"/>
  <c r="S34" i="8"/>
  <c r="AA34" i="8" s="1"/>
  <c r="S15" i="8"/>
  <c r="AA15" i="8" s="1"/>
  <c r="X8" i="8"/>
  <c r="E10" i="8"/>
  <c r="U20" i="2"/>
  <c r="D15" i="8"/>
  <c r="I20" i="2"/>
  <c r="G16" i="7"/>
  <c r="G14" i="8" s="1"/>
  <c r="G22" i="2"/>
  <c r="U16" i="7"/>
  <c r="U14" i="8" s="1"/>
  <c r="U22" i="2"/>
  <c r="I17" i="2"/>
  <c r="K16" i="7"/>
  <c r="K14" i="8" s="1"/>
  <c r="K22" i="2"/>
  <c r="H16" i="7"/>
  <c r="H22" i="2"/>
  <c r="N22" i="2"/>
  <c r="N16" i="7"/>
  <c r="N14" i="8" s="1"/>
  <c r="N32" i="8" s="1"/>
  <c r="L43" i="2"/>
  <c r="M43" i="2"/>
  <c r="T17" i="2" s="1"/>
  <c r="W26" i="8"/>
  <c r="AB26" i="8" s="1"/>
  <c r="W12" i="8"/>
  <c r="W9" i="8"/>
  <c r="W25" i="8" s="1"/>
  <c r="AB25" i="8" s="1"/>
  <c r="E166" i="10"/>
  <c r="G166" i="10" s="1"/>
  <c r="I166" i="10" s="1"/>
  <c r="W15" i="8"/>
  <c r="W24" i="8"/>
  <c r="W11" i="8"/>
  <c r="W34" i="8"/>
  <c r="AB34" i="8" s="1"/>
  <c r="C42" i="8"/>
  <c r="C43" i="8" s="1"/>
  <c r="L28" i="2"/>
  <c r="M28" i="2" s="1"/>
  <c r="E17" i="2" s="1"/>
  <c r="S21" i="2"/>
  <c r="S20" i="2"/>
  <c r="I10" i="8"/>
  <c r="E21" i="2"/>
  <c r="E20" i="2"/>
  <c r="D55" i="8"/>
  <c r="E25" i="3"/>
  <c r="E26" i="3" s="1"/>
  <c r="E11" i="10"/>
  <c r="G11" i="10" s="1"/>
  <c r="I11" i="10" s="1"/>
  <c r="L42" i="2"/>
  <c r="M42" i="2" s="1"/>
  <c r="S17" i="2" s="1"/>
  <c r="L26" i="8"/>
  <c r="L12" i="8"/>
  <c r="Z8" i="8"/>
  <c r="L11" i="8"/>
  <c r="L34" i="8"/>
  <c r="L24" i="8"/>
  <c r="L15" i="8"/>
  <c r="L9" i="8"/>
  <c r="L27" i="2"/>
  <c r="M27" i="2" s="1"/>
  <c r="D17" i="2" s="1"/>
  <c r="D58" i="8"/>
  <c r="Q49" i="8"/>
  <c r="L36" i="2"/>
  <c r="M36" i="2" s="1"/>
  <c r="M17" i="2" s="1"/>
  <c r="Y24" i="8"/>
  <c r="J12" i="8"/>
  <c r="J26" i="8"/>
  <c r="J11" i="8"/>
  <c r="J24" i="8"/>
  <c r="J15" i="8"/>
  <c r="J9" i="8"/>
  <c r="J25" i="8" s="1"/>
  <c r="J34" i="8"/>
  <c r="Y18" i="2"/>
  <c r="Y20" i="2" s="1"/>
  <c r="J22" i="2"/>
  <c r="J16" i="7"/>
  <c r="J14" i="8" s="1"/>
  <c r="Y8" i="8"/>
  <c r="H12" i="8"/>
  <c r="H34" i="8"/>
  <c r="H26" i="8"/>
  <c r="H11" i="8"/>
  <c r="H15" i="8"/>
  <c r="H9" i="8"/>
  <c r="H24" i="8"/>
  <c r="K10" i="8"/>
  <c r="L41" i="2"/>
  <c r="M41" i="2" s="1"/>
  <c r="R17" i="2" s="1"/>
  <c r="X16" i="2"/>
  <c r="X21" i="2" s="1"/>
  <c r="D21" i="2"/>
  <c r="D20" i="2"/>
  <c r="Y11" i="7"/>
  <c r="E7" i="3"/>
  <c r="D44" i="7"/>
  <c r="D13" i="3"/>
  <c r="Q10" i="8"/>
  <c r="L39" i="2"/>
  <c r="M39" i="2" s="1"/>
  <c r="P17" i="2" s="1"/>
  <c r="V8" i="8"/>
  <c r="AB11" i="7"/>
  <c r="AA16" i="2"/>
  <c r="AA21" i="2" s="1"/>
  <c r="R20" i="2"/>
  <c r="O26" i="8"/>
  <c r="Z26" i="8" s="1"/>
  <c r="O12" i="8"/>
  <c r="O11" i="8"/>
  <c r="O34" i="8"/>
  <c r="Z34" i="8" s="1"/>
  <c r="O15" i="8"/>
  <c r="O24" i="8"/>
  <c r="O9" i="8"/>
  <c r="O25" i="8" s="1"/>
  <c r="Z25" i="8" s="1"/>
  <c r="D21" i="7"/>
  <c r="N10" i="8"/>
  <c r="O20" i="2"/>
  <c r="F9" i="8"/>
  <c r="F25" i="8" s="1"/>
  <c r="F12" i="8"/>
  <c r="F26" i="8"/>
  <c r="F10" i="8"/>
  <c r="F15" i="8"/>
  <c r="F11" i="8"/>
  <c r="F34" i="8"/>
  <c r="F24" i="8"/>
  <c r="F49" i="8" s="1"/>
  <c r="L38" i="2"/>
  <c r="M38" i="2" s="1"/>
  <c r="O17" i="2" s="1"/>
  <c r="V16" i="7"/>
  <c r="V14" i="8" s="1"/>
  <c r="V22" i="2"/>
  <c r="X17" i="1"/>
  <c r="L29" i="2"/>
  <c r="M29" i="2" s="1"/>
  <c r="F17" i="2" s="1"/>
  <c r="Z18" i="2"/>
  <c r="M10" i="8"/>
  <c r="AA11" i="8"/>
  <c r="D49" i="7"/>
  <c r="D37" i="8" s="1"/>
  <c r="E18" i="3"/>
  <c r="X18" i="2"/>
  <c r="F20" i="2"/>
  <c r="M20" i="2"/>
  <c r="D14" i="4"/>
  <c r="AB16" i="2"/>
  <c r="T20" i="2"/>
  <c r="Z16" i="2"/>
  <c r="Z21" i="2" s="1"/>
  <c r="T25" i="8"/>
  <c r="U49" i="8" s="1"/>
  <c r="L21" i="2"/>
  <c r="G26" i="8"/>
  <c r="X26" i="8" s="1"/>
  <c r="G12" i="8"/>
  <c r="G11" i="8"/>
  <c r="G15" i="8"/>
  <c r="G9" i="8"/>
  <c r="G25" i="8" s="1"/>
  <c r="X25" i="8" s="1"/>
  <c r="G24" i="8"/>
  <c r="G34" i="8"/>
  <c r="X34" i="8" s="1"/>
  <c r="AB20" i="2" l="1"/>
  <c r="K32" i="8"/>
  <c r="Q16" i="7"/>
  <c r="Q14" i="8" s="1"/>
  <c r="Q32" i="8" s="1"/>
  <c r="Y12" i="8"/>
  <c r="E7" i="4"/>
  <c r="D49" i="8"/>
  <c r="X12" i="8"/>
  <c r="K49" i="8"/>
  <c r="G157" i="10"/>
  <c r="Z15" i="8"/>
  <c r="X15" i="8"/>
  <c r="S10" i="8"/>
  <c r="AA10" i="8" s="1"/>
  <c r="S25" i="8"/>
  <c r="AA25" i="8" s="1"/>
  <c r="Z12" i="8"/>
  <c r="L16" i="7"/>
  <c r="L14" i="8" s="1"/>
  <c r="J10" i="8"/>
  <c r="J16" i="8" s="1"/>
  <c r="Y15" i="8"/>
  <c r="AA24" i="8"/>
  <c r="N16" i="8"/>
  <c r="X17" i="2"/>
  <c r="X22" i="2" s="1"/>
  <c r="D22" i="2"/>
  <c r="D16" i="7"/>
  <c r="E16" i="10"/>
  <c r="G16" i="10" s="1"/>
  <c r="I16" i="10" s="1"/>
  <c r="O16" i="7"/>
  <c r="O14" i="8" s="1"/>
  <c r="O32" i="8" s="1"/>
  <c r="O22" i="2"/>
  <c r="E16" i="7"/>
  <c r="E14" i="8" s="1"/>
  <c r="E22" i="2"/>
  <c r="R16" i="7"/>
  <c r="R14" i="8" s="1"/>
  <c r="R22" i="2"/>
  <c r="K50" i="8"/>
  <c r="Y32" i="8"/>
  <c r="S16" i="7"/>
  <c r="S14" i="8" s="1"/>
  <c r="S22" i="2"/>
  <c r="P16" i="7"/>
  <c r="P22" i="2"/>
  <c r="AA17" i="2"/>
  <c r="AA22" i="2" s="1"/>
  <c r="M16" i="7"/>
  <c r="M14" i="8" s="1"/>
  <c r="M32" i="8" s="1"/>
  <c r="M22" i="2"/>
  <c r="Z17" i="2"/>
  <c r="Z22" i="2" s="1"/>
  <c r="N50" i="8"/>
  <c r="E19" i="10"/>
  <c r="G19" i="10" s="1"/>
  <c r="I19" i="10" s="1"/>
  <c r="Z9" i="8"/>
  <c r="L25" i="8"/>
  <c r="M49" i="8" s="1"/>
  <c r="D59" i="8"/>
  <c r="D18" i="8"/>
  <c r="Z20" i="2"/>
  <c r="D19" i="7"/>
  <c r="D14" i="3"/>
  <c r="I22" i="2"/>
  <c r="I16" i="7"/>
  <c r="I14" i="8" s="1"/>
  <c r="I32" i="8" s="1"/>
  <c r="G32" i="8"/>
  <c r="X9" i="8"/>
  <c r="E11" i="4"/>
  <c r="E12" i="4" s="1"/>
  <c r="J32" i="8"/>
  <c r="W10" i="8"/>
  <c r="W16" i="8" s="1"/>
  <c r="Y17" i="2"/>
  <c r="Y22" i="2" s="1"/>
  <c r="E50" i="7"/>
  <c r="E29" i="8" s="1"/>
  <c r="F24" i="3"/>
  <c r="AB24" i="8"/>
  <c r="H14" i="8"/>
  <c r="H32" i="8" s="1"/>
  <c r="L49" i="8"/>
  <c r="F22" i="2"/>
  <c r="F16" i="7"/>
  <c r="F14" i="8" s="1"/>
  <c r="F16" i="8" s="1"/>
  <c r="V11" i="8"/>
  <c r="V9" i="8"/>
  <c r="V10" i="8" s="1"/>
  <c r="V26" i="8"/>
  <c r="V15" i="8"/>
  <c r="AB15" i="8" s="1"/>
  <c r="V12" i="8"/>
  <c r="AB12" i="8" s="1"/>
  <c r="V34" i="8"/>
  <c r="V24" i="8"/>
  <c r="AB8" i="8"/>
  <c r="AA20" i="2"/>
  <c r="O10" i="8"/>
  <c r="Z11" i="8"/>
  <c r="O49" i="8"/>
  <c r="Z24" i="8"/>
  <c r="P49" i="8"/>
  <c r="K16" i="8"/>
  <c r="AB21" i="2"/>
  <c r="E13" i="4"/>
  <c r="D54" i="7"/>
  <c r="D30" i="8" s="1"/>
  <c r="Q16" i="8"/>
  <c r="L10" i="8"/>
  <c r="X11" i="8"/>
  <c r="T16" i="7"/>
  <c r="T22" i="2"/>
  <c r="AB17" i="2"/>
  <c r="AB22" i="2" s="1"/>
  <c r="G49" i="8"/>
  <c r="X24" i="8"/>
  <c r="Y9" i="8"/>
  <c r="H25" i="8"/>
  <c r="I49" i="8" s="1"/>
  <c r="X20" i="2"/>
  <c r="U16" i="8"/>
  <c r="U32" i="8"/>
  <c r="E41" i="7"/>
  <c r="E10" i="3"/>
  <c r="E11" i="3" s="1"/>
  <c r="E13" i="3" s="1"/>
  <c r="H10" i="8"/>
  <c r="G10" i="8"/>
  <c r="G16" i="8" s="1"/>
  <c r="E20" i="3"/>
  <c r="E23" i="3" s="1"/>
  <c r="E45" i="7"/>
  <c r="E22" i="3"/>
  <c r="E49" i="8"/>
  <c r="Y11" i="8"/>
  <c r="J49" i="8"/>
  <c r="E51" i="7"/>
  <c r="W32" i="8"/>
  <c r="S49" i="8" l="1"/>
  <c r="AA49" i="8" s="1"/>
  <c r="X49" i="8"/>
  <c r="E17" i="10"/>
  <c r="G17" i="10" s="1"/>
  <c r="I17" i="10" s="1"/>
  <c r="E158" i="10"/>
  <c r="I158" i="10" s="1"/>
  <c r="T49" i="8"/>
  <c r="M16" i="8"/>
  <c r="H49" i="8"/>
  <c r="Y49" i="8" s="1"/>
  <c r="Y16" i="7"/>
  <c r="F32" i="8"/>
  <c r="G50" i="8" s="1"/>
  <c r="Y14" i="8"/>
  <c r="I16" i="8"/>
  <c r="E19" i="7"/>
  <c r="E14" i="3"/>
  <c r="E53" i="7"/>
  <c r="E28" i="8" s="1"/>
  <c r="F7" i="4"/>
  <c r="S16" i="8"/>
  <c r="S32" i="8"/>
  <c r="H50" i="8"/>
  <c r="F7" i="3"/>
  <c r="E44" i="7"/>
  <c r="X32" i="8"/>
  <c r="I50" i="8"/>
  <c r="E48" i="7"/>
  <c r="E14" i="4"/>
  <c r="F25" i="3"/>
  <c r="R32" i="8"/>
  <c r="R16" i="8"/>
  <c r="E49" i="7"/>
  <c r="E37" i="8" s="1"/>
  <c r="F18" i="3"/>
  <c r="E32" i="8"/>
  <c r="E16" i="8"/>
  <c r="E46" i="7"/>
  <c r="Z32" i="8"/>
  <c r="O50" i="8"/>
  <c r="D17" i="8"/>
  <c r="V16" i="8"/>
  <c r="AB10" i="8"/>
  <c r="V25" i="8"/>
  <c r="W49" i="8" s="1"/>
  <c r="AB9" i="8"/>
  <c r="AB32" i="8"/>
  <c r="W35" i="8"/>
  <c r="H16" i="8"/>
  <c r="Y10" i="8"/>
  <c r="Z14" i="8"/>
  <c r="V32" i="8"/>
  <c r="AB11" i="8"/>
  <c r="J50" i="8"/>
  <c r="D48" i="8"/>
  <c r="Z16" i="7"/>
  <c r="D14" i="8"/>
  <c r="X16" i="7"/>
  <c r="AB16" i="7"/>
  <c r="T14" i="8"/>
  <c r="AA16" i="7"/>
  <c r="P14" i="8"/>
  <c r="X10" i="8"/>
  <c r="E43" i="7"/>
  <c r="L32" i="8"/>
  <c r="M50" i="8" s="1"/>
  <c r="Z49" i="8"/>
  <c r="L16" i="8"/>
  <c r="Z10" i="8"/>
  <c r="O16" i="8"/>
  <c r="E21" i="7"/>
  <c r="E12" i="10"/>
  <c r="G12" i="10" s="1"/>
  <c r="I12" i="10" s="1"/>
  <c r="F50" i="8" l="1"/>
  <c r="G158" i="10"/>
  <c r="AA14" i="8"/>
  <c r="P32" i="8"/>
  <c r="P16" i="8"/>
  <c r="V50" i="8"/>
  <c r="F41" i="7"/>
  <c r="F10" i="3"/>
  <c r="F11" i="3" s="1"/>
  <c r="F20" i="3"/>
  <c r="F23" i="3" s="1"/>
  <c r="F22" i="3"/>
  <c r="F45" i="7"/>
  <c r="Y50" i="8"/>
  <c r="AB14" i="8"/>
  <c r="T32" i="8"/>
  <c r="T16" i="8"/>
  <c r="Y16" i="8"/>
  <c r="AA32" i="8"/>
  <c r="S50" i="8"/>
  <c r="E18" i="8"/>
  <c r="W50" i="8"/>
  <c r="AB35" i="8"/>
  <c r="R50" i="8"/>
  <c r="F51" i="7"/>
  <c r="F11" i="4"/>
  <c r="Z16" i="8"/>
  <c r="F26" i="3"/>
  <c r="X14" i="8"/>
  <c r="D16" i="8"/>
  <c r="D32" i="8"/>
  <c r="L50" i="8"/>
  <c r="Z50" i="8" s="1"/>
  <c r="E58" i="8"/>
  <c r="E54" i="7"/>
  <c r="E30" i="8" s="1"/>
  <c r="F13" i="4"/>
  <c r="E17" i="8"/>
  <c r="V49" i="8"/>
  <c r="AB49" i="8" s="1"/>
  <c r="E55" i="8"/>
  <c r="E19" i="8" l="1"/>
  <c r="E20" i="8" s="1"/>
  <c r="E47" i="8" s="1"/>
  <c r="E51" i="8" s="1"/>
  <c r="F21" i="7"/>
  <c r="E48" i="8"/>
  <c r="F14" i="4"/>
  <c r="F12" i="4"/>
  <c r="F44" i="7"/>
  <c r="G7" i="3"/>
  <c r="F13" i="3"/>
  <c r="F43" i="7"/>
  <c r="E59" i="8"/>
  <c r="D50" i="8"/>
  <c r="AB16" i="8"/>
  <c r="D19" i="8"/>
  <c r="X16" i="8"/>
  <c r="T50" i="8"/>
  <c r="U50" i="8"/>
  <c r="AA16" i="8"/>
  <c r="F50" i="7"/>
  <c r="F29" i="8" s="1"/>
  <c r="G24" i="3"/>
  <c r="P50" i="8"/>
  <c r="Q50" i="8"/>
  <c r="E50" i="8"/>
  <c r="F49" i="7"/>
  <c r="F37" i="8" s="1"/>
  <c r="G18" i="3"/>
  <c r="F48" i="7"/>
  <c r="F46" i="7"/>
  <c r="AB50" i="8" l="1"/>
  <c r="E60" i="8"/>
  <c r="F55" i="8"/>
  <c r="F19" i="7"/>
  <c r="F14" i="3"/>
  <c r="G45" i="7"/>
  <c r="X45" i="7" s="1"/>
  <c r="G20" i="3"/>
  <c r="X18" i="3"/>
  <c r="G22" i="3"/>
  <c r="G23" i="3"/>
  <c r="D20" i="8"/>
  <c r="G10" i="3"/>
  <c r="G11" i="3" s="1"/>
  <c r="G41" i="7"/>
  <c r="X41" i="7" s="1"/>
  <c r="X7" i="3"/>
  <c r="AA50" i="8"/>
  <c r="G7" i="4"/>
  <c r="F53" i="7"/>
  <c r="F28" i="8" s="1"/>
  <c r="X50" i="8"/>
  <c r="G25" i="3"/>
  <c r="X24" i="3"/>
  <c r="G13" i="4"/>
  <c r="F54" i="7"/>
  <c r="F30" i="8" s="1"/>
  <c r="F58" i="8"/>
  <c r="F18" i="8"/>
  <c r="X13" i="4" l="1"/>
  <c r="X11" i="3"/>
  <c r="H7" i="3"/>
  <c r="G44" i="7"/>
  <c r="D47" i="8"/>
  <c r="D40" i="8"/>
  <c r="G51" i="7"/>
  <c r="X51" i="7" s="1"/>
  <c r="X25" i="3"/>
  <c r="G26" i="3"/>
  <c r="X23" i="3"/>
  <c r="G49" i="7"/>
  <c r="H18" i="3"/>
  <c r="G48" i="7"/>
  <c r="X48" i="7" s="1"/>
  <c r="X22" i="3"/>
  <c r="G46" i="7"/>
  <c r="X20" i="3"/>
  <c r="X7" i="4"/>
  <c r="G11" i="4"/>
  <c r="G12" i="4" s="1"/>
  <c r="F48" i="8"/>
  <c r="F17" i="8"/>
  <c r="G43" i="7"/>
  <c r="X10" i="3"/>
  <c r="G13" i="3"/>
  <c r="F59" i="8"/>
  <c r="H22" i="3" l="1"/>
  <c r="H45" i="7"/>
  <c r="H20" i="3"/>
  <c r="H23" i="3" s="1"/>
  <c r="X12" i="4"/>
  <c r="G53" i="7"/>
  <c r="H7" i="4"/>
  <c r="E40" i="8"/>
  <c r="D42" i="8"/>
  <c r="D51" i="8"/>
  <c r="G21" i="7"/>
  <c r="X11" i="4"/>
  <c r="X49" i="7"/>
  <c r="G37" i="8"/>
  <c r="X37" i="8" s="1"/>
  <c r="G50" i="7"/>
  <c r="X26" i="3"/>
  <c r="H24" i="3"/>
  <c r="G19" i="7"/>
  <c r="G14" i="3"/>
  <c r="X14" i="3" s="1"/>
  <c r="X13" i="3"/>
  <c r="X44" i="7"/>
  <c r="H10" i="3"/>
  <c r="H41" i="7"/>
  <c r="H11" i="3"/>
  <c r="G55" i="8"/>
  <c r="X43" i="7"/>
  <c r="G58" i="8"/>
  <c r="X58" i="8" s="1"/>
  <c r="X46" i="7"/>
  <c r="F19" i="8"/>
  <c r="F20" i="8" s="1"/>
  <c r="G14" i="4"/>
  <c r="I7" i="3" l="1"/>
  <c r="H44" i="7"/>
  <c r="G18" i="8"/>
  <c r="X21" i="7"/>
  <c r="H43" i="7"/>
  <c r="D33" i="8"/>
  <c r="D60" i="8"/>
  <c r="H13" i="3"/>
  <c r="F40" i="8"/>
  <c r="E42" i="8"/>
  <c r="H13" i="4"/>
  <c r="G54" i="7"/>
  <c r="X14" i="4"/>
  <c r="H11" i="4"/>
  <c r="H12" i="4" s="1"/>
  <c r="F47" i="8"/>
  <c r="X53" i="7"/>
  <c r="G28" i="8"/>
  <c r="X28" i="8" s="1"/>
  <c r="G17" i="8"/>
  <c r="X19" i="7"/>
  <c r="H25" i="3"/>
  <c r="H49" i="7"/>
  <c r="H37" i="8" s="1"/>
  <c r="I18" i="3"/>
  <c r="G59" i="8"/>
  <c r="X59" i="8" s="1"/>
  <c r="X55" i="8"/>
  <c r="X50" i="7"/>
  <c r="G29" i="8"/>
  <c r="X29" i="8" s="1"/>
  <c r="H46" i="7"/>
  <c r="H48" i="7"/>
  <c r="H14" i="4" l="1"/>
  <c r="H19" i="7"/>
  <c r="H14" i="3"/>
  <c r="H51" i="7"/>
  <c r="H26" i="3"/>
  <c r="F42" i="8"/>
  <c r="G19" i="8"/>
  <c r="X19" i="8" s="1"/>
  <c r="X17" i="8"/>
  <c r="D61" i="8"/>
  <c r="D36" i="8"/>
  <c r="D35" i="8"/>
  <c r="H58" i="8"/>
  <c r="F51" i="8"/>
  <c r="H55" i="8"/>
  <c r="I7" i="4"/>
  <c r="H53" i="7"/>
  <c r="H28" i="8" s="1"/>
  <c r="H21" i="7"/>
  <c r="G48" i="8"/>
  <c r="X48" i="8" s="1"/>
  <c r="X18" i="8"/>
  <c r="I45" i="7"/>
  <c r="I20" i="3"/>
  <c r="I22" i="3"/>
  <c r="X54" i="7"/>
  <c r="G30" i="8"/>
  <c r="X30" i="8" s="1"/>
  <c r="I10" i="3"/>
  <c r="I11" i="3" s="1"/>
  <c r="I41" i="7"/>
  <c r="D38" i="8" l="1"/>
  <c r="D43" i="8" s="1"/>
  <c r="F7" i="10" s="1"/>
  <c r="G20" i="8"/>
  <c r="X20" i="8" s="1"/>
  <c r="I46" i="7"/>
  <c r="E8" i="10"/>
  <c r="E46" i="8"/>
  <c r="D23" i="8"/>
  <c r="H18" i="8"/>
  <c r="I44" i="7"/>
  <c r="J7" i="3"/>
  <c r="I11" i="4"/>
  <c r="I12" i="4" s="1"/>
  <c r="G40" i="8"/>
  <c r="I43" i="7"/>
  <c r="E33" i="8"/>
  <c r="H50" i="7"/>
  <c r="H29" i="8" s="1"/>
  <c r="I24" i="3"/>
  <c r="I13" i="3"/>
  <c r="H59" i="8"/>
  <c r="F60" i="8"/>
  <c r="H17" i="8"/>
  <c r="I23" i="3"/>
  <c r="I48" i="7"/>
  <c r="I13" i="4"/>
  <c r="H54" i="7"/>
  <c r="H30" i="8" s="1"/>
  <c r="G47" i="8" l="1"/>
  <c r="X40" i="8"/>
  <c r="G42" i="8"/>
  <c r="X42" i="8" s="1"/>
  <c r="I53" i="7"/>
  <c r="I28" i="8" s="1"/>
  <c r="J7" i="4"/>
  <c r="I21" i="7"/>
  <c r="J41" i="7"/>
  <c r="J10" i="3"/>
  <c r="J11" i="3" s="1"/>
  <c r="J13" i="3" s="1"/>
  <c r="G51" i="8"/>
  <c r="X47" i="8"/>
  <c r="I19" i="7"/>
  <c r="I14" i="3"/>
  <c r="H48" i="8"/>
  <c r="I25" i="3"/>
  <c r="I14" i="4"/>
  <c r="E36" i="8"/>
  <c r="E35" i="8"/>
  <c r="D27" i="8"/>
  <c r="D31" i="8" s="1"/>
  <c r="E7" i="10" s="1"/>
  <c r="G7" i="10" s="1"/>
  <c r="I7" i="10" s="1"/>
  <c r="F8" i="10"/>
  <c r="G8" i="10" s="1"/>
  <c r="I8" i="10" s="1"/>
  <c r="E61" i="8"/>
  <c r="I49" i="7"/>
  <c r="I37" i="8" s="1"/>
  <c r="J18" i="3"/>
  <c r="H19" i="8"/>
  <c r="H20" i="8" s="1"/>
  <c r="H40" i="8" s="1"/>
  <c r="I55" i="8"/>
  <c r="I58" i="8"/>
  <c r="E38" i="8" l="1"/>
  <c r="E43" i="8" s="1"/>
  <c r="H42" i="8"/>
  <c r="J14" i="3"/>
  <c r="J19" i="7"/>
  <c r="G60" i="8"/>
  <c r="X60" i="8" s="1"/>
  <c r="X51" i="8"/>
  <c r="E23" i="8"/>
  <c r="E27" i="8" s="1"/>
  <c r="E31" i="8" s="1"/>
  <c r="F46" i="8"/>
  <c r="J13" i="4"/>
  <c r="I54" i="7"/>
  <c r="I30" i="8" s="1"/>
  <c r="I51" i="7"/>
  <c r="I18" i="8" s="1"/>
  <c r="I26" i="3"/>
  <c r="J11" i="4"/>
  <c r="J12" i="4" s="1"/>
  <c r="J44" i="7"/>
  <c r="K7" i="3"/>
  <c r="J43" i="7"/>
  <c r="F33" i="8"/>
  <c r="J22" i="3"/>
  <c r="J20" i="3"/>
  <c r="J23" i="3" s="1"/>
  <c r="J45" i="7"/>
  <c r="I59" i="8"/>
  <c r="H47" i="8"/>
  <c r="I17" i="8"/>
  <c r="J14" i="4" l="1"/>
  <c r="K13" i="4" s="1"/>
  <c r="J49" i="7"/>
  <c r="J37" i="8" s="1"/>
  <c r="K18" i="3"/>
  <c r="J24" i="3"/>
  <c r="I50" i="7"/>
  <c r="I29" i="8" s="1"/>
  <c r="F35" i="8"/>
  <c r="F36" i="8"/>
  <c r="I19" i="8"/>
  <c r="I20" i="8" s="1"/>
  <c r="F61" i="8"/>
  <c r="H51" i="8"/>
  <c r="K10" i="3"/>
  <c r="Y7" i="3"/>
  <c r="K41" i="7"/>
  <c r="Y41" i="7" s="1"/>
  <c r="J46" i="7"/>
  <c r="I48" i="8"/>
  <c r="J48" i="7"/>
  <c r="J17" i="8" s="1"/>
  <c r="J54" i="7"/>
  <c r="J30" i="8" s="1"/>
  <c r="J55" i="8"/>
  <c r="J53" i="7"/>
  <c r="J28" i="8" s="1"/>
  <c r="K7" i="4"/>
  <c r="J21" i="7"/>
  <c r="I47" i="8" l="1"/>
  <c r="I40" i="8"/>
  <c r="J58" i="8"/>
  <c r="J59" i="8" s="1"/>
  <c r="K45" i="7"/>
  <c r="Y45" i="7" s="1"/>
  <c r="Y18" i="3"/>
  <c r="K22" i="3"/>
  <c r="K20" i="3"/>
  <c r="K23" i="3" s="1"/>
  <c r="K43" i="7"/>
  <c r="Y10" i="3"/>
  <c r="G33" i="8"/>
  <c r="K11" i="3"/>
  <c r="H60" i="8"/>
  <c r="Y13" i="4"/>
  <c r="F23" i="8"/>
  <c r="F27" i="8" s="1"/>
  <c r="F31" i="8" s="1"/>
  <c r="G46" i="8"/>
  <c r="F38" i="8"/>
  <c r="F43" i="8" s="1"/>
  <c r="J25" i="3"/>
  <c r="Y7" i="4"/>
  <c r="K11" i="4"/>
  <c r="K14" i="4" s="1"/>
  <c r="K12" i="4" l="1"/>
  <c r="Y12" i="4" s="1"/>
  <c r="Y23" i="3"/>
  <c r="K49" i="7"/>
  <c r="L18" i="3"/>
  <c r="K55" i="8"/>
  <c r="Y43" i="7"/>
  <c r="G61" i="8"/>
  <c r="X46" i="8"/>
  <c r="K48" i="7"/>
  <c r="Y48" i="7" s="1"/>
  <c r="Y22" i="3"/>
  <c r="K21" i="7"/>
  <c r="Y11" i="4"/>
  <c r="J51" i="7"/>
  <c r="J26" i="3"/>
  <c r="K46" i="7"/>
  <c r="Y20" i="3"/>
  <c r="K54" i="7"/>
  <c r="Y14" i="4"/>
  <c r="L13" i="4"/>
  <c r="L7" i="3"/>
  <c r="K44" i="7"/>
  <c r="Y11" i="3"/>
  <c r="K13" i="3"/>
  <c r="X33" i="8"/>
  <c r="G35" i="8"/>
  <c r="G36" i="8"/>
  <c r="X36" i="8" s="1"/>
  <c r="I42" i="8"/>
  <c r="I51" i="8"/>
  <c r="L7" i="4" l="1"/>
  <c r="L11" i="4" s="1"/>
  <c r="L12" i="4" s="1"/>
  <c r="K53" i="7"/>
  <c r="K28" i="8" s="1"/>
  <c r="Y28" i="8" s="1"/>
  <c r="G38" i="8"/>
  <c r="X35" i="8"/>
  <c r="K58" i="8"/>
  <c r="Y58" i="8" s="1"/>
  <c r="Y46" i="7"/>
  <c r="J50" i="7"/>
  <c r="J29" i="8" s="1"/>
  <c r="K24" i="3"/>
  <c r="K19" i="7"/>
  <c r="K14" i="3"/>
  <c r="Y14" i="3" s="1"/>
  <c r="Y13" i="3"/>
  <c r="J18" i="8"/>
  <c r="Y44" i="7"/>
  <c r="Y21" i="7"/>
  <c r="L41" i="7"/>
  <c r="L10" i="3"/>
  <c r="L11" i="3" s="1"/>
  <c r="Y53" i="7"/>
  <c r="H46" i="8"/>
  <c r="G23" i="8"/>
  <c r="X61" i="8"/>
  <c r="K59" i="8"/>
  <c r="Y59" i="8" s="1"/>
  <c r="Y55" i="8"/>
  <c r="I60" i="8"/>
  <c r="L45" i="7"/>
  <c r="L22" i="3"/>
  <c r="L20" i="3"/>
  <c r="K30" i="8"/>
  <c r="Y30" i="8" s="1"/>
  <c r="Y54" i="7"/>
  <c r="Y49" i="7"/>
  <c r="K37" i="8"/>
  <c r="Y37" i="8" s="1"/>
  <c r="L14" i="4" l="1"/>
  <c r="L54" i="7" s="1"/>
  <c r="L30" i="8" s="1"/>
  <c r="L44" i="7"/>
  <c r="M7" i="3"/>
  <c r="J48" i="8"/>
  <c r="J19" i="8"/>
  <c r="G27" i="8"/>
  <c r="X23" i="8"/>
  <c r="H61" i="8"/>
  <c r="K17" i="8"/>
  <c r="Y19" i="7"/>
  <c r="K25" i="3"/>
  <c r="K26" i="3" s="1"/>
  <c r="Y24" i="3"/>
  <c r="L53" i="7"/>
  <c r="L28" i="8" s="1"/>
  <c r="M7" i="4"/>
  <c r="L21" i="7"/>
  <c r="L46" i="7"/>
  <c r="L43" i="7"/>
  <c r="H33" i="8"/>
  <c r="L23" i="3"/>
  <c r="L13" i="3"/>
  <c r="L48" i="7"/>
  <c r="X38" i="8"/>
  <c r="G43" i="8"/>
  <c r="X43" i="8" s="1"/>
  <c r="M13" i="4" l="1"/>
  <c r="M18" i="3"/>
  <c r="L49" i="7"/>
  <c r="L37" i="8" s="1"/>
  <c r="L19" i="7"/>
  <c r="L14" i="3"/>
  <c r="Y26" i="3"/>
  <c r="L24" i="3"/>
  <c r="K50" i="7"/>
  <c r="Y17" i="8"/>
  <c r="H35" i="8"/>
  <c r="H36" i="8"/>
  <c r="I46" i="8"/>
  <c r="H23" i="8"/>
  <c r="H27" i="8" s="1"/>
  <c r="H31" i="8" s="1"/>
  <c r="G31" i="8"/>
  <c r="X31" i="8" s="1"/>
  <c r="X27" i="8"/>
  <c r="L55" i="8"/>
  <c r="J20" i="8"/>
  <c r="L58" i="8"/>
  <c r="M11" i="4"/>
  <c r="M12" i="4" s="1"/>
  <c r="M10" i="3"/>
  <c r="M11" i="3" s="1"/>
  <c r="M41" i="7"/>
  <c r="K51" i="7"/>
  <c r="Y25" i="3"/>
  <c r="M44" i="7" l="1"/>
  <c r="N7" i="3"/>
  <c r="M53" i="7"/>
  <c r="M28" i="8" s="1"/>
  <c r="N7" i="4"/>
  <c r="M21" i="7"/>
  <c r="M14" i="4"/>
  <c r="Y50" i="7"/>
  <c r="K29" i="8"/>
  <c r="Y29" i="8" s="1"/>
  <c r="L25" i="3"/>
  <c r="J47" i="8"/>
  <c r="J40" i="8"/>
  <c r="Y51" i="7"/>
  <c r="K18" i="8"/>
  <c r="M43" i="7"/>
  <c r="I33" i="8"/>
  <c r="I61" i="8"/>
  <c r="H38" i="8"/>
  <c r="H43" i="8" s="1"/>
  <c r="L59" i="8"/>
  <c r="L17" i="8"/>
  <c r="M13" i="3"/>
  <c r="M22" i="3"/>
  <c r="M20" i="3"/>
  <c r="M45" i="7"/>
  <c r="M19" i="7" l="1"/>
  <c r="M14" i="3"/>
  <c r="L51" i="7"/>
  <c r="I35" i="8"/>
  <c r="I36" i="8"/>
  <c r="J42" i="8"/>
  <c r="J51" i="8"/>
  <c r="L26" i="3"/>
  <c r="J46" i="8"/>
  <c r="I23" i="8"/>
  <c r="I27" i="8" s="1"/>
  <c r="I31" i="8" s="1"/>
  <c r="N13" i="4"/>
  <c r="M54" i="7"/>
  <c r="M30" i="8" s="1"/>
  <c r="N11" i="4"/>
  <c r="N12" i="4" s="1"/>
  <c r="M46" i="7"/>
  <c r="M55" i="8"/>
  <c r="M23" i="3"/>
  <c r="K48" i="8"/>
  <c r="Y48" i="8" s="1"/>
  <c r="Y18" i="8"/>
  <c r="K19" i="8"/>
  <c r="Y19" i="8" s="1"/>
  <c r="N41" i="7"/>
  <c r="N10" i="3"/>
  <c r="M48" i="7"/>
  <c r="K20" i="8" l="1"/>
  <c r="K40" i="8" s="1"/>
  <c r="Y40" i="8" s="1"/>
  <c r="M58" i="8"/>
  <c r="M59" i="8" s="1"/>
  <c r="M24" i="3"/>
  <c r="L50" i="7"/>
  <c r="L29" i="8" s="1"/>
  <c r="M49" i="7"/>
  <c r="M37" i="8" s="1"/>
  <c r="N18" i="3"/>
  <c r="J60" i="8"/>
  <c r="N53" i="7"/>
  <c r="N28" i="8" s="1"/>
  <c r="O7" i="4"/>
  <c r="N21" i="7"/>
  <c r="N43" i="7"/>
  <c r="J33" i="8"/>
  <c r="I38" i="8"/>
  <c r="I43" i="8" s="1"/>
  <c r="N11" i="3"/>
  <c r="N14" i="4"/>
  <c r="L18" i="8"/>
  <c r="M17" i="8"/>
  <c r="K42" i="8" l="1"/>
  <c r="Y42" i="8" s="1"/>
  <c r="Y20" i="8"/>
  <c r="K47" i="8"/>
  <c r="Z7" i="4"/>
  <c r="O11" i="4"/>
  <c r="O12" i="4" s="1"/>
  <c r="K51" i="8"/>
  <c r="Y47" i="8"/>
  <c r="L48" i="8"/>
  <c r="L19" i="8"/>
  <c r="L20" i="8" s="1"/>
  <c r="O13" i="4"/>
  <c r="N54" i="7"/>
  <c r="N30" i="8" s="1"/>
  <c r="O7" i="3"/>
  <c r="N44" i="7"/>
  <c r="N13" i="3"/>
  <c r="J35" i="8"/>
  <c r="J36" i="8"/>
  <c r="N22" i="3"/>
  <c r="N20" i="3"/>
  <c r="N45" i="7"/>
  <c r="N55" i="8"/>
  <c r="M25" i="3"/>
  <c r="M26" i="3"/>
  <c r="J61" i="8"/>
  <c r="K46" i="8" l="1"/>
  <c r="J23" i="8"/>
  <c r="J27" i="8" s="1"/>
  <c r="J31" i="8" s="1"/>
  <c r="N14" i="3"/>
  <c r="N19" i="7"/>
  <c r="N24" i="3"/>
  <c r="M50" i="7"/>
  <c r="M29" i="8" s="1"/>
  <c r="M51" i="7"/>
  <c r="O41" i="7"/>
  <c r="Z41" i="7" s="1"/>
  <c r="Z7" i="3"/>
  <c r="O10" i="3"/>
  <c r="O14" i="4"/>
  <c r="Z13" i="4"/>
  <c r="L47" i="8"/>
  <c r="L40" i="8"/>
  <c r="N46" i="7"/>
  <c r="N48" i="7"/>
  <c r="K60" i="8"/>
  <c r="Y60" i="8" s="1"/>
  <c r="Y51" i="8"/>
  <c r="N23" i="3"/>
  <c r="Z12" i="4"/>
  <c r="O53" i="7"/>
  <c r="P7" i="4"/>
  <c r="O21" i="7"/>
  <c r="Z11" i="4"/>
  <c r="J38" i="8"/>
  <c r="J43" i="8" s="1"/>
  <c r="O18" i="3" l="1"/>
  <c r="N49" i="7"/>
  <c r="N37" i="8" s="1"/>
  <c r="O43" i="7"/>
  <c r="Z10" i="3"/>
  <c r="K33" i="8"/>
  <c r="O11" i="3"/>
  <c r="N58" i="8"/>
  <c r="M18" i="8"/>
  <c r="L42" i="8"/>
  <c r="N25" i="3"/>
  <c r="L51" i="8"/>
  <c r="N17" i="8"/>
  <c r="Z21" i="7"/>
  <c r="P11" i="4"/>
  <c r="O54" i="7"/>
  <c r="P13" i="4"/>
  <c r="Z14" i="4"/>
  <c r="Z53" i="7"/>
  <c r="O28" i="8"/>
  <c r="Z28" i="8" s="1"/>
  <c r="K61" i="8"/>
  <c r="Y46" i="8"/>
  <c r="P14" i="4" l="1"/>
  <c r="Q13" i="4" s="1"/>
  <c r="M48" i="8"/>
  <c r="M19" i="8"/>
  <c r="O30" i="8"/>
  <c r="Z30" i="8" s="1"/>
  <c r="Z54" i="7"/>
  <c r="P21" i="7"/>
  <c r="N59" i="8"/>
  <c r="P12" i="4"/>
  <c r="O44" i="7"/>
  <c r="P7" i="3"/>
  <c r="Z11" i="3"/>
  <c r="O13" i="3"/>
  <c r="Y33" i="8"/>
  <c r="K35" i="8"/>
  <c r="K36" i="8"/>
  <c r="Y36" i="8" s="1"/>
  <c r="L60" i="8"/>
  <c r="O55" i="8"/>
  <c r="Z43" i="7"/>
  <c r="N51" i="7"/>
  <c r="L46" i="8"/>
  <c r="K23" i="8"/>
  <c r="Y61" i="8"/>
  <c r="N26" i="3"/>
  <c r="Z18" i="3"/>
  <c r="O22" i="3"/>
  <c r="O20" i="3"/>
  <c r="O45" i="7"/>
  <c r="Z45" i="7" s="1"/>
  <c r="P54" i="7" l="1"/>
  <c r="P30" i="8" s="1"/>
  <c r="Y23" i="8"/>
  <c r="K27" i="8"/>
  <c r="P10" i="3"/>
  <c r="P41" i="7"/>
  <c r="L61" i="8"/>
  <c r="Z44" i="7"/>
  <c r="P53" i="7"/>
  <c r="P28" i="8" s="1"/>
  <c r="Q7" i="4"/>
  <c r="N18" i="8"/>
  <c r="Z55" i="8"/>
  <c r="O46" i="7"/>
  <c r="Z20" i="3"/>
  <c r="M20" i="8"/>
  <c r="O48" i="7"/>
  <c r="Z48" i="7" s="1"/>
  <c r="Z22" i="3"/>
  <c r="K38" i="8"/>
  <c r="Y35" i="8"/>
  <c r="O23" i="3"/>
  <c r="O24" i="3"/>
  <c r="N50" i="7"/>
  <c r="N29" i="8" s="1"/>
  <c r="O19" i="7"/>
  <c r="O14" i="3"/>
  <c r="Z14" i="3" s="1"/>
  <c r="Z13" i="3"/>
  <c r="O25" i="3" l="1"/>
  <c r="O26" i="3" s="1"/>
  <c r="Z24" i="3"/>
  <c r="P18" i="3"/>
  <c r="O49" i="7"/>
  <c r="Z23" i="3"/>
  <c r="N48" i="8"/>
  <c r="N19" i="8"/>
  <c r="Q11" i="4"/>
  <c r="Y38" i="8"/>
  <c r="K43" i="8"/>
  <c r="Y43" i="8" s="1"/>
  <c r="M47" i="8"/>
  <c r="M40" i="8"/>
  <c r="M46" i="8"/>
  <c r="L23" i="8"/>
  <c r="L27" i="8" s="1"/>
  <c r="L31" i="8" s="1"/>
  <c r="O58" i="8"/>
  <c r="Z46" i="7"/>
  <c r="P43" i="7"/>
  <c r="L33" i="8"/>
  <c r="P11" i="3"/>
  <c r="K31" i="8"/>
  <c r="Y31" i="8" s="1"/>
  <c r="Y27" i="8"/>
  <c r="O17" i="8"/>
  <c r="Z19" i="7"/>
  <c r="Z17" i="8" l="1"/>
  <c r="M51" i="8"/>
  <c r="Q7" i="3"/>
  <c r="P44" i="7"/>
  <c r="P13" i="3"/>
  <c r="L35" i="8"/>
  <c r="L36" i="8"/>
  <c r="Q21" i="7"/>
  <c r="Q14" i="4"/>
  <c r="Q12" i="4"/>
  <c r="N20" i="8"/>
  <c r="P55" i="8"/>
  <c r="Z58" i="8"/>
  <c r="O59" i="8"/>
  <c r="Z59" i="8" s="1"/>
  <c r="Z49" i="7"/>
  <c r="O37" i="8"/>
  <c r="Z37" i="8" s="1"/>
  <c r="P22" i="3"/>
  <c r="P20" i="3"/>
  <c r="P45" i="7"/>
  <c r="O50" i="7"/>
  <c r="Z26" i="3"/>
  <c r="P24" i="3"/>
  <c r="M42" i="8"/>
  <c r="O51" i="7"/>
  <c r="Z25" i="3"/>
  <c r="P25" i="3" l="1"/>
  <c r="N47" i="8"/>
  <c r="Z50" i="7"/>
  <c r="O29" i="8"/>
  <c r="Z29" i="8" s="1"/>
  <c r="Q53" i="7"/>
  <c r="Q28" i="8" s="1"/>
  <c r="R7" i="4"/>
  <c r="R13" i="4"/>
  <c r="Q54" i="7"/>
  <c r="Q30" i="8" s="1"/>
  <c r="P46" i="7"/>
  <c r="P48" i="7"/>
  <c r="L38" i="8"/>
  <c r="L43" i="8" s="1"/>
  <c r="P23" i="3"/>
  <c r="P14" i="3"/>
  <c r="P19" i="7"/>
  <c r="Q10" i="3"/>
  <c r="Q11" i="3" s="1"/>
  <c r="Q13" i="3" s="1"/>
  <c r="Q41" i="7"/>
  <c r="M60" i="8"/>
  <c r="O18" i="8"/>
  <c r="Z51" i="7"/>
  <c r="N40" i="8"/>
  <c r="O48" i="8" l="1"/>
  <c r="Z48" i="8" s="1"/>
  <c r="Z18" i="8"/>
  <c r="O19" i="8"/>
  <c r="Z19" i="8" s="1"/>
  <c r="P58" i="8"/>
  <c r="M61" i="8"/>
  <c r="Q14" i="3"/>
  <c r="Q19" i="7"/>
  <c r="R7" i="3"/>
  <c r="Q44" i="7"/>
  <c r="R11" i="4"/>
  <c r="Q43" i="7"/>
  <c r="M33" i="8"/>
  <c r="P17" i="8"/>
  <c r="N51" i="8"/>
  <c r="Q18" i="3"/>
  <c r="P49" i="7"/>
  <c r="P37" i="8" s="1"/>
  <c r="P51" i="7"/>
  <c r="N42" i="8"/>
  <c r="P26" i="3"/>
  <c r="R21" i="7" l="1"/>
  <c r="R10" i="3"/>
  <c r="R11" i="3" s="1"/>
  <c r="R41" i="7"/>
  <c r="N60" i="8"/>
  <c r="N46" i="8"/>
  <c r="M23" i="8"/>
  <c r="M27" i="8" s="1"/>
  <c r="M31" i="8" s="1"/>
  <c r="O20" i="8"/>
  <c r="P18" i="8"/>
  <c r="R12" i="4"/>
  <c r="R14" i="4"/>
  <c r="Q22" i="3"/>
  <c r="Q20" i="3"/>
  <c r="Q45" i="7"/>
  <c r="M35" i="8"/>
  <c r="M36" i="8"/>
  <c r="P59" i="8"/>
  <c r="P50" i="7"/>
  <c r="P29" i="8" s="1"/>
  <c r="Q24" i="3"/>
  <c r="Q55" i="8"/>
  <c r="S7" i="3" l="1"/>
  <c r="R44" i="7"/>
  <c r="M38" i="8"/>
  <c r="M43" i="8" s="1"/>
  <c r="N61" i="8"/>
  <c r="Q46" i="7"/>
  <c r="R13" i="3"/>
  <c r="Q48" i="7"/>
  <c r="Q23" i="3"/>
  <c r="R54" i="7"/>
  <c r="R30" i="8" s="1"/>
  <c r="S13" i="4"/>
  <c r="R43" i="7"/>
  <c r="N33" i="8"/>
  <c r="S7" i="4"/>
  <c r="R53" i="7"/>
  <c r="R28" i="8" s="1"/>
  <c r="P48" i="8"/>
  <c r="O47" i="8"/>
  <c r="Z20" i="8"/>
  <c r="O40" i="8"/>
  <c r="Q25" i="3"/>
  <c r="Q26" i="3" s="1"/>
  <c r="P19" i="8"/>
  <c r="Z40" i="8" l="1"/>
  <c r="O42" i="8"/>
  <c r="Z42" i="8" s="1"/>
  <c r="R55" i="8"/>
  <c r="AA13" i="4"/>
  <c r="O51" i="8"/>
  <c r="Z47" i="8"/>
  <c r="Q49" i="7"/>
  <c r="Q37" i="8" s="1"/>
  <c r="R18" i="3"/>
  <c r="Q17" i="8"/>
  <c r="R14" i="3"/>
  <c r="R19" i="7"/>
  <c r="Q58" i="8"/>
  <c r="AA7" i="4"/>
  <c r="S11" i="4"/>
  <c r="O46" i="8"/>
  <c r="N23" i="8"/>
  <c r="N27" i="8" s="1"/>
  <c r="N31" i="8" s="1"/>
  <c r="P20" i="8"/>
  <c r="N35" i="8"/>
  <c r="N36" i="8"/>
  <c r="Q51" i="7"/>
  <c r="R24" i="3"/>
  <c r="Q50" i="7"/>
  <c r="Q29" i="8" s="1"/>
  <c r="AA7" i="3"/>
  <c r="S10" i="3"/>
  <c r="S11" i="3" s="1"/>
  <c r="S41" i="7"/>
  <c r="AA41" i="7" s="1"/>
  <c r="Q18" i="8" l="1"/>
  <c r="Q19" i="8" s="1"/>
  <c r="N38" i="8"/>
  <c r="N43" i="8" s="1"/>
  <c r="P47" i="8"/>
  <c r="R20" i="3"/>
  <c r="R22" i="3"/>
  <c r="R45" i="7"/>
  <c r="O60" i="8"/>
  <c r="Z60" i="8" s="1"/>
  <c r="Z51" i="8"/>
  <c r="Z46" i="8"/>
  <c r="T7" i="3"/>
  <c r="S44" i="7"/>
  <c r="AA11" i="3"/>
  <c r="S21" i="7"/>
  <c r="AA11" i="4"/>
  <c r="S14" i="4"/>
  <c r="S43" i="7"/>
  <c r="O33" i="8"/>
  <c r="AA10" i="3"/>
  <c r="S12" i="4"/>
  <c r="S13" i="3"/>
  <c r="Q59" i="8"/>
  <c r="R25" i="3"/>
  <c r="R26" i="3" s="1"/>
  <c r="P40" i="8"/>
  <c r="O61" i="8" l="1"/>
  <c r="O23" i="8" s="1"/>
  <c r="S24" i="3"/>
  <c r="R50" i="7"/>
  <c r="R29" i="8" s="1"/>
  <c r="R48" i="7"/>
  <c r="Z33" i="8"/>
  <c r="O35" i="8"/>
  <c r="O36" i="8"/>
  <c r="Z36" i="8" s="1"/>
  <c r="P51" i="8"/>
  <c r="AA21" i="7"/>
  <c r="P42" i="8"/>
  <c r="AA44" i="7"/>
  <c r="R46" i="7"/>
  <c r="R23" i="3"/>
  <c r="S55" i="8"/>
  <c r="AA43" i="7"/>
  <c r="T13" i="4"/>
  <c r="S54" i="7"/>
  <c r="AA14" i="4"/>
  <c r="R51" i="7"/>
  <c r="T41" i="7"/>
  <c r="T10" i="3"/>
  <c r="S19" i="7"/>
  <c r="S14" i="3"/>
  <c r="AA14" i="3" s="1"/>
  <c r="AA13" i="3"/>
  <c r="Q20" i="8"/>
  <c r="Q40" i="8" s="1"/>
  <c r="S53" i="7"/>
  <c r="T7" i="4"/>
  <c r="AA12" i="4"/>
  <c r="Q48" i="8"/>
  <c r="Z61" i="8" l="1"/>
  <c r="P46" i="8"/>
  <c r="R58" i="8"/>
  <c r="O27" i="8"/>
  <c r="Z23" i="8"/>
  <c r="T43" i="7"/>
  <c r="P33" i="8"/>
  <c r="T11" i="3"/>
  <c r="T11" i="4"/>
  <c r="T14" i="4" s="1"/>
  <c r="O38" i="8"/>
  <c r="Z35" i="8"/>
  <c r="Q42" i="8"/>
  <c r="P60" i="8"/>
  <c r="R18" i="8"/>
  <c r="S28" i="8"/>
  <c r="AA28" i="8" s="1"/>
  <c r="AA53" i="7"/>
  <c r="Q47" i="8"/>
  <c r="AA54" i="7"/>
  <c r="S30" i="8"/>
  <c r="AA30" i="8" s="1"/>
  <c r="AA19" i="7"/>
  <c r="AA55" i="8"/>
  <c r="R17" i="8"/>
  <c r="S18" i="3"/>
  <c r="R49" i="7"/>
  <c r="R37" i="8" s="1"/>
  <c r="S25" i="3"/>
  <c r="S26" i="3" s="1"/>
  <c r="AA24" i="3"/>
  <c r="U13" i="4" l="1"/>
  <c r="T54" i="7"/>
  <c r="T30" i="8" s="1"/>
  <c r="U7" i="3"/>
  <c r="T44" i="7"/>
  <c r="T13" i="3"/>
  <c r="O43" i="8"/>
  <c r="Z43" i="8" s="1"/>
  <c r="Z38" i="8"/>
  <c r="T21" i="7"/>
  <c r="T12" i="4"/>
  <c r="Q51" i="8"/>
  <c r="AA26" i="3"/>
  <c r="T24" i="3"/>
  <c r="S50" i="7"/>
  <c r="S51" i="7"/>
  <c r="AA25" i="3"/>
  <c r="P35" i="8"/>
  <c r="P36" i="8"/>
  <c r="R48" i="8"/>
  <c r="T55" i="8"/>
  <c r="S45" i="7"/>
  <c r="AA45" i="7" s="1"/>
  <c r="S22" i="3"/>
  <c r="AA18" i="3"/>
  <c r="S20" i="3"/>
  <c r="R19" i="8"/>
  <c r="Z27" i="8"/>
  <c r="O31" i="8"/>
  <c r="Z31" i="8" s="1"/>
  <c r="P61" i="8"/>
  <c r="R59" i="8"/>
  <c r="S18" i="8" l="1"/>
  <c r="AA51" i="7"/>
  <c r="S29" i="8"/>
  <c r="AA29" i="8" s="1"/>
  <c r="AA50" i="7"/>
  <c r="T25" i="3"/>
  <c r="T26" i="3" s="1"/>
  <c r="U7" i="4"/>
  <c r="T53" i="7"/>
  <c r="T28" i="8" s="1"/>
  <c r="R20" i="8"/>
  <c r="S46" i="7"/>
  <c r="AA20" i="3"/>
  <c r="Q60" i="8"/>
  <c r="S48" i="7"/>
  <c r="AA22" i="3"/>
  <c r="S23" i="3"/>
  <c r="T14" i="3"/>
  <c r="T19" i="7"/>
  <c r="P23" i="8"/>
  <c r="P27" i="8" s="1"/>
  <c r="P31" i="8" s="1"/>
  <c r="Q46" i="8"/>
  <c r="U10" i="3"/>
  <c r="U11" i="3" s="1"/>
  <c r="U13" i="3" s="1"/>
  <c r="U41" i="7"/>
  <c r="P38" i="8"/>
  <c r="P43" i="8" s="1"/>
  <c r="Q61" i="8" l="1"/>
  <c r="U24" i="3"/>
  <c r="T50" i="7"/>
  <c r="T29" i="8" s="1"/>
  <c r="U14" i="3"/>
  <c r="U19" i="7"/>
  <c r="V7" i="3"/>
  <c r="U44" i="7"/>
  <c r="S58" i="8"/>
  <c r="AA46" i="7"/>
  <c r="R47" i="8"/>
  <c r="R40" i="8"/>
  <c r="U11" i="4"/>
  <c r="T51" i="7"/>
  <c r="T18" i="3"/>
  <c r="AA23" i="3"/>
  <c r="S49" i="7"/>
  <c r="AA48" i="7"/>
  <c r="S17" i="8"/>
  <c r="U43" i="7"/>
  <c r="Q33" i="8"/>
  <c r="S48" i="8"/>
  <c r="AA48" i="8" s="1"/>
  <c r="AA18" i="8"/>
  <c r="R42" i="8" l="1"/>
  <c r="U55" i="8"/>
  <c r="S19" i="8"/>
  <c r="AA19" i="8" s="1"/>
  <c r="AA17" i="8"/>
  <c r="V10" i="3"/>
  <c r="V41" i="7"/>
  <c r="V11" i="3"/>
  <c r="AA49" i="7"/>
  <c r="S37" i="8"/>
  <c r="AA37" i="8" s="1"/>
  <c r="U25" i="3"/>
  <c r="U26" i="3"/>
  <c r="Q35" i="8"/>
  <c r="Q36" i="8"/>
  <c r="R51" i="8"/>
  <c r="S59" i="8"/>
  <c r="AA59" i="8" s="1"/>
  <c r="AA58" i="8"/>
  <c r="T45" i="7"/>
  <c r="T22" i="3"/>
  <c r="T20" i="3"/>
  <c r="T23" i="3" s="1"/>
  <c r="T18" i="8"/>
  <c r="U21" i="7"/>
  <c r="U14" i="4"/>
  <c r="U12" i="4"/>
  <c r="R46" i="8"/>
  <c r="Q23" i="8"/>
  <c r="Q27" i="8" s="1"/>
  <c r="Q31" i="8" s="1"/>
  <c r="T49" i="7" l="1"/>
  <c r="T37" i="8" s="1"/>
  <c r="U18" i="3"/>
  <c r="U50" i="7"/>
  <c r="U29" i="8" s="1"/>
  <c r="V24" i="3"/>
  <c r="T48" i="8"/>
  <c r="V44" i="7"/>
  <c r="W7" i="3"/>
  <c r="T48" i="7"/>
  <c r="U51" i="7"/>
  <c r="T46" i="7"/>
  <c r="V43" i="7"/>
  <c r="R33" i="8"/>
  <c r="V13" i="3"/>
  <c r="S20" i="8"/>
  <c r="V7" i="4"/>
  <c r="U53" i="7"/>
  <c r="U28" i="8" s="1"/>
  <c r="R60" i="8"/>
  <c r="U54" i="7"/>
  <c r="U30" i="8" s="1"/>
  <c r="V13" i="4"/>
  <c r="Q38" i="8"/>
  <c r="Q43" i="8" s="1"/>
  <c r="V11" i="4" l="1"/>
  <c r="S47" i="8"/>
  <c r="AA20" i="8"/>
  <c r="S40" i="8"/>
  <c r="T17" i="8"/>
  <c r="W41" i="7"/>
  <c r="AB41" i="7" s="1"/>
  <c r="AB7" i="3"/>
  <c r="W10" i="3"/>
  <c r="E25" i="10"/>
  <c r="G25" i="10" s="1"/>
  <c r="I25" i="10" s="1"/>
  <c r="R35" i="8"/>
  <c r="R36" i="8"/>
  <c r="V55" i="8"/>
  <c r="V14" i="4"/>
  <c r="U18" i="8"/>
  <c r="R61" i="8"/>
  <c r="V14" i="3"/>
  <c r="V19" i="7"/>
  <c r="V25" i="3"/>
  <c r="V26" i="3" s="1"/>
  <c r="T58" i="8"/>
  <c r="U20" i="3"/>
  <c r="U23" i="3" s="1"/>
  <c r="U22" i="3"/>
  <c r="U45" i="7"/>
  <c r="V18" i="3" l="1"/>
  <c r="U49" i="7"/>
  <c r="U37" i="8" s="1"/>
  <c r="V33" i="8"/>
  <c r="W43" i="7"/>
  <c r="E26" i="10"/>
  <c r="G26" i="10" s="1"/>
  <c r="I26" i="10" s="1"/>
  <c r="U33" i="8"/>
  <c r="AB10" i="3"/>
  <c r="S33" i="8"/>
  <c r="T33" i="8"/>
  <c r="S46" i="8"/>
  <c r="R23" i="8"/>
  <c r="R27" i="8" s="1"/>
  <c r="R31" i="8" s="1"/>
  <c r="U48" i="8"/>
  <c r="U46" i="7"/>
  <c r="T59" i="8"/>
  <c r="R38" i="8"/>
  <c r="R43" i="8" s="1"/>
  <c r="V50" i="7"/>
  <c r="V29" i="8" s="1"/>
  <c r="W24" i="3"/>
  <c r="V51" i="7"/>
  <c r="W11" i="3"/>
  <c r="T19" i="8"/>
  <c r="AA40" i="8"/>
  <c r="S42" i="8"/>
  <c r="AA42" i="8" s="1"/>
  <c r="S51" i="8"/>
  <c r="AA47" i="8"/>
  <c r="V54" i="7"/>
  <c r="V30" i="8" s="1"/>
  <c r="W13" i="4"/>
  <c r="V21" i="7"/>
  <c r="U48" i="7"/>
  <c r="V12" i="4"/>
  <c r="U58" i="8" l="1"/>
  <c r="T20" i="8"/>
  <c r="W44" i="7"/>
  <c r="AB11" i="3"/>
  <c r="E27" i="10"/>
  <c r="G27" i="10" s="1"/>
  <c r="I27" i="10" s="1"/>
  <c r="W13" i="3"/>
  <c r="V53" i="7"/>
  <c r="V28" i="8" s="1"/>
  <c r="W7" i="4"/>
  <c r="AA46" i="8"/>
  <c r="U17" i="8"/>
  <c r="T35" i="8"/>
  <c r="T36" i="8"/>
  <c r="V18" i="8"/>
  <c r="AB24" i="3"/>
  <c r="W25" i="3"/>
  <c r="W26" i="3" s="1"/>
  <c r="AA33" i="8"/>
  <c r="S35" i="8"/>
  <c r="S36" i="8"/>
  <c r="AA36" i="8" s="1"/>
  <c r="AB13" i="4"/>
  <c r="E36" i="10"/>
  <c r="G36" i="10" s="1"/>
  <c r="I36" i="10" s="1"/>
  <c r="U35" i="8"/>
  <c r="U36" i="8"/>
  <c r="S60" i="8"/>
  <c r="AA60" i="8" s="1"/>
  <c r="AA51" i="8"/>
  <c r="W55" i="8"/>
  <c r="E13" i="10"/>
  <c r="G13" i="10" s="1"/>
  <c r="I13" i="10" s="1"/>
  <c r="AB43" i="7"/>
  <c r="V35" i="8"/>
  <c r="V36" i="8"/>
  <c r="V20" i="3"/>
  <c r="V23" i="3" s="1"/>
  <c r="V22" i="3"/>
  <c r="V45" i="7"/>
  <c r="S61" i="8" l="1"/>
  <c r="S23" i="8" s="1"/>
  <c r="W11" i="4"/>
  <c r="W12" i="4" s="1"/>
  <c r="AB7" i="4"/>
  <c r="E33" i="10"/>
  <c r="G33" i="10" s="1"/>
  <c r="I33" i="10" s="1"/>
  <c r="V46" i="7"/>
  <c r="U38" i="8"/>
  <c r="U19" i="8"/>
  <c r="U20" i="8" s="1"/>
  <c r="W18" i="3"/>
  <c r="V49" i="7"/>
  <c r="V37" i="8" s="1"/>
  <c r="V38" i="8" s="1"/>
  <c r="V48" i="7"/>
  <c r="S38" i="8"/>
  <c r="AA35" i="8"/>
  <c r="W19" i="7"/>
  <c r="W14" i="3"/>
  <c r="E28" i="10"/>
  <c r="G28" i="10" s="1"/>
  <c r="I28" i="10" s="1"/>
  <c r="AB13" i="3"/>
  <c r="W50" i="7"/>
  <c r="AB26" i="3"/>
  <c r="W51" i="7"/>
  <c r="AB51" i="7" s="1"/>
  <c r="AB25" i="3"/>
  <c r="AB44" i="7"/>
  <c r="W36" i="8"/>
  <c r="T47" i="8"/>
  <c r="T40" i="8"/>
  <c r="AB55" i="8"/>
  <c r="V48" i="8"/>
  <c r="U59" i="8"/>
  <c r="T38" i="8"/>
  <c r="AA61" i="8" l="1"/>
  <c r="T46" i="8"/>
  <c r="U47" i="8"/>
  <c r="U51" i="8" s="1"/>
  <c r="U60" i="8" s="1"/>
  <c r="V58" i="8"/>
  <c r="AB19" i="7"/>
  <c r="V17" i="8"/>
  <c r="AB36" i="8"/>
  <c r="W20" i="3"/>
  <c r="W45" i="7"/>
  <c r="AB45" i="7" s="1"/>
  <c r="W22" i="3"/>
  <c r="AB18" i="3"/>
  <c r="E30" i="10"/>
  <c r="G30" i="10" s="1"/>
  <c r="I30" i="10" s="1"/>
  <c r="S27" i="8"/>
  <c r="AA23" i="8"/>
  <c r="AB50" i="7"/>
  <c r="W29" i="8"/>
  <c r="AB29" i="8" s="1"/>
  <c r="E29" i="10"/>
  <c r="G29" i="10" s="1"/>
  <c r="I29" i="10" s="1"/>
  <c r="AB14" i="3"/>
  <c r="W53" i="7"/>
  <c r="AB12" i="4"/>
  <c r="E35" i="10"/>
  <c r="G35" i="10" s="1"/>
  <c r="I35" i="10" s="1"/>
  <c r="U40" i="8"/>
  <c r="T42" i="8"/>
  <c r="T43" i="8" s="1"/>
  <c r="S43" i="8"/>
  <c r="AA43" i="8" s="1"/>
  <c r="AA38" i="8"/>
  <c r="T51" i="8"/>
  <c r="W21" i="7"/>
  <c r="E34" i="10"/>
  <c r="G34" i="10" s="1"/>
  <c r="I34" i="10" s="1"/>
  <c r="AB11" i="4"/>
  <c r="W14" i="4"/>
  <c r="W46" i="7" l="1"/>
  <c r="E31" i="10"/>
  <c r="G31" i="10" s="1"/>
  <c r="I31" i="10" s="1"/>
  <c r="AB20" i="3"/>
  <c r="AB53" i="7"/>
  <c r="W28" i="8"/>
  <c r="AB28" i="8" s="1"/>
  <c r="V19" i="8"/>
  <c r="V20" i="8" s="1"/>
  <c r="V40" i="8" s="1"/>
  <c r="W54" i="7"/>
  <c r="AB14" i="4"/>
  <c r="E37" i="10"/>
  <c r="G37" i="10" s="1"/>
  <c r="I37" i="10" s="1"/>
  <c r="E160" i="10"/>
  <c r="W23" i="3"/>
  <c r="U42" i="8"/>
  <c r="U43" i="8" s="1"/>
  <c r="W48" i="7"/>
  <c r="AB22" i="3"/>
  <c r="W18" i="8"/>
  <c r="AB21" i="7"/>
  <c r="S31" i="8"/>
  <c r="AA31" i="8" s="1"/>
  <c r="AA27" i="8"/>
  <c r="V59" i="8"/>
  <c r="T60" i="8"/>
  <c r="V42" i="8" l="1"/>
  <c r="V43" i="8" s="1"/>
  <c r="W49" i="7"/>
  <c r="AB23" i="3"/>
  <c r="E32" i="10"/>
  <c r="G32" i="10" s="1"/>
  <c r="I32" i="10" s="1"/>
  <c r="T61" i="8"/>
  <c r="E159" i="10"/>
  <c r="W48" i="8"/>
  <c r="AB48" i="8" s="1"/>
  <c r="AB18" i="8"/>
  <c r="I160" i="10"/>
  <c r="G160" i="10"/>
  <c r="AB54" i="7"/>
  <c r="W30" i="8"/>
  <c r="AB30" i="8" s="1"/>
  <c r="E162" i="10"/>
  <c r="V47" i="8"/>
  <c r="W17" i="8"/>
  <c r="AB48" i="7"/>
  <c r="W58" i="8"/>
  <c r="AB46" i="7"/>
  <c r="G162" i="10" l="1"/>
  <c r="I162" i="10"/>
  <c r="G159" i="10"/>
  <c r="I159" i="10"/>
  <c r="T23" i="8"/>
  <c r="T27" i="8" s="1"/>
  <c r="T31" i="8" s="1"/>
  <c r="U46" i="8"/>
  <c r="W59" i="8"/>
  <c r="AB59" i="8" s="1"/>
  <c r="AB58" i="8"/>
  <c r="V51" i="8"/>
  <c r="W19" i="8"/>
  <c r="AB19" i="8" s="1"/>
  <c r="AB17" i="8"/>
  <c r="W37" i="8"/>
  <c r="AB49" i="7"/>
  <c r="AB37" i="8" l="1"/>
  <c r="W38" i="8"/>
  <c r="W20" i="8"/>
  <c r="V60" i="8"/>
  <c r="U61" i="8"/>
  <c r="U23" i="8" l="1"/>
  <c r="U27" i="8" s="1"/>
  <c r="U31" i="8" s="1"/>
  <c r="V46" i="8"/>
  <c r="E168" i="10"/>
  <c r="G168" i="10" s="1"/>
  <c r="I168" i="10" s="1"/>
  <c r="W47" i="8"/>
  <c r="W40" i="8"/>
  <c r="AB20" i="8"/>
  <c r="AB38" i="8"/>
  <c r="AB40" i="8" l="1"/>
  <c r="W42" i="8"/>
  <c r="W51" i="8"/>
  <c r="AB47" i="8"/>
  <c r="V61" i="8"/>
  <c r="W46" i="8" l="1"/>
  <c r="V23" i="8"/>
  <c r="V27" i="8" s="1"/>
  <c r="V31" i="8" s="1"/>
  <c r="W60" i="8"/>
  <c r="AB60" i="8" s="1"/>
  <c r="AB51" i="8"/>
  <c r="AB42" i="8"/>
  <c r="W43" i="8"/>
  <c r="F9" i="10" l="1"/>
  <c r="E171" i="10"/>
  <c r="G171" i="10" s="1"/>
  <c r="I171" i="10" s="1"/>
  <c r="AB43" i="8"/>
  <c r="W61" i="8"/>
  <c r="AB46" i="8"/>
  <c r="E172" i="10" l="1"/>
  <c r="G172" i="10" s="1"/>
  <c r="I172" i="10" s="1"/>
  <c r="W23" i="8"/>
  <c r="E10" i="10"/>
  <c r="AB61" i="8"/>
  <c r="F10" i="10" l="1"/>
  <c r="G10" i="10" s="1"/>
  <c r="I10" i="10" s="1"/>
  <c r="W27" i="8"/>
  <c r="E169" i="10"/>
  <c r="G169" i="10" s="1"/>
  <c r="I169" i="10" s="1"/>
  <c r="AB23" i="8"/>
  <c r="W31" i="8" l="1"/>
  <c r="AB27" i="8"/>
  <c r="E163" i="10"/>
  <c r="I163" i="10" l="1"/>
  <c r="G163" i="10"/>
  <c r="E170" i="10"/>
  <c r="G170" i="10" s="1"/>
  <c r="I170" i="10" s="1"/>
  <c r="E9" i="10"/>
  <c r="G9" i="10" s="1"/>
  <c r="I9" i="10" s="1"/>
  <c r="B2" i="10" s="1"/>
  <c r="AB31" i="8"/>
</calcChain>
</file>

<file path=xl/sharedStrings.xml><?xml version="1.0" encoding="utf-8"?>
<sst xmlns="http://schemas.openxmlformats.org/spreadsheetml/2006/main" count="1869" uniqueCount="677">
  <si>
    <t>FINMO</t>
  </si>
  <si>
    <t>Three-statement financial model. All formulas reference Model Inputs and in-sheet statement rows.</t>
  </si>
  <si>
    <t>Stub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</si>
  <si>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</si>
  <si>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</si>
  <si>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</si>
  <si>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</si>
  <si>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</si>
  <si>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</si>
  <si>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</si>
  <si>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</si>
  <si>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</si>
  <si>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</si>
  <si>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</si>
  <si>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</si>
  <si>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</si>
  <si>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</si>
  <si>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</si>
  <si>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</si>
  <si>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</si>
  <si>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</si>
  <si>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</si>
  <si>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</si>
  <si>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Y1</t>
  </si>
  <si>
    <t>Y2</t>
  </si>
  <si>
    <t>Y3</t>
  </si>
  <si>
    <t>Y4</t>
  </si>
  <si>
    <t>Y5</t>
  </si>
  <si>
    <t>Annual</t>
  </si>
  <si>
    <t>Days in Quarter</t>
  </si>
  <si>
    <t>Income Statement</t>
  </si>
  <si>
    <t>Revenue</t>
  </si>
  <si>
    <t>Formula</t>
  </si>
  <si>
    <t>Cost of Goods Sold</t>
  </si>
  <si>
    <t>Gross Profit</t>
  </si>
  <si>
    <t>Marketing</t>
  </si>
  <si>
    <t>Research &amp; Development</t>
  </si>
  <si>
    <t>Lease/Rent</t>
  </si>
  <si>
    <t>Payroll</t>
  </si>
  <si>
    <t>General &amp; Administrative</t>
  </si>
  <si>
    <t>EBITDA</t>
  </si>
  <si>
    <t>Interest</t>
  </si>
  <si>
    <t>Depreciation</t>
  </si>
  <si>
    <t>Taxes</t>
  </si>
  <si>
    <t>Net Income</t>
  </si>
  <si>
    <t>Balance Sheet</t>
  </si>
  <si>
    <t>Cash</t>
  </si>
  <si>
    <t>Accounts Receivable</t>
  </si>
  <si>
    <t>Inventory</t>
  </si>
  <si>
    <t>Prepaid Expenses</t>
  </si>
  <si>
    <t>Current Assets</t>
  </si>
  <si>
    <t>PPE</t>
  </si>
  <si>
    <t>Right-of-Use Asset (Capital Lease)</t>
  </si>
  <si>
    <t>Accumulated Depreciation</t>
  </si>
  <si>
    <t>Total Assets</t>
  </si>
  <si>
    <t>Accounts Payable</t>
  </si>
  <si>
    <t>Short Term Debt</t>
  </si>
  <si>
    <t>Deferred Revenue</t>
  </si>
  <si>
    <t>Current Liabilities</t>
  </si>
  <si>
    <t>Long Term Debt</t>
  </si>
  <si>
    <t>Capital Lease Obligation</t>
  </si>
  <si>
    <t>Total Liabilities</t>
  </si>
  <si>
    <t>Owner's Capital</t>
  </si>
  <si>
    <t>Retained Earnings</t>
  </si>
  <si>
    <t>Other Equity</t>
  </si>
  <si>
    <t>Total Equity</t>
  </si>
  <si>
    <t>Total Liabilities &amp; Equity</t>
  </si>
  <si>
    <t>Cash Flow</t>
  </si>
  <si>
    <t>Beginning Cash</t>
  </si>
  <si>
    <t>Changes in Current Assets</t>
  </si>
  <si>
    <t>Changes in Current Liabilities</t>
  </si>
  <si>
    <t>Operating Cash Flow</t>
  </si>
  <si>
    <t>Capital Expenditures</t>
  </si>
  <si>
    <t>Investing Cash Flow</t>
  </si>
  <si>
    <t>Debt Issuance (New Borrowing)</t>
  </si>
  <si>
    <t>Debt Repayment</t>
  </si>
  <si>
    <t>Equity</t>
  </si>
  <si>
    <t>Distributions</t>
  </si>
  <si>
    <t>Capital Lease Principal Payments</t>
  </si>
  <si>
    <t>Financing Cash Flow</t>
  </si>
  <si>
    <t>Net Cash Flow</t>
  </si>
  <si>
    <t>Ending Cash</t>
  </si>
  <si>
    <t>Revenue Drivers</t>
  </si>
  <si>
    <t>Source operating drivers. Model Inputs links to these rows.</t>
  </si>
  <si>
    <t>Revenue Driver Source Rows</t>
  </si>
  <si>
    <t>Primary line of business / Scheduled passenger seat</t>
  </si>
  <si>
    <t>Primary line of business / Scheduled passenger seat - Capacity</t>
  </si>
  <si>
    <t>Source driver</t>
  </si>
  <si>
    <t>Primary line of business / Scheduled passenger seat - Unit Price</t>
  </si>
  <si>
    <t>Primary line of business / Scheduled passenger seat - Utilization</t>
  </si>
  <si>
    <t>Primary line of business / Scheduled passenger seat - Revenue</t>
  </si>
  <si>
    <t>Capacity x Unit Price x Utilization</t>
  </si>
  <si>
    <t>Total Capacity Units</t>
  </si>
  <si>
    <t>All revenue driver capacity units</t>
  </si>
  <si>
    <t>Total Revenue</t>
  </si>
  <si>
    <t>All revenue products</t>
  </si>
  <si>
    <t>Stage Ramp Contract</t>
  </si>
  <si>
    <t>Actual Revenue QoQ Growth</t>
  </si>
  <si>
    <t>Total revenue growth from modeled revenue drivers</t>
  </si>
  <si>
    <t>Stage Ramp Revenue QoQ Target</t>
  </si>
  <si>
    <t>GPT-selected stage ramp contract</t>
  </si>
  <si>
    <t>Stage Ramp Revenue QoQ Max</t>
  </si>
  <si>
    <t>Stage Ramp Revenue QoQ Spike Max</t>
  </si>
  <si>
    <t>Stage Ramp Utilization Cap</t>
  </si>
  <si>
    <t>Stage Ramp COGS % Revenue Target</t>
  </si>
  <si>
    <t>Stage Ramp COGS % Revenue Max</t>
  </si>
  <si>
    <t>Stage Ramp Marketing % Revenue Max</t>
  </si>
  <si>
    <t>Stage Ramp R&amp;D % Revenue Max</t>
  </si>
  <si>
    <t>Stage Ramp G&amp;A % Revenue Max</t>
  </si>
  <si>
    <t>Stage Ramp Lease % Revenue Max</t>
  </si>
  <si>
    <t>Stage Ramp Net Income Margin Floor</t>
  </si>
  <si>
    <t>Payroll Schedule</t>
  </si>
  <si>
    <t>OEWS-title, capacity/utilization-driven payroll source. Model Inputs links to Total Payroll.</t>
  </si>
  <si>
    <t>Payroll Assumptions</t>
  </si>
  <si>
    <t>Capacity Labor Model</t>
  </si>
  <si>
    <t>labor_driven</t>
  </si>
  <si>
    <t>Labor Intensity Class</t>
  </si>
  <si>
    <t>medium</t>
  </si>
  <si>
    <t>Wage Positioning Tier</t>
  </si>
  <si>
    <t>market</t>
  </si>
  <si>
    <t>Wage Positioning Multiplier</t>
  </si>
  <si>
    <t>Capacity Units per Supporting FTE</t>
  </si>
  <si>
    <t>Target Payroll % of Revenue</t>
  </si>
  <si>
    <t>Quarter Summary</t>
  </si>
  <si>
    <t>Total Ending FTE</t>
  </si>
  <si>
    <t>Formula output from payroll detail</t>
  </si>
  <si>
    <t>Total Average FTE</t>
  </si>
  <si>
    <t>Total Payroll</t>
  </si>
  <si>
    <t>Linked from Revenue Drivers</t>
  </si>
  <si>
    <t>Revenue per Employee</t>
  </si>
  <si>
    <t>Python-built productivity formula</t>
  </si>
  <si>
    <t>Units per Employee</t>
  </si>
  <si>
    <t>Payroll % of Revenue</t>
  </si>
  <si>
    <t>Payroll Detail</t>
  </si>
  <si>
    <t>Quarter</t>
  </si>
  <si>
    <t>Staffing Class</t>
  </si>
  <si>
    <t>Title / Person</t>
  </si>
  <si>
    <t>OEWS Title</t>
  </si>
  <si>
    <t>Starting FTE</t>
  </si>
  <si>
    <t>Hires</t>
  </si>
  <si>
    <t>Ending FTE</t>
  </si>
  <si>
    <t>Average FTE</t>
  </si>
  <si>
    <t>Annual Wage</t>
  </si>
  <si>
    <t>Benefits %</t>
  </si>
  <si>
    <t>Wage Cost</t>
  </si>
  <si>
    <t>Taxes &amp; Benefits</t>
  </si>
  <si>
    <t>Wage Source</t>
  </si>
  <si>
    <t>key_person</t>
  </si>
  <si>
    <t>Chief Executive Officer (CEO)</t>
  </si>
  <si>
    <t>oews_pct10</t>
  </si>
  <si>
    <t>Chief Operating Officer (COO)</t>
  </si>
  <si>
    <t>oews_median</t>
  </si>
  <si>
    <t>supporting_staff</t>
  </si>
  <si>
    <t>Airline Pilots, Copilots, and Flight Engineers</t>
  </si>
  <si>
    <t>oews_title_catalog:oews_pct10</t>
  </si>
  <si>
    <t>Debt Schedule</t>
  </si>
  <si>
    <t>Debt, interest, and capital lease mechanics. Model Inputs links to calculated outputs.</t>
  </si>
  <si>
    <t>Debt Amortization</t>
  </si>
  <si>
    <t>Opening Debt</t>
  </si>
  <si>
    <t>Calculated</t>
  </si>
  <si>
    <t>Debt Issuance</t>
  </si>
  <si>
    <t>Source borrowing</t>
  </si>
  <si>
    <t>Requested Debt Repayment</t>
  </si>
  <si>
    <t>Source scheduled repayment</t>
  </si>
  <si>
    <t>Actual Debt Repayment</t>
  </si>
  <si>
    <t>MIN(requested repayment, opening debt + issuance)</t>
  </si>
  <si>
    <t>Closing Debt</t>
  </si>
  <si>
    <t>Interest Rate</t>
  </si>
  <si>
    <t>Source rate</t>
  </si>
  <si>
    <t>Interest Expense</t>
  </si>
  <si>
    <t>Average debt balance x rate</t>
  </si>
  <si>
    <t>Total Debt Service</t>
  </si>
  <si>
    <t>Interest + actual repayment</t>
  </si>
  <si>
    <t>Capital Lease Schedule</t>
  </si>
  <si>
    <t>Lease Opening Balance</t>
  </si>
  <si>
    <t>Capital leases</t>
  </si>
  <si>
    <t>Requested Lease Principal Repayments</t>
  </si>
  <si>
    <t>Lease Principal Repayments</t>
  </si>
  <si>
    <t>Lease Net Additions</t>
  </si>
  <si>
    <t>Lease Interest Expense</t>
  </si>
  <si>
    <t>Lease Closing Balance</t>
  </si>
  <si>
    <t>Right-of-Use Asset Opening</t>
  </si>
  <si>
    <t>Lease Asset Depreciation</t>
  </si>
  <si>
    <t>Right-of-Use Asset Closing</t>
  </si>
  <si>
    <t>CapEx &amp; Depreciation Schedule</t>
  </si>
  <si>
    <t>Capital expenditure and depreciation mechanics. Model Inputs links to calculated outputs.</t>
  </si>
  <si>
    <t>PPE and Depreciation</t>
  </si>
  <si>
    <t>Opening PPE</t>
  </si>
  <si>
    <t>Schedule source</t>
  </si>
  <si>
    <t>Lease Additions</t>
  </si>
  <si>
    <t>Depreciation Rate</t>
  </si>
  <si>
    <t>Depreciation Expense</t>
  </si>
  <si>
    <t>Closing PPE</t>
  </si>
  <si>
    <t>Opening Accumulated Depreciation</t>
  </si>
  <si>
    <t>Working Capital Schedule</t>
  </si>
  <si>
    <t>Working-capital drivers. Model Inputs links to these source rows.</t>
  </si>
  <si>
    <t>Working Capital Drivers</t>
  </si>
  <si>
    <t>Accounts Receivable Days</t>
  </si>
  <si>
    <t>Working capital driver</t>
  </si>
  <si>
    <t>Inventory Days</t>
  </si>
  <si>
    <t>Accounts Payable Days</t>
  </si>
  <si>
    <t>Prepaid Expenses (% of Revenue)</t>
  </si>
  <si>
    <t>Deferred Revenue (% of Revenue)</t>
  </si>
  <si>
    <t>Short Term Debt (% of LTD)</t>
  </si>
  <si>
    <t>Opening Working Capital Seeds</t>
  </si>
  <si>
    <t>Cash Opening Balance</t>
  </si>
  <si>
    <t>Opening balance seed</t>
  </si>
  <si>
    <t>Accounts Receivable Opening Balance</t>
  </si>
  <si>
    <t>Inventory Opening Balance</t>
  </si>
  <si>
    <t>Accounts Payable Opening Balance</t>
  </si>
  <si>
    <t>Short Term Debt Opening Balance</t>
  </si>
  <si>
    <t>Cash &amp; Equity Schedule</t>
  </si>
  <si>
    <t>Equity, distributions, lease/rent, and opening cash seeds. Model Inputs links to these rows.</t>
  </si>
  <si>
    <t>Equity and Distributions</t>
  </si>
  <si>
    <t>Equity / distribution input</t>
  </si>
  <si>
    <t>Operating Fixed Cash Items</t>
  </si>
  <si>
    <t>Lease</t>
  </si>
  <si>
    <t>Operating lease/rent input</t>
  </si>
  <si>
    <t>Model Inputs</t>
  </si>
  <si>
    <t>Formula-driven bridge from schedules into FINMO. FINMO references this sheet only.</t>
  </si>
  <si>
    <t>Income Statement Inputs</t>
  </si>
  <si>
    <t>Revenue Drivers schedule</t>
  </si>
  <si>
    <t>Direct model driver</t>
  </si>
  <si>
    <t>Cash Equity Schedule output</t>
  </si>
  <si>
    <t>Payroll Schedule output</t>
  </si>
  <si>
    <t>Debt Schedule output</t>
  </si>
  <si>
    <t>CapEx Depreciation output</t>
  </si>
  <si>
    <t>Balance Sheet Inputs</t>
  </si>
  <si>
    <t>Working Capital schedule</t>
  </si>
  <si>
    <t>Cash Equity Schedule schedule</t>
  </si>
  <si>
    <t>Cash Flow and Schedule Inputs</t>
  </si>
  <si>
    <t>Debt Opening Balance</t>
  </si>
  <si>
    <t>Debt Schedule schedule</t>
  </si>
  <si>
    <t>Debt Closing Balance</t>
  </si>
  <si>
    <t>Right-of-Use Asset</t>
  </si>
  <si>
    <t>CapEx Depreciation schedule</t>
  </si>
  <si>
    <t>PPE Closing Balance</t>
  </si>
  <si>
    <t>Audit Source</t>
  </si>
  <si>
    <t>Persisted system outputs used only for checks and audit tie-outs.</t>
  </si>
  <si>
    <t>Persisted FINMO</t>
  </si>
  <si>
    <t>Current Liabilites</t>
  </si>
  <si>
    <t>Depreciatoin</t>
  </si>
  <si>
    <t>Changes in Current Liabilites</t>
  </si>
  <si>
    <t>Checks</t>
  </si>
  <si>
    <t>Model Status</t>
  </si>
  <si>
    <t>Rule</t>
  </si>
  <si>
    <t>Only real formula/coherence failures return FAIL. Baseline scenario changes show CHANGED.</t>
  </si>
  <si>
    <t>Category</t>
  </si>
  <si>
    <t>Line Item</t>
  </si>
  <si>
    <t>Sheet</t>
  </si>
  <si>
    <t>Range / Cell</t>
  </si>
  <si>
    <t>Actual</t>
  </si>
  <si>
    <t>Expected</t>
  </si>
  <si>
    <t>Difference</t>
  </si>
  <si>
    <t>Tolerance</t>
  </si>
  <si>
    <t>Status</t>
  </si>
  <si>
    <t>Notes</t>
  </si>
  <si>
    <t>Model Coherence Checks</t>
  </si>
  <si>
    <t>Statement Coherence</t>
  </si>
  <si>
    <t>Balance Sheet balances Q1</t>
  </si>
  <si>
    <t>Cross-sheet</t>
  </si>
  <si>
    <t>'FINMO'!D31</t>
  </si>
  <si>
    <t>Total assets must equal total liabilities and equity.</t>
  </si>
  <si>
    <t>Cash Flow ties to Balance Sheet Q1</t>
  </si>
  <si>
    <t>'FINMO'!D61</t>
  </si>
  <si>
    <t>Ending cash must tie to balance-sheet cash.</t>
  </si>
  <si>
    <t>Balance Sheet balances Q20</t>
  </si>
  <si>
    <t>'FINMO'!W31</t>
  </si>
  <si>
    <t>Cash Flow ties to Balance Sheet Q20</t>
  </si>
  <si>
    <t>'FINMO'!W61</t>
  </si>
  <si>
    <t>Schedule Bridge</t>
  </si>
  <si>
    <t>Revenue Drivers total feeds Model Inputs Revenue</t>
  </si>
  <si>
    <t>'Revenue Drivers'!C14:W14</t>
  </si>
  <si>
    <t>Changing Revenue Drivers should update Model Inputs and FINMO without creating a model failure.</t>
  </si>
  <si>
    <t>Payroll Schedule total feeds Model Inputs Payroll</t>
  </si>
  <si>
    <t>'Payroll Schedule'!D17:W17</t>
  </si>
  <si>
    <t>Changing payroll detail should update payroll summary, Model Inputs, and FINMO payroll.</t>
  </si>
  <si>
    <t>Debt repayment feeds Model Inputs</t>
  </si>
  <si>
    <t>'Debt Schedule'!C10:W10</t>
  </si>
  <si>
    <t>Debt repayment must flow through the model from actual mechanically capped repayment.</t>
  </si>
  <si>
    <t>Capital lease additions feed CapEx schedule</t>
  </si>
  <si>
    <t>'Debt Schedule'!C21:W21</t>
  </si>
  <si>
    <t>Lease additions must affect PPE/depreciation through the CapEx schedule.</t>
  </si>
  <si>
    <t>Lease/rent feeds Model Inputs</t>
  </si>
  <si>
    <t>'Cash Equity Schedule'!C12:W12</t>
  </si>
  <si>
    <t>Operating lease/rent must flow through Model Inputs into FINMO.</t>
  </si>
  <si>
    <t>Schedule Coherence</t>
  </si>
  <si>
    <t>Payroll summary totals equal payroll detail by quarter</t>
  </si>
  <si>
    <t>A27:N86</t>
  </si>
  <si>
    <t>If this fails, payroll summary is no longer tied to detail FTE/payroll rows.</t>
  </si>
  <si>
    <t>Payroll productivity metrics</t>
  </si>
  <si>
    <t>A16:W22</t>
  </si>
  <si>
    <t>Revenue per employee, units per employee, and payroll percent must stay tied to revenue/capacity and average FTE.</t>
  </si>
  <si>
    <t>Payroll detail FTE math</t>
  </si>
  <si>
    <t>E27:H86</t>
  </si>
  <si>
    <t>Ending FTE must equal starting FTE plus hires; average FTE must be the average of starting and ending FTE.</t>
  </si>
  <si>
    <t>Payroll detail wage and tax math</t>
  </si>
  <si>
    <t>I27:M86</t>
  </si>
  <si>
    <t>Payroll dollars must flow from average FTE, wage, benefits/taxes, and total payroll formulas.</t>
  </si>
  <si>
    <t>Line-Item Formula Logic Diagnostics</t>
  </si>
  <si>
    <t>Formula Logic</t>
  </si>
  <si>
    <t>Revenue calculation - lob_1_product_1</t>
  </si>
  <si>
    <t>'Revenue Drivers'!C11:W11</t>
  </si>
  <si>
    <t>Revenue rows must equal capacity x unit price x utilization.</t>
  </si>
  <si>
    <t>Revenue total equals all revenue products</t>
  </si>
  <si>
    <t>Total revenue must stay tied to all revenue-product rows.</t>
  </si>
  <si>
    <t>Revenue total capacity equals all capacity products</t>
  </si>
  <si>
    <t>'Revenue Drivers'!C13:W13</t>
  </si>
  <si>
    <t>Total capacity units must stay tied to all revenue-driver capacity rows.</t>
  </si>
  <si>
    <t>Debt opening balance continuity</t>
  </si>
  <si>
    <t>'Debt Schedule'!D7:W7</t>
  </si>
  <si>
    <t>Each quarter's opening debt must equal the prior quarter's closing debt.</t>
  </si>
  <si>
    <t>Actual debt repayment cap</t>
  </si>
  <si>
    <t>Actual repayment must not exceed requested repayment or available debt balance.</t>
  </si>
  <si>
    <t>Closing debt formula</t>
  </si>
  <si>
    <t>'Debt Schedule'!C11:W11</t>
  </si>
  <si>
    <t>Closing debt must equal opening debt plus issuance less actual repayment, floored at zero.</t>
  </si>
  <si>
    <t>Interest expense formula</t>
  </si>
  <si>
    <t>'Debt Schedule'!C13:W13</t>
  </si>
  <si>
    <t>Interest expense must equal average debt balance times interest rate.</t>
  </si>
  <si>
    <t>Debt service formula</t>
  </si>
  <si>
    <t>'Debt Schedule'!C14:W14</t>
  </si>
  <si>
    <t>Debt service must equal interest expense plus actual debt repayment.</t>
  </si>
  <si>
    <t>Lease opening balance continuity</t>
  </si>
  <si>
    <t>'Debt Schedule'!D18:W18</t>
  </si>
  <si>
    <t>Each quarter's opening lease balance must equal the prior quarter's closing lease balance.</t>
  </si>
  <si>
    <t>Lease principal repayment cap</t>
  </si>
  <si>
    <t>'Debt Schedule'!C20:W20</t>
  </si>
  <si>
    <t>Lease principal repayment must not exceed requested repayment or available lease balance.</t>
  </si>
  <si>
    <t>Lease closing balance formula</t>
  </si>
  <si>
    <t>'Debt Schedule'!C23:W23</t>
  </si>
  <si>
    <t>Lease closing balance must equal opening balance plus additions less principal repayment, floored at zero.</t>
  </si>
  <si>
    <t>PPE opening balance continuity</t>
  </si>
  <si>
    <t>CapEx Depreciation</t>
  </si>
  <si>
    <t>'CapEx Depreciation'!D7:W7</t>
  </si>
  <si>
    <t>Each quarter's opening PPE must equal the prior quarter's closing PPE.</t>
  </si>
  <si>
    <t>Depreciation expense formula</t>
  </si>
  <si>
    <t>'CapEx Depreciation'!C11:W11</t>
  </si>
  <si>
    <t>Depreciation must equal opening PPE times rate, capped at opening PPE.</t>
  </si>
  <si>
    <t>Closing PPE formula</t>
  </si>
  <si>
    <t>'CapEx Depreciation'!C12:W12</t>
  </si>
  <si>
    <t>Closing PPE must include capex and lease additions and subtract depreciation.</t>
  </si>
  <si>
    <t>Accumulated depreciation continuity</t>
  </si>
  <si>
    <t>'CapEx Depreciation'!D13:W13</t>
  </si>
  <si>
    <t>Opening accumulated depreciation must equal the prior quarter's accumulated depreciation.</t>
  </si>
  <si>
    <t>Accumulated depreciation formula</t>
  </si>
  <si>
    <t>'CapEx Depreciation'!C14:W14</t>
  </si>
  <si>
    <t>Accumulated depreciation must roll forward by depreciation expense.</t>
  </si>
  <si>
    <t>Formula Manifest by Line Item</t>
  </si>
  <si>
    <t>Formula Manifest</t>
  </si>
  <si>
    <t>Revenue Drivers - Total Revenue</t>
  </si>
  <si>
    <t>This line is expected to be formula-driven across every period. Formula presence is verified at export; live edit integrity is covered by the logic and bridge checks above.</t>
  </si>
  <si>
    <t>Revenue Drivers - Total Capacity Units</t>
  </si>
  <si>
    <t>Revenue Drivers - Actual Revenue QoQ Growth</t>
  </si>
  <si>
    <t>'Revenue Drivers'!C17:W17</t>
  </si>
  <si>
    <t>Payroll Schedule - Total Ending FTE</t>
  </si>
  <si>
    <t>'Payroll Schedule'!C15:W15</t>
  </si>
  <si>
    <t>Payroll Schedule - Total Average FTE</t>
  </si>
  <si>
    <t>'Payroll Schedule'!C16:W16</t>
  </si>
  <si>
    <t>Payroll Schedule - Total Payroll</t>
  </si>
  <si>
    <t>'Payroll Schedule'!C17:W17</t>
  </si>
  <si>
    <t>Payroll Schedule - Total Revenue</t>
  </si>
  <si>
    <t>'Payroll Schedule'!C18:W18</t>
  </si>
  <si>
    <t>Payroll Schedule - Total Capacity Units</t>
  </si>
  <si>
    <t>'Payroll Schedule'!C19:W19</t>
  </si>
  <si>
    <t>Payroll Schedule - Revenue per Employee</t>
  </si>
  <si>
    <t>'Payroll Schedule'!C20:W20</t>
  </si>
  <si>
    <t>Payroll Schedule - Units per Employee</t>
  </si>
  <si>
    <t>'Payroll Schedule'!C21:W21</t>
  </si>
  <si>
    <t>Payroll Schedule - Payroll % of Revenue</t>
  </si>
  <si>
    <t>'Payroll Schedule'!C22:W22</t>
  </si>
  <si>
    <t>CapEx Schedule - Lease Additions</t>
  </si>
  <si>
    <t>'CapEx Depreciation'!D9:W9</t>
  </si>
  <si>
    <t>CapEx Schedule - Closing PPE</t>
  </si>
  <si>
    <t>Debt Schedule - Opening Debt</t>
  </si>
  <si>
    <t>This debt/lease line is expected to be formula-driven across every period. Formula presence is verified at export; live edit integrity is covered by the logic and bridge checks above.</t>
  </si>
  <si>
    <t>Debt Schedule - Actual Debt Repayment</t>
  </si>
  <si>
    <t>Debt Schedule - Closing Debt</t>
  </si>
  <si>
    <t>Debt Schedule - Interest Expense</t>
  </si>
  <si>
    <t>Debt Schedule - Total Debt Service</t>
  </si>
  <si>
    <t>Debt Schedule - Lease Opening Balance</t>
  </si>
  <si>
    <t>Debt Schedule - Lease Principal Repayments</t>
  </si>
  <si>
    <t>Debt Schedule - Lease Closing Balance</t>
  </si>
  <si>
    <t>Payroll Detail - Ending FTE</t>
  </si>
  <si>
    <t>'Payroll Schedule'!G27:G86</t>
  </si>
  <si>
    <t>Payroll detail calculation columns must remain formulas so edits flow downstream. Formula presence is verified at export; live edit integrity is covered by the logic and bridge checks above.</t>
  </si>
  <si>
    <t>Payroll Detail - Average FTE</t>
  </si>
  <si>
    <t>'Payroll Schedule'!H27:H86</t>
  </si>
  <si>
    <t>Payroll Detail - Wage Cost</t>
  </si>
  <si>
    <t>'Payroll Schedule'!K27:K86</t>
  </si>
  <si>
    <t>Payroll Detail - Taxes &amp; Benefits</t>
  </si>
  <si>
    <t>'Payroll Schedule'!L27:L86</t>
  </si>
  <si>
    <t>Payroll Detail - Total Payroll</t>
  </si>
  <si>
    <t>'Payroll Schedule'!M27:M86</t>
  </si>
  <si>
    <t>Model Inputs - revenue::lob_1_product_1::Capacity</t>
  </si>
  <si>
    <t>'Model Inputs'!C7:W7</t>
  </si>
  <si>
    <t>Formula bridge rows in Model Inputs must stay linked to schedules. Formula presence is verified at export; live edit integrity is covered by the logic and bridge checks above.</t>
  </si>
  <si>
    <t>Model Inputs - revenue::lob_1_product_1::Unit Price</t>
  </si>
  <si>
    <t>'Model Inputs'!C8:W8</t>
  </si>
  <si>
    <t>Model Inputs - revenue::lob_1_product_1::Utilization</t>
  </si>
  <si>
    <t>'Model Inputs'!C9:W9</t>
  </si>
  <si>
    <t>Model Inputs - revenue::lob_1_product_1::Revenue</t>
  </si>
  <si>
    <t>'Model Inputs'!C10:W10</t>
  </si>
  <si>
    <t>Model Inputs - is::Revenue</t>
  </si>
  <si>
    <t>'Model Inputs'!C11:W11</t>
  </si>
  <si>
    <t>Model Inputs - is::Lease</t>
  </si>
  <si>
    <t>'Model Inputs'!C15:W15</t>
  </si>
  <si>
    <t>Model Inputs - is::Payroll</t>
  </si>
  <si>
    <t>'Model Inputs'!D16:W16</t>
  </si>
  <si>
    <t>Model Inputs - is::Interest Rate</t>
  </si>
  <si>
    <t>'Model Inputs'!C18:W18</t>
  </si>
  <si>
    <t>Model Inputs - is::Interest Expense</t>
  </si>
  <si>
    <t>'Model Inputs'!D19:W19</t>
  </si>
  <si>
    <t>Model Inputs - is::Depreciation</t>
  </si>
  <si>
    <t>'Model Inputs'!C20:W20</t>
  </si>
  <si>
    <t>Model Inputs - is::Depreciation Expense</t>
  </si>
  <si>
    <t>'Model Inputs'!C21:W21</t>
  </si>
  <si>
    <t>Model Inputs - bs::Accounts Receivable Days</t>
  </si>
  <si>
    <t>'Model Inputs'!C25:W25</t>
  </si>
  <si>
    <t>Model Inputs - bs::Inventory Days</t>
  </si>
  <si>
    <t>'Model Inputs'!C26:W26</t>
  </si>
  <si>
    <t>Model Inputs - bs::Accounts Payable Days</t>
  </si>
  <si>
    <t>'Model Inputs'!C27:W27</t>
  </si>
  <si>
    <t>Model Inputs - bs::Prepaid Expenses (% of Revenue)</t>
  </si>
  <si>
    <t>'Model Inputs'!C28:W28</t>
  </si>
  <si>
    <t>Model Inputs - bs::Deferred Revenue (% of Revenue)</t>
  </si>
  <si>
    <t>'Model Inputs'!C29:W29</t>
  </si>
  <si>
    <t>Model Inputs - bs::Short Term Debt (% of LTD)</t>
  </si>
  <si>
    <t>'Model Inputs'!C30:W30</t>
  </si>
  <si>
    <t>Model Inputs - bs::Owner's Capital</t>
  </si>
  <si>
    <t>'Model Inputs'!C31:W31</t>
  </si>
  <si>
    <t>Model Inputs - bs::Other Equity</t>
  </si>
  <si>
    <t>'Model Inputs'!C32:W32</t>
  </si>
  <si>
    <t>Model Inputs - bs::Distributions</t>
  </si>
  <si>
    <t>'Model Inputs'!C33:W33</t>
  </si>
  <si>
    <t>Model Inputs - cash::Cash Opening Balance</t>
  </si>
  <si>
    <t>'Model Inputs'!C36:W36</t>
  </si>
  <si>
    <t>Model Inputs - cash::Accounts Receivable Opening Balance</t>
  </si>
  <si>
    <t>'Model Inputs'!C37:W37</t>
  </si>
  <si>
    <t>Model Inputs - cash::Inventory Opening Balance</t>
  </si>
  <si>
    <t>'Model Inputs'!C38:W38</t>
  </si>
  <si>
    <t>Model Inputs - cash::Accounts Payable Opening Balance</t>
  </si>
  <si>
    <t>'Model Inputs'!C39:W39</t>
  </si>
  <si>
    <t>Model Inputs - cash::Short Term Debt Opening Balance</t>
  </si>
  <si>
    <t>'Model Inputs'!C40:W40</t>
  </si>
  <si>
    <t>Model Inputs - cash::Debt Opening Balance</t>
  </si>
  <si>
    <t>'Model Inputs'!C41:W41</t>
  </si>
  <si>
    <t>Model Inputs - cash::Debt Issuance</t>
  </si>
  <si>
    <t>'Model Inputs'!C42:W42</t>
  </si>
  <si>
    <t>Model Inputs - cash::Debt Repayment</t>
  </si>
  <si>
    <t>'Model Inputs'!C43:W43</t>
  </si>
  <si>
    <t>Model Inputs - cash::Debt Closing Balance</t>
  </si>
  <si>
    <t>'Model Inputs'!C44:W44</t>
  </si>
  <si>
    <t>Model Inputs - cash::Lease Opening Balance</t>
  </si>
  <si>
    <t>'Model Inputs'!C45:W45</t>
  </si>
  <si>
    <t>Model Inputs - cash::Lease Principal Repayments</t>
  </si>
  <si>
    <t>'Model Inputs'!C46:W46</t>
  </si>
  <si>
    <t>Model Inputs - cash::Lease Net Additions</t>
  </si>
  <si>
    <t>'Model Inputs'!C47:W47</t>
  </si>
  <si>
    <t>Model Inputs - cash::Lease Interest Expense</t>
  </si>
  <si>
    <t>'Model Inputs'!C48:W48</t>
  </si>
  <si>
    <t>Model Inputs - cash::Lease Closing Balance</t>
  </si>
  <si>
    <t>'Model Inputs'!C49:W49</t>
  </si>
  <si>
    <t>Model Inputs - cash::Right-of-Use Asset</t>
  </si>
  <si>
    <t>'Model Inputs'!C50:W50</t>
  </si>
  <si>
    <t>Model Inputs - cash::Lease Asset Depreciation</t>
  </si>
  <si>
    <t>'Model Inputs'!C51:W51</t>
  </si>
  <si>
    <t>Model Inputs - cash::Capital Expenditures</t>
  </si>
  <si>
    <t>'Model Inputs'!C52:W52</t>
  </si>
  <si>
    <t>Model Inputs - cash::PPE Closing Balance</t>
  </si>
  <si>
    <t>'Model Inputs'!C53:W53</t>
  </si>
  <si>
    <t>Model Inputs - cash::Accumulated Depreciation</t>
  </si>
  <si>
    <t>'Model Inputs'!C54:W54</t>
  </si>
  <si>
    <t>FINMO - Income Statement - Revenue</t>
  </si>
  <si>
    <t>'FINMO'!C8:W8</t>
  </si>
  <si>
    <t>FINMO statement lines must remain formula-driven. Formula presence is verified at export; live edit integrity is covered by the logic and bridge checks above.</t>
  </si>
  <si>
    <t>FINMO - Income Statement - Cost of Goods Sold</t>
  </si>
  <si>
    <t>'FINMO'!C9:W9</t>
  </si>
  <si>
    <t>FINMO - Income Statement - Gross Profit</t>
  </si>
  <si>
    <t>'FINMO'!C10:W10</t>
  </si>
  <si>
    <t>FINMO - Income Statement - Marketing</t>
  </si>
  <si>
    <t>'FINMO'!C11:W11</t>
  </si>
  <si>
    <t>FINMO - Income Statement - Research &amp; Development</t>
  </si>
  <si>
    <t>'FINMO'!C12:W12</t>
  </si>
  <si>
    <t>FINMO - Income Statement - Lease/Rent</t>
  </si>
  <si>
    <t>'FINMO'!C13:W13</t>
  </si>
  <si>
    <t>FINMO - Income Statement - Payroll</t>
  </si>
  <si>
    <t>'FINMO'!C14:W14</t>
  </si>
  <si>
    <t>FINMO - Income Statement - General &amp; Administrative</t>
  </si>
  <si>
    <t>'FINMO'!C15:W15</t>
  </si>
  <si>
    <t>FINMO - Income Statement - EBITDA</t>
  </si>
  <si>
    <t>'FINMO'!C16:W16</t>
  </si>
  <si>
    <t>FINMO - Income Statement - Interest</t>
  </si>
  <si>
    <t>'FINMO'!C17:W17</t>
  </si>
  <si>
    <t>FINMO - Income Statement - Depreciation</t>
  </si>
  <si>
    <t>'FINMO'!C18:W18</t>
  </si>
  <si>
    <t>FINMO - Income Statement - Taxes</t>
  </si>
  <si>
    <t>'FINMO'!C19:W19</t>
  </si>
  <si>
    <t>FINMO - Income Statement - Net Income</t>
  </si>
  <si>
    <t>'FINMO'!C20:W20</t>
  </si>
  <si>
    <t>FINMO - Balance Sheet - Cash</t>
  </si>
  <si>
    <t>'FINMO'!C23:W23</t>
  </si>
  <si>
    <t>FINMO - Balance Sheet - Accounts Receivable</t>
  </si>
  <si>
    <t>'FINMO'!C24:W24</t>
  </si>
  <si>
    <t>FINMO - Balance Sheet - Inventory</t>
  </si>
  <si>
    <t>'FINMO'!C25:W25</t>
  </si>
  <si>
    <t>FINMO - Balance Sheet - Prepaid Expenses</t>
  </si>
  <si>
    <t>'FINMO'!C26:W26</t>
  </si>
  <si>
    <t>FINMO - Balance Sheet - Current Assets</t>
  </si>
  <si>
    <t>'FINMO'!C27:W27</t>
  </si>
  <si>
    <t>FINMO - Balance Sheet - PPE</t>
  </si>
  <si>
    <t>'FINMO'!C28:W28</t>
  </si>
  <si>
    <t>FINMO - Balance Sheet - Right-of-Use Asset (Capital Lease)</t>
  </si>
  <si>
    <t>'FINMO'!C29:W29</t>
  </si>
  <si>
    <t>FINMO - Balance Sheet - Accumulated Depreciation</t>
  </si>
  <si>
    <t>'FINMO'!C30:W30</t>
  </si>
  <si>
    <t>FINMO - Balance Sheet - Total Assets</t>
  </si>
  <si>
    <t>'FINMO'!C31:W31</t>
  </si>
  <si>
    <t>FINMO - Balance Sheet - Accounts Payable</t>
  </si>
  <si>
    <t>'FINMO'!C32:W32</t>
  </si>
  <si>
    <t>FINMO - Balance Sheet - Short Term Debt</t>
  </si>
  <si>
    <t>'FINMO'!C33:W33</t>
  </si>
  <si>
    <t>FINMO - Balance Sheet - Deferred Revenue</t>
  </si>
  <si>
    <t>'FINMO'!C34:W34</t>
  </si>
  <si>
    <t>FINMO - Balance Sheet - Current Liabilities</t>
  </si>
  <si>
    <t>'FINMO'!C35:W35</t>
  </si>
  <si>
    <t>FINMO - Balance Sheet - Long Term Debt</t>
  </si>
  <si>
    <t>'FINMO'!C36:W36</t>
  </si>
  <si>
    <t>FINMO - Balance Sheet - Capital Lease Obligation</t>
  </si>
  <si>
    <t>'FINMO'!C37:W37</t>
  </si>
  <si>
    <t>FINMO - Balance Sheet - Total Liabilities</t>
  </si>
  <si>
    <t>'FINMO'!C38:W38</t>
  </si>
  <si>
    <t>FINMO - Balance Sheet - Owner's Capital</t>
  </si>
  <si>
    <t>'FINMO'!C39:W39</t>
  </si>
  <si>
    <t>FINMO - Balance Sheet - Retained Earnings</t>
  </si>
  <si>
    <t>'FINMO'!C40:W40</t>
  </si>
  <si>
    <t>FINMO - Balance Sheet - Other Equity</t>
  </si>
  <si>
    <t>'FINMO'!C41:W41</t>
  </si>
  <si>
    <t>FINMO - Balance Sheet - Total Equity</t>
  </si>
  <si>
    <t>'FINMO'!C42:W42</t>
  </si>
  <si>
    <t>FINMO - Balance Sheet - Total Liabilities &amp; Equity</t>
  </si>
  <si>
    <t>'FINMO'!C43:W43</t>
  </si>
  <si>
    <t>FINMO - Cash Flow - Beginning Cash</t>
  </si>
  <si>
    <t>'FINMO'!C46:W46</t>
  </si>
  <si>
    <t>FINMO - Cash Flow - Net Income</t>
  </si>
  <si>
    <t>'FINMO'!C47:W47</t>
  </si>
  <si>
    <t>FINMO - Cash Flow - Depreciation</t>
  </si>
  <si>
    <t>'FINMO'!C48:W48</t>
  </si>
  <si>
    <t>FINMO - Cash Flow - Changes in Current Assets</t>
  </si>
  <si>
    <t>'FINMO'!C49:W49</t>
  </si>
  <si>
    <t>FINMO - Cash Flow - Changes in Current Liabilities</t>
  </si>
  <si>
    <t>'FINMO'!C50:W50</t>
  </si>
  <si>
    <t>FINMO - Cash Flow - Operating Cash Flow</t>
  </si>
  <si>
    <t>'FINMO'!C51:W51</t>
  </si>
  <si>
    <t>FINMO - Cash Flow - Capital Expenditures</t>
  </si>
  <si>
    <t>'FINMO'!C52:W52</t>
  </si>
  <si>
    <t>FINMO - Cash Flow - Investing Cash Flow</t>
  </si>
  <si>
    <t>'FINMO'!C53:W53</t>
  </si>
  <si>
    <t>FINMO - Cash Flow - Debt Issuance (New Borrowing)</t>
  </si>
  <si>
    <t>'FINMO'!C54:W54</t>
  </si>
  <si>
    <t>FINMO - Cash Flow - Debt Repayment</t>
  </si>
  <si>
    <t>'FINMO'!C55:W55</t>
  </si>
  <si>
    <t>FINMO - Cash Flow - Equity</t>
  </si>
  <si>
    <t>'FINMO'!C56:W56</t>
  </si>
  <si>
    <t>FINMO - Cash Flow - Distributions</t>
  </si>
  <si>
    <t>'FINMO'!C57:W57</t>
  </si>
  <si>
    <t>FINMO - Cash Flow - Capital Lease Principal Payments</t>
  </si>
  <si>
    <t>'FINMO'!C58:W58</t>
  </si>
  <si>
    <t>FINMO - Cash Flow - Financing Cash Flow</t>
  </si>
  <si>
    <t>'FINMO'!C59:W59</t>
  </si>
  <si>
    <t>FINMO - Cash Flow - Net Cash Flow</t>
  </si>
  <si>
    <t>'FINMO'!C60:W60</t>
  </si>
  <si>
    <t>FINMO - Cash Flow - Ending Cash</t>
  </si>
  <si>
    <t>'FINMO'!C61:W61</t>
  </si>
  <si>
    <t>Formula Error Scans</t>
  </si>
  <si>
    <t>Formula Error Scan</t>
  </si>
  <si>
    <t>Revenue Drivers formula/error scan</t>
  </si>
  <si>
    <t>'Revenue Drivers'!C7:W28</t>
  </si>
  <si>
    <t>Counts Excel error values in the range.</t>
  </si>
  <si>
    <t>Payroll Schedule formula/error scan</t>
  </si>
  <si>
    <t>'Payroll Schedule'!C15:W86</t>
  </si>
  <si>
    <t>Debt Schedule formula/error scan</t>
  </si>
  <si>
    <t>'Debt Schedule'!C7:W26</t>
  </si>
  <si>
    <t>CapEx Depreciation formula/error scan</t>
  </si>
  <si>
    <t>'CapEx Depreciation'!C7:W14</t>
  </si>
  <si>
    <t>Cash Equity Schedule formula/error scan</t>
  </si>
  <si>
    <t>Cash Equity Schedule</t>
  </si>
  <si>
    <t>'Cash Equity Schedule'!C7:W12</t>
  </si>
  <si>
    <t>Model Inputs formula/error scan</t>
  </si>
  <si>
    <t>'Model Inputs'!C7:W54</t>
  </si>
  <si>
    <t>FINMO formula/error scan</t>
  </si>
  <si>
    <t>'FINMO'!C8:W61</t>
  </si>
  <si>
    <t>Persisted Baseline Reconciliation</t>
  </si>
  <si>
    <t>Persisted Baseline</t>
  </si>
  <si>
    <t>Revenue Q20</t>
  </si>
  <si>
    <t>FINMO vs Audit Source</t>
  </si>
  <si>
    <t>'FINMO'!W8</t>
  </si>
  <si>
    <t>CHANGED means assumptions were edited from the persisted run; it is informational and does not fail Model Status.</t>
  </si>
  <si>
    <t>Payroll Q20</t>
  </si>
  <si>
    <t>'FINMO'!W14</t>
  </si>
  <si>
    <t>Net Income Q20</t>
  </si>
  <si>
    <t>'FINMO'!W20</t>
  </si>
  <si>
    <t>Cash Q20</t>
  </si>
  <si>
    <t>'FINMO'!W23</t>
  </si>
  <si>
    <t>Total Assets Q20</t>
  </si>
  <si>
    <t>Total Liabilities &amp; Equity Q20</t>
  </si>
  <si>
    <t>'FINMO'!W43</t>
  </si>
  <si>
    <t>Ending Cash Q20</t>
  </si>
  <si>
    <t>Run Diagnostics</t>
  </si>
  <si>
    <t>Run Metadata</t>
  </si>
  <si>
    <t>Planning Mode</t>
  </si>
  <si>
    <t>rebalance</t>
  </si>
  <si>
    <t>Cash Strategy</t>
  </si>
  <si>
    <t>balanced</t>
  </si>
  <si>
    <t>Business Stage</t>
  </si>
  <si>
    <t>operating</t>
  </si>
  <si>
    <t>Business Name</t>
  </si>
  <si>
    <t>Skyward Express Airlines</t>
  </si>
  <si>
    <t>Business Start Date</t>
  </si>
  <si>
    <t>06/19/2024</t>
  </si>
  <si>
    <t>NAICS-6</t>
  </si>
  <si>
    <t>481111</t>
  </si>
  <si>
    <t>Draft ID</t>
  </si>
  <si>
    <t>64d6e16032de4ba482aee569157788eb</t>
  </si>
  <si>
    <t>Planning Run ID</t>
  </si>
  <si>
    <t>7897a53747104364bcfe016265583940</t>
  </si>
  <si>
    <t>Acceptance Gate</t>
  </si>
  <si>
    <t>Score</t>
  </si>
  <si>
    <t>16/16</t>
  </si>
  <si>
    <t>Verdict</t>
  </si>
  <si>
    <t>PASSED</t>
  </si>
  <si>
    <t>GPT Exhaustion Handler</t>
  </si>
  <si>
    <t>Fired</t>
  </si>
  <si>
    <t>Yes</t>
  </si>
  <si>
    <t>landed_verified_tool_call</t>
  </si>
  <si>
    <t>Scope</t>
  </si>
  <si>
    <t>pnl_path</t>
  </si>
  <si>
    <t>Tool calls used</t>
  </si>
  <si>
    <t>1</t>
  </si>
  <si>
    <t>Budget extension triggered</t>
  </si>
  <si>
    <t>False</t>
  </si>
  <si>
    <t>Realism Check Detail</t>
  </si>
  <si>
    <t>Metric Key</t>
  </si>
  <si>
    <t>advertising_percent_of_revenue</t>
  </si>
  <si>
    <t>✓</t>
  </si>
  <si>
    <t>ap_days_dpo</t>
  </si>
  <si>
    <t>ar_days_dso</t>
  </si>
  <si>
    <t>capex_percent_of_revenue</t>
  </si>
  <si>
    <t>cogs_percent_of_revenue</t>
  </si>
  <si>
    <t>current_assets_minus_cash</t>
  </si>
  <si>
    <t>current_liabilities_to_revenue</t>
  </si>
  <si>
    <t>current_ratio</t>
  </si>
  <si>
    <t>debt_to_assets</t>
  </si>
  <si>
    <t>debt_to_equity</t>
  </si>
  <si>
    <t>deferred_revenue_percent_of_revenue</t>
  </si>
  <si>
    <t>depreciation_percent_of_revenue</t>
  </si>
  <si>
    <t>ebitda_margin</t>
  </si>
  <si>
    <t>ebitda_margin_q20_holds_or_improves_vs_q11</t>
  </si>
  <si>
    <t>ebitda_positive_by_q11</t>
  </si>
  <si>
    <t>ebitda_recovery_trend_q5_q11</t>
  </si>
  <si>
    <t>effective_tax_rate</t>
  </si>
  <si>
    <t>fixed_cost_burden_reduced_or_scaled_by_q11</t>
  </si>
  <si>
    <t>gross_margin_percent</t>
  </si>
  <si>
    <t>gross_margin_supports_ebitda_recovery</t>
  </si>
  <si>
    <t>inventory_days</t>
  </si>
  <si>
    <t>loss_window_funded_through_q5</t>
  </si>
  <si>
    <t>marketing_percent_of_revenue</t>
  </si>
  <si>
    <t>net_income_margin</t>
  </si>
  <si>
    <t>operating_cash_flow_margin</t>
  </si>
  <si>
    <t>operating_margin_percent</t>
  </si>
  <si>
    <t>payroll_percent_of_revenue</t>
  </si>
  <si>
    <t>prepaid_expenses_percent_of_revenue</t>
  </si>
  <si>
    <t>quick_ratio</t>
  </si>
  <si>
    <t>r_and_d_percent_of_revenue</t>
  </si>
  <si>
    <t>rent_percent_of_revenue</t>
  </si>
  <si>
    <t>sga_percent_of_revenue</t>
  </si>
  <si>
    <t>total_assets_to_revenue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</si>
</sst>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;[Red]\(#,##0.0\);\-"/>
    <numFmt numFmtId="166" formatCode="\$#,##0;[Red]\(\$#,##0\);\-"/>
    <numFmt numFmtId="167" formatCode="0.0%;[Red]\(0.0%\);\-"/>
  </numFmts>
  <fonts count="14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sz val="9"/>
      <color rgb="FF666666"/>
      <name val="Calibri"/>
    </font>
    <font>
      <sz val="11"/>
      <color rgb="FF0000FF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8000"/>
      <name val="Calibri"/>
    </font>
    <font>
      <b/>
      <sz val="11"/>
      <name val="Calibri"/>
    </font>
    <font>
      <b/>
      <sz val="16"/>
      <color rgb="FF000000"/>
      <name val="Calibri"/>
    </font>
    <font>
      <b/>
      <sz val="12"/>
      <color rgb="FFFFFFFF"/>
      <name val="Calibri"/>
    </font>
    <font>
      <b/>
      <sz val="11"/>
      <color rgb="FF000000"/>
      <name val="Calibri"/>
    </font>
    <font>
      <b/>
      <sz val="11"/>
      <color rgb="FF0061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595959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3F6F8"/>
      </patternFill>
    </fill>
    <fill>
      <patternFill patternType="solid">
        <fgColor rgb="FFD9EAF7"/>
      </patternFill>
    </fill>
    <fill>
      <patternFill patternType="solid">
        <fgColor rgb="FFE7E6E6"/>
      </patternFill>
    </fill>
  </fills>
  <borders count="3">
    <border>
      <left/>
      <right/>
      <top/>
      <bottom/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medium">
        <color rgb="FF1F4E79"/>
      </top>
      <bottom style="thin">
        <color rgb="FFD9E2F3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/>
    <xf numFmtId="0" fontId="6" fillId="0" borderId="1" xfId="0" applyFont="1" applyBorder="1" applyAlignment="1">
      <alignment horizontal="left"/>
    </xf>
    <xf numFmtId="165" fontId="6" fillId="4" borderId="1" xfId="0" applyNumberFormat="1" applyFont="1" applyFill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166" fontId="6" fillId="4" borderId="1" xfId="0" applyNumberFormat="1" applyFont="1" applyFill="1" applyBorder="1" applyAlignment="1">
      <alignment horizontal="right"/>
    </xf>
    <xf numFmtId="166" fontId="6" fillId="0" borderId="1" xfId="0" applyNumberFormat="1" applyFont="1" applyBorder="1" applyAlignment="1">
      <alignment horizontal="right"/>
    </xf>
    <xf numFmtId="167" fontId="6" fillId="4" borderId="1" xfId="0" applyNumberFormat="1" applyFont="1" applyFill="1" applyBorder="1" applyAlignment="1">
      <alignment horizontal="right"/>
    </xf>
    <xf numFmtId="167" fontId="6" fillId="0" borderId="1" xfId="0" applyNumberFormat="1" applyFont="1" applyBorder="1" applyAlignment="1">
      <alignment horizontal="right"/>
    </xf>
    <xf numFmtId="0" fontId="7" fillId="5" borderId="2" xfId="0" applyFont="1" applyFill="1" applyBorder="1" applyAlignment="1">
      <alignment horizontal="left"/>
    </xf>
    <xf numFmtId="166" fontId="7" fillId="5" borderId="2" xfId="0" applyNumberFormat="1" applyFont="1" applyFill="1" applyBorder="1" applyAlignment="1">
      <alignment horizontal="right"/>
    </xf>
    <xf numFmtId="0" fontId="7" fillId="6" borderId="2" xfId="0" applyFont="1" applyFill="1" applyBorder="1" applyAlignment="1">
      <alignment horizontal="left"/>
    </xf>
    <xf numFmtId="165" fontId="7" fillId="6" borderId="2" xfId="0" applyNumberFormat="1" applyFont="1" applyFill="1" applyBorder="1" applyAlignment="1">
      <alignment horizontal="right"/>
    </xf>
    <xf numFmtId="0" fontId="7" fillId="7" borderId="2" xfId="0" applyFont="1" applyFill="1" applyBorder="1" applyAlignment="1">
      <alignment horizontal="left"/>
    </xf>
    <xf numFmtId="166" fontId="7" fillId="7" borderId="2" xfId="0" applyNumberFormat="1" applyFont="1" applyFill="1" applyBorder="1" applyAlignment="1">
      <alignment horizontal="right"/>
    </xf>
    <xf numFmtId="0" fontId="6" fillId="6" borderId="1" xfId="0" applyFont="1" applyFill="1" applyBorder="1" applyAlignment="1">
      <alignment horizontal="left"/>
    </xf>
    <xf numFmtId="167" fontId="6" fillId="6" borderId="1" xfId="0" applyNumberFormat="1" applyFont="1" applyFill="1" applyBorder="1" applyAlignment="1">
      <alignment horizontal="right"/>
    </xf>
    <xf numFmtId="165" fontId="6" fillId="6" borderId="1" xfId="0" applyNumberFormat="1" applyFont="1" applyFill="1" applyBorder="1" applyAlignment="1">
      <alignment horizontal="right"/>
    </xf>
    <xf numFmtId="0" fontId="7" fillId="5" borderId="1" xfId="0" applyFont="1" applyFill="1" applyBorder="1" applyAlignment="1">
      <alignment horizontal="left"/>
    </xf>
    <xf numFmtId="166" fontId="7" fillId="5" borderId="1" xfId="0" applyNumberFormat="1" applyFont="1" applyFill="1" applyBorder="1" applyAlignment="1">
      <alignment horizontal="right"/>
    </xf>
    <xf numFmtId="166" fontId="6" fillId="6" borderId="1" xfId="0" applyNumberFormat="1" applyFont="1" applyFill="1" applyBorder="1" applyAlignment="1">
      <alignment horizontal="right"/>
    </xf>
    <xf numFmtId="165" fontId="7" fillId="5" borderId="1" xfId="0" applyNumberFormat="1" applyFont="1" applyFill="1" applyBorder="1" applyAlignment="1">
      <alignment horizontal="right"/>
    </xf>
    <xf numFmtId="0" fontId="3" fillId="3" borderId="0" xfId="0" applyFont="1" applyFill="1"/>
    <xf numFmtId="165" fontId="5" fillId="4" borderId="0" xfId="0" applyNumberFormat="1" applyFont="1" applyFill="1" applyAlignment="1">
      <alignment horizontal="right"/>
    </xf>
    <xf numFmtId="165" fontId="8" fillId="0" borderId="0" xfId="0" applyNumberFormat="1" applyFont="1" applyAlignment="1">
      <alignment horizontal="right"/>
    </xf>
    <xf numFmtId="166" fontId="5" fillId="4" borderId="0" xfId="0" applyNumberFormat="1" applyFont="1" applyFill="1" applyAlignment="1">
      <alignment horizontal="right"/>
    </xf>
    <xf numFmtId="167" fontId="5" fillId="4" borderId="0" xfId="0" applyNumberFormat="1" applyFont="1" applyFill="1" applyAlignment="1">
      <alignment horizontal="right"/>
    </xf>
    <xf numFmtId="166" fontId="8" fillId="0" borderId="0" xfId="0" applyNumberFormat="1" applyFont="1" applyAlignment="1">
      <alignment horizontal="right"/>
    </xf>
    <xf numFmtId="0" fontId="6" fillId="5" borderId="1" xfId="0" applyFont="1" applyFill="1" applyBorder="1" applyAlignment="1">
      <alignment horizontal="left"/>
    </xf>
    <xf numFmtId="166" fontId="6" fillId="5" borderId="1" xfId="0" applyNumberFormat="1" applyFont="1" applyFill="1" applyBorder="1" applyAlignment="1">
      <alignment horizontal="right"/>
    </xf>
    <xf numFmtId="167" fontId="6" fillId="5" borderId="1" xfId="0" applyNumberFormat="1" applyFont="1" applyFill="1" applyBorder="1" applyAlignment="1">
      <alignment horizontal="right"/>
    </xf>
    <xf numFmtId="0" fontId="3" fillId="5" borderId="0" xfId="0" applyFont="1" applyFill="1"/>
    <xf numFmtId="0" fontId="3" fillId="2" borderId="0" xfId="0" applyFont="1" applyFill="1"/>
    <xf numFmtId="166" fontId="6" fillId="0" borderId="0" xfId="0" applyNumberFormat="1" applyFont="1" applyAlignment="1">
      <alignment horizontal="right"/>
    </xf>
    <xf numFmtId="0" fontId="9" fillId="0" borderId="0" xfId="0" applyFont="1"/>
    <xf numFmtId="165" fontId="6" fillId="0" borderId="0" xfId="0" applyNumberFormat="1" applyFont="1" applyAlignment="1">
      <alignment horizontal="right"/>
    </xf>
    <xf numFmtId="0" fontId="10" fillId="0" borderId="0" xfId="0" applyFont="1"/>
    <xf numFmtId="0" fontId="11" fillId="2" borderId="0" xfId="0" applyFont="1" applyFill="1" applyAlignment="1">
      <alignment horizontal="left" vertical="center"/>
    </xf>
    <xf numFmtId="0" fontId="0" fillId="2" borderId="0" xfId="0" applyFill="1"/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8" borderId="0" xfId="0" applyFont="1" applyFill="1" applyAlignment="1">
      <alignment horizontal="left" vertical="center"/>
    </xf>
    <xf numFmtId="0" fontId="12" fillId="8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1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D9EAF7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</sheetPr>
  <dimension ref="A1:AB28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82</v>
      </c>
    </row>
    <row r="2" spans="1:28" x14ac:dyDescent="0.3">
      <c r="A2" s="2" t="s">
        <v>83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46163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1" t="s">
        <v>84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 spans="1:28" x14ac:dyDescent="0.3">
      <c r="A7" s="51" t="s">
        <v>85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 spans="1:28" x14ac:dyDescent="0.3">
      <c r="A8" s="7" t="s">
        <v>86</v>
      </c>
      <c r="B8" s="7" t="s">
        <v>87</v>
      </c>
      <c r="C8" s="8">
        <v>218400</v>
      </c>
      <c r="D8" s="8">
        <v>48000</v>
      </c>
      <c r="E8" s="8">
        <v>48000</v>
      </c>
      <c r="F8" s="8">
        <v>48000</v>
      </c>
      <c r="G8" s="8">
        <v>48000</v>
      </c>
      <c r="H8" s="8">
        <v>48000</v>
      </c>
      <c r="I8" s="8">
        <v>48000</v>
      </c>
      <c r="J8" s="8">
        <v>48000</v>
      </c>
      <c r="K8" s="8">
        <v>48000</v>
      </c>
      <c r="L8" s="8">
        <v>48000</v>
      </c>
      <c r="M8" s="8">
        <v>48000</v>
      </c>
      <c r="N8" s="8">
        <v>48000</v>
      </c>
      <c r="O8" s="8">
        <v>48000</v>
      </c>
      <c r="P8" s="8">
        <v>48000</v>
      </c>
      <c r="Q8" s="8">
        <v>48000</v>
      </c>
      <c r="R8" s="8">
        <v>48000</v>
      </c>
      <c r="S8" s="8">
        <v>48000</v>
      </c>
      <c r="T8" s="8">
        <v>48000</v>
      </c>
      <c r="U8" s="8">
        <v>48000</v>
      </c>
      <c r="V8" s="8">
        <v>48000</v>
      </c>
      <c r="W8" s="8">
        <v>48000</v>
      </c>
      <c r="X8" s="9"/>
      <c r="Y8" s="9"/>
      <c r="Z8" s="9"/>
      <c r="AA8" s="9"/>
      <c r="AB8" s="9"/>
    </row>
    <row r="9" spans="1:28" x14ac:dyDescent="0.3">
      <c r="A9" s="7" t="s">
        <v>88</v>
      </c>
      <c r="B9" s="7" t="s">
        <v>87</v>
      </c>
      <c r="C9" s="10">
        <v>135</v>
      </c>
      <c r="D9" s="10">
        <v>135</v>
      </c>
      <c r="E9" s="10">
        <v>136</v>
      </c>
      <c r="F9" s="10">
        <v>137</v>
      </c>
      <c r="G9" s="10">
        <v>138</v>
      </c>
      <c r="H9" s="10">
        <v>139</v>
      </c>
      <c r="I9" s="10">
        <v>140</v>
      </c>
      <c r="J9" s="10">
        <v>141</v>
      </c>
      <c r="K9" s="10">
        <v>142</v>
      </c>
      <c r="L9" s="10">
        <v>143</v>
      </c>
      <c r="M9" s="10">
        <v>144</v>
      </c>
      <c r="N9" s="10">
        <v>145</v>
      </c>
      <c r="O9" s="10">
        <v>145.555556</v>
      </c>
      <c r="P9" s="10">
        <v>146.11111099999999</v>
      </c>
      <c r="Q9" s="10">
        <v>146.66666699999999</v>
      </c>
      <c r="R9" s="10">
        <v>147.22222199999999</v>
      </c>
      <c r="S9" s="10">
        <v>147.77777800000001</v>
      </c>
      <c r="T9" s="10">
        <v>148.33333300000001</v>
      </c>
      <c r="U9" s="10">
        <v>148.88888900000001</v>
      </c>
      <c r="V9" s="10">
        <v>149.444444</v>
      </c>
      <c r="W9" s="10">
        <v>150</v>
      </c>
      <c r="X9" s="11"/>
      <c r="Y9" s="11"/>
      <c r="Z9" s="11"/>
      <c r="AA9" s="11"/>
      <c r="AB9" s="11"/>
    </row>
    <row r="10" spans="1:28" x14ac:dyDescent="0.3">
      <c r="A10" s="7" t="s">
        <v>89</v>
      </c>
      <c r="B10" s="7" t="s">
        <v>87</v>
      </c>
      <c r="C10" s="12">
        <v>0.75</v>
      </c>
      <c r="D10" s="12">
        <v>0.75</v>
      </c>
      <c r="E10" s="12">
        <v>0.755</v>
      </c>
      <c r="F10" s="12">
        <v>0.76</v>
      </c>
      <c r="G10" s="12">
        <v>0.76500000000000001</v>
      </c>
      <c r="H10" s="12">
        <v>0.77</v>
      </c>
      <c r="I10" s="12">
        <v>0.77500000000000002</v>
      </c>
      <c r="J10" s="12">
        <v>0.78</v>
      </c>
      <c r="K10" s="12">
        <v>0.78500000000000003</v>
      </c>
      <c r="L10" s="12">
        <v>0.79</v>
      </c>
      <c r="M10" s="12">
        <v>0.79500000000000004</v>
      </c>
      <c r="N10" s="12">
        <v>0.8</v>
      </c>
      <c r="O10" s="12">
        <v>0.80444400000000005</v>
      </c>
      <c r="P10" s="12">
        <v>0.80888899999999997</v>
      </c>
      <c r="Q10" s="12">
        <v>0.81333299999999997</v>
      </c>
      <c r="R10" s="12">
        <v>0.817778</v>
      </c>
      <c r="S10" s="12">
        <v>0.82222200000000001</v>
      </c>
      <c r="T10" s="12">
        <v>0.82666700000000004</v>
      </c>
      <c r="U10" s="12">
        <v>0.83111100000000004</v>
      </c>
      <c r="V10" s="12">
        <v>0.83555599999999997</v>
      </c>
      <c r="W10" s="12">
        <v>0.84</v>
      </c>
      <c r="X10" s="13"/>
      <c r="Y10" s="13"/>
      <c r="Z10" s="13"/>
      <c r="AA10" s="13"/>
      <c r="AB10" s="13"/>
    </row>
    <row r="11" spans="1:28" x14ac:dyDescent="0.3">
      <c r="A11" s="14" t="s">
        <v>90</v>
      </c>
      <c r="B11" s="14" t="s">
        <v>91</v>
      </c>
      <c r="C11" s="15">
        <f t="shared" ref="C11:W11" si="0">C8*C9*C10</f>
        <v>22113000</v>
      </c>
      <c r="D11" s="15">
        <f t="shared" si="0"/>
        <v>4860000</v>
      </c>
      <c r="E11" s="15">
        <f t="shared" si="0"/>
        <v>4928640</v>
      </c>
      <c r="F11" s="15">
        <f t="shared" si="0"/>
        <v>4997760</v>
      </c>
      <c r="G11" s="15">
        <f t="shared" si="0"/>
        <v>5067360</v>
      </c>
      <c r="H11" s="15">
        <f t="shared" si="0"/>
        <v>5137440</v>
      </c>
      <c r="I11" s="15">
        <f t="shared" si="0"/>
        <v>5208000</v>
      </c>
      <c r="J11" s="15">
        <f t="shared" si="0"/>
        <v>5279040</v>
      </c>
      <c r="K11" s="15">
        <f t="shared" si="0"/>
        <v>5350560</v>
      </c>
      <c r="L11" s="15">
        <f t="shared" si="0"/>
        <v>5422560</v>
      </c>
      <c r="M11" s="15">
        <f t="shared" si="0"/>
        <v>5495040</v>
      </c>
      <c r="N11" s="15">
        <f t="shared" si="0"/>
        <v>5568000</v>
      </c>
      <c r="O11" s="15">
        <f t="shared" si="0"/>
        <v>5620382.0971614728</v>
      </c>
      <c r="P11" s="15">
        <f t="shared" si="0"/>
        <v>5673008.1823525913</v>
      </c>
      <c r="Q11" s="15">
        <f t="shared" si="0"/>
        <v>5725864.3330133278</v>
      </c>
      <c r="R11" s="15">
        <f t="shared" si="0"/>
        <v>5778964.5246103676</v>
      </c>
      <c r="S11" s="15">
        <f t="shared" si="0"/>
        <v>5832294.7287703687</v>
      </c>
      <c r="T11" s="15">
        <f t="shared" si="0"/>
        <v>5885869.0267733289</v>
      </c>
      <c r="U11" s="15">
        <f t="shared" si="0"/>
        <v>5939673.2844325928</v>
      </c>
      <c r="V11" s="15">
        <f t="shared" si="0"/>
        <v>5993721.6888414714</v>
      </c>
      <c r="W11" s="15">
        <f t="shared" si="0"/>
        <v>6048000</v>
      </c>
      <c r="X11" s="15">
        <f>SUM(D11:G11)</f>
        <v>19853760</v>
      </c>
      <c r="Y11" s="15">
        <f>SUM(H11:K11)</f>
        <v>20975040</v>
      </c>
      <c r="Z11" s="15">
        <f>SUM(L11:O11)</f>
        <v>22105982.097161472</v>
      </c>
      <c r="AA11" s="15">
        <f>SUM(P11:S11)</f>
        <v>23010131.768746655</v>
      </c>
      <c r="AB11" s="15">
        <f>SUM(T11:W11)</f>
        <v>23867264.000047393</v>
      </c>
    </row>
    <row r="13" spans="1:28" x14ac:dyDescent="0.3">
      <c r="A13" s="16" t="s">
        <v>92</v>
      </c>
      <c r="B13" s="16" t="s">
        <v>93</v>
      </c>
      <c r="C13" s="17">
        <f t="shared" ref="C13:W13" si="1">SUM(C8)</f>
        <v>218400</v>
      </c>
      <c r="D13" s="17">
        <f t="shared" si="1"/>
        <v>48000</v>
      </c>
      <c r="E13" s="17">
        <f t="shared" si="1"/>
        <v>48000</v>
      </c>
      <c r="F13" s="17">
        <f t="shared" si="1"/>
        <v>48000</v>
      </c>
      <c r="G13" s="17">
        <f t="shared" si="1"/>
        <v>48000</v>
      </c>
      <c r="H13" s="17">
        <f t="shared" si="1"/>
        <v>48000</v>
      </c>
      <c r="I13" s="17">
        <f t="shared" si="1"/>
        <v>48000</v>
      </c>
      <c r="J13" s="17">
        <f t="shared" si="1"/>
        <v>48000</v>
      </c>
      <c r="K13" s="17">
        <f t="shared" si="1"/>
        <v>48000</v>
      </c>
      <c r="L13" s="17">
        <f t="shared" si="1"/>
        <v>48000</v>
      </c>
      <c r="M13" s="17">
        <f t="shared" si="1"/>
        <v>48000</v>
      </c>
      <c r="N13" s="17">
        <f t="shared" si="1"/>
        <v>48000</v>
      </c>
      <c r="O13" s="17">
        <f t="shared" si="1"/>
        <v>48000</v>
      </c>
      <c r="P13" s="17">
        <f t="shared" si="1"/>
        <v>48000</v>
      </c>
      <c r="Q13" s="17">
        <f t="shared" si="1"/>
        <v>48000</v>
      </c>
      <c r="R13" s="17">
        <f t="shared" si="1"/>
        <v>48000</v>
      </c>
      <c r="S13" s="17">
        <f t="shared" si="1"/>
        <v>48000</v>
      </c>
      <c r="T13" s="17">
        <f t="shared" si="1"/>
        <v>48000</v>
      </c>
      <c r="U13" s="17">
        <f t="shared" si="1"/>
        <v>48000</v>
      </c>
      <c r="V13" s="17">
        <f t="shared" si="1"/>
        <v>48000</v>
      </c>
      <c r="W13" s="17">
        <f t="shared" si="1"/>
        <v>48000</v>
      </c>
      <c r="X13" s="17">
        <f>SUM(D13:G13)</f>
        <v>192000</v>
      </c>
      <c r="Y13" s="17">
        <f>SUM(H13:K13)</f>
        <v>192000</v>
      </c>
      <c r="Z13" s="17">
        <f>SUM(L13:O13)</f>
        <v>192000</v>
      </c>
      <c r="AA13" s="17">
        <f>SUM(P13:S13)</f>
        <v>192000</v>
      </c>
      <c r="AB13" s="17">
        <f>SUM(T13:W13)</f>
        <v>192000</v>
      </c>
    </row>
    <row r="14" spans="1:28" x14ac:dyDescent="0.3">
      <c r="A14" s="18" t="s">
        <v>94</v>
      </c>
      <c r="B14" s="18" t="s">
        <v>95</v>
      </c>
      <c r="C14" s="19">
        <f t="shared" ref="C14:W14" si="2">SUM(C11)</f>
        <v>22113000</v>
      </c>
      <c r="D14" s="19">
        <f t="shared" si="2"/>
        <v>4860000</v>
      </c>
      <c r="E14" s="19">
        <f t="shared" si="2"/>
        <v>4928640</v>
      </c>
      <c r="F14" s="19">
        <f t="shared" si="2"/>
        <v>4997760</v>
      </c>
      <c r="G14" s="19">
        <f t="shared" si="2"/>
        <v>5067360</v>
      </c>
      <c r="H14" s="19">
        <f t="shared" si="2"/>
        <v>5137440</v>
      </c>
      <c r="I14" s="19">
        <f t="shared" si="2"/>
        <v>5208000</v>
      </c>
      <c r="J14" s="19">
        <f t="shared" si="2"/>
        <v>5279040</v>
      </c>
      <c r="K14" s="19">
        <f t="shared" si="2"/>
        <v>5350560</v>
      </c>
      <c r="L14" s="19">
        <f t="shared" si="2"/>
        <v>5422560</v>
      </c>
      <c r="M14" s="19">
        <f t="shared" si="2"/>
        <v>5495040</v>
      </c>
      <c r="N14" s="19">
        <f t="shared" si="2"/>
        <v>5568000</v>
      </c>
      <c r="O14" s="19">
        <f t="shared" si="2"/>
        <v>5620382.0971614728</v>
      </c>
      <c r="P14" s="19">
        <f t="shared" si="2"/>
        <v>5673008.1823525913</v>
      </c>
      <c r="Q14" s="19">
        <f t="shared" si="2"/>
        <v>5725864.3330133278</v>
      </c>
      <c r="R14" s="19">
        <f t="shared" si="2"/>
        <v>5778964.5246103676</v>
      </c>
      <c r="S14" s="19">
        <f t="shared" si="2"/>
        <v>5832294.7287703687</v>
      </c>
      <c r="T14" s="19">
        <f t="shared" si="2"/>
        <v>5885869.0267733289</v>
      </c>
      <c r="U14" s="19">
        <f t="shared" si="2"/>
        <v>5939673.2844325928</v>
      </c>
      <c r="V14" s="19">
        <f t="shared" si="2"/>
        <v>5993721.6888414714</v>
      </c>
      <c r="W14" s="19">
        <f t="shared" si="2"/>
        <v>6048000</v>
      </c>
      <c r="X14" s="19">
        <f>SUM(D14:G14)</f>
        <v>19853760</v>
      </c>
      <c r="Y14" s="19">
        <f>SUM(H14:K14)</f>
        <v>20975040</v>
      </c>
      <c r="Z14" s="19">
        <f>SUM(L14:O14)</f>
        <v>22105982.097161472</v>
      </c>
      <c r="AA14" s="19">
        <f>SUM(P14:S14)</f>
        <v>23010131.768746655</v>
      </c>
      <c r="AB14" s="19">
        <f>SUM(T14:W14)</f>
        <v>23867264.000047393</v>
      </c>
    </row>
    <row r="16" spans="1:28" x14ac:dyDescent="0.3">
      <c r="A16" s="51" t="s">
        <v>96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</row>
    <row r="17" spans="1:28" x14ac:dyDescent="0.3">
      <c r="A17" s="20" t="s">
        <v>97</v>
      </c>
      <c r="B17" s="20" t="s">
        <v>98</v>
      </c>
      <c r="C17" s="21">
        <f>0</f>
        <v>0</v>
      </c>
      <c r="D17" s="21">
        <f t="shared" ref="D17:W17" si="3">IFERROR(D14/C14-1,0)</f>
        <v>-0.78021978021978022</v>
      </c>
      <c r="E17" s="21">
        <f t="shared" si="3"/>
        <v>1.412345679012339E-2</v>
      </c>
      <c r="F17" s="21">
        <f t="shared" si="3"/>
        <v>1.4024152707440507E-2</v>
      </c>
      <c r="G17" s="21">
        <f t="shared" si="3"/>
        <v>1.3926238955051851E-2</v>
      </c>
      <c r="H17" s="21">
        <f t="shared" si="3"/>
        <v>1.3829686463957547E-2</v>
      </c>
      <c r="I17" s="21">
        <f t="shared" si="3"/>
        <v>1.373446697187708E-2</v>
      </c>
      <c r="J17" s="21">
        <f t="shared" si="3"/>
        <v>1.3640552995391797E-2</v>
      </c>
      <c r="K17" s="21">
        <f t="shared" si="3"/>
        <v>1.3547917803236942E-2</v>
      </c>
      <c r="L17" s="21">
        <f t="shared" si="3"/>
        <v>1.345653539068814E-2</v>
      </c>
      <c r="M17" s="21">
        <f t="shared" si="3"/>
        <v>1.3366380454987947E-2</v>
      </c>
      <c r="N17" s="21">
        <f t="shared" si="3"/>
        <v>1.3277428371768041E-2</v>
      </c>
      <c r="O17" s="21">
        <f t="shared" si="3"/>
        <v>9.4077042315863224E-3</v>
      </c>
      <c r="P17" s="21">
        <f t="shared" si="3"/>
        <v>9.3634354891451999E-3</v>
      </c>
      <c r="Q17" s="21">
        <f t="shared" si="3"/>
        <v>9.3171292833948982E-3</v>
      </c>
      <c r="R17" s="21">
        <f t="shared" si="3"/>
        <v>9.2737425319149303E-3</v>
      </c>
      <c r="S17" s="21">
        <f t="shared" si="3"/>
        <v>9.2283321575843402E-3</v>
      </c>
      <c r="T17" s="21">
        <f t="shared" si="3"/>
        <v>9.1858008715988149E-3</v>
      </c>
      <c r="U17" s="21">
        <f t="shared" si="3"/>
        <v>9.1412597552751329E-3</v>
      </c>
      <c r="V17" s="21">
        <f t="shared" si="3"/>
        <v>9.099558480857084E-3</v>
      </c>
      <c r="W17" s="21">
        <f t="shared" si="3"/>
        <v>9.0558611120663546E-3</v>
      </c>
      <c r="X17" s="21">
        <f t="shared" ref="X17:X28" si="4">AVERAGE(D17:G17)</f>
        <v>-0.18453648294179112</v>
      </c>
      <c r="Y17" s="21">
        <f t="shared" ref="Y17:Y28" si="5">AVERAGE(H17:K17)</f>
        <v>1.3688156058615841E-2</v>
      </c>
      <c r="Z17" s="21">
        <f t="shared" ref="Z17:Z28" si="6">AVERAGE(L17:O17)</f>
        <v>1.2377012112257613E-2</v>
      </c>
      <c r="AA17" s="21">
        <f t="shared" ref="AA17:AA28" si="7">AVERAGE(P17:S17)</f>
        <v>9.2956598655098421E-3</v>
      </c>
      <c r="AB17" s="21">
        <f t="shared" ref="AB17:AB28" si="8">AVERAGE(T17:W17)</f>
        <v>9.1206200549493466E-3</v>
      </c>
    </row>
    <row r="18" spans="1:28" x14ac:dyDescent="0.3">
      <c r="A18" s="7" t="s">
        <v>99</v>
      </c>
      <c r="B18" s="7" t="s">
        <v>100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3">
        <f t="shared" si="4"/>
        <v>0</v>
      </c>
      <c r="Y18" s="13">
        <f t="shared" si="5"/>
        <v>0</v>
      </c>
      <c r="Z18" s="13">
        <f t="shared" si="6"/>
        <v>0</v>
      </c>
      <c r="AA18" s="13">
        <f t="shared" si="7"/>
        <v>0</v>
      </c>
      <c r="AB18" s="13">
        <f t="shared" si="8"/>
        <v>0</v>
      </c>
    </row>
    <row r="19" spans="1:28" x14ac:dyDescent="0.3">
      <c r="A19" s="7" t="s">
        <v>101</v>
      </c>
      <c r="B19" s="7" t="s">
        <v>100</v>
      </c>
      <c r="C19" s="12">
        <v>0</v>
      </c>
      <c r="D19" s="12">
        <v>0.14000000000000001</v>
      </c>
      <c r="E19" s="12">
        <v>0.14000000000000001</v>
      </c>
      <c r="F19" s="12">
        <v>0.14000000000000001</v>
      </c>
      <c r="G19" s="12">
        <v>0.14000000000000001</v>
      </c>
      <c r="H19" s="12">
        <v>0.14000000000000001</v>
      </c>
      <c r="I19" s="12">
        <v>0.14000000000000001</v>
      </c>
      <c r="J19" s="12">
        <v>0.14000000000000001</v>
      </c>
      <c r="K19" s="12">
        <v>0.14000000000000001</v>
      </c>
      <c r="L19" s="12">
        <v>0.14000000000000001</v>
      </c>
      <c r="M19" s="12">
        <v>0.14000000000000001</v>
      </c>
      <c r="N19" s="12">
        <v>0.14000000000000001</v>
      </c>
      <c r="O19" s="12">
        <v>0.14000000000000001</v>
      </c>
      <c r="P19" s="12">
        <v>0.14000000000000001</v>
      </c>
      <c r="Q19" s="12">
        <v>0.14000000000000001</v>
      </c>
      <c r="R19" s="12">
        <v>0.14000000000000001</v>
      </c>
      <c r="S19" s="12">
        <v>0.14000000000000001</v>
      </c>
      <c r="T19" s="12">
        <v>0.14000000000000001</v>
      </c>
      <c r="U19" s="12">
        <v>0.14000000000000001</v>
      </c>
      <c r="V19" s="12">
        <v>0.14000000000000001</v>
      </c>
      <c r="W19" s="12">
        <v>0.14000000000000001</v>
      </c>
      <c r="X19" s="13">
        <f t="shared" si="4"/>
        <v>0.14000000000000001</v>
      </c>
      <c r="Y19" s="13">
        <f t="shared" si="5"/>
        <v>0.14000000000000001</v>
      </c>
      <c r="Z19" s="13">
        <f t="shared" si="6"/>
        <v>0.14000000000000001</v>
      </c>
      <c r="AA19" s="13">
        <f t="shared" si="7"/>
        <v>0.14000000000000001</v>
      </c>
      <c r="AB19" s="13">
        <f t="shared" si="8"/>
        <v>0.14000000000000001</v>
      </c>
    </row>
    <row r="20" spans="1:28" x14ac:dyDescent="0.3">
      <c r="A20" s="7" t="s">
        <v>102</v>
      </c>
      <c r="B20" s="7" t="s">
        <v>100</v>
      </c>
      <c r="C20" s="12">
        <v>0</v>
      </c>
      <c r="D20" s="12">
        <v>0.14000000000000001</v>
      </c>
      <c r="E20" s="12">
        <v>0.14000000000000001</v>
      </c>
      <c r="F20" s="12">
        <v>0.14000000000000001</v>
      </c>
      <c r="G20" s="12">
        <v>0.14000000000000001</v>
      </c>
      <c r="H20" s="12">
        <v>0.14000000000000001</v>
      </c>
      <c r="I20" s="12">
        <v>0.14000000000000001</v>
      </c>
      <c r="J20" s="12">
        <v>0.14000000000000001</v>
      </c>
      <c r="K20" s="12">
        <v>0.14000000000000001</v>
      </c>
      <c r="L20" s="12">
        <v>0.14000000000000001</v>
      </c>
      <c r="M20" s="12">
        <v>0.14000000000000001</v>
      </c>
      <c r="N20" s="12">
        <v>0.14000000000000001</v>
      </c>
      <c r="O20" s="12">
        <v>0.14000000000000001</v>
      </c>
      <c r="P20" s="12">
        <v>0.14000000000000001</v>
      </c>
      <c r="Q20" s="12">
        <v>0.14000000000000001</v>
      </c>
      <c r="R20" s="12">
        <v>0.14000000000000001</v>
      </c>
      <c r="S20" s="12">
        <v>0.14000000000000001</v>
      </c>
      <c r="T20" s="12">
        <v>0.14000000000000001</v>
      </c>
      <c r="U20" s="12">
        <v>0.14000000000000001</v>
      </c>
      <c r="V20" s="12">
        <v>0.14000000000000001</v>
      </c>
      <c r="W20" s="12">
        <v>0.14000000000000001</v>
      </c>
      <c r="X20" s="13">
        <f t="shared" si="4"/>
        <v>0.14000000000000001</v>
      </c>
      <c r="Y20" s="13">
        <f t="shared" si="5"/>
        <v>0.14000000000000001</v>
      </c>
      <c r="Z20" s="13">
        <f t="shared" si="6"/>
        <v>0.14000000000000001</v>
      </c>
      <c r="AA20" s="13">
        <f t="shared" si="7"/>
        <v>0.14000000000000001</v>
      </c>
      <c r="AB20" s="13">
        <f t="shared" si="8"/>
        <v>0.14000000000000001</v>
      </c>
    </row>
    <row r="21" spans="1:28" x14ac:dyDescent="0.3">
      <c r="A21" s="7" t="s">
        <v>103</v>
      </c>
      <c r="B21" s="7" t="s">
        <v>100</v>
      </c>
      <c r="C21" s="12">
        <v>0</v>
      </c>
      <c r="D21" s="12">
        <v>0.65</v>
      </c>
      <c r="E21" s="12">
        <v>0.67</v>
      </c>
      <c r="F21" s="12">
        <v>0.69</v>
      </c>
      <c r="G21" s="12">
        <v>0.71</v>
      </c>
      <c r="H21" s="12">
        <v>0.73</v>
      </c>
      <c r="I21" s="12">
        <v>0.75</v>
      </c>
      <c r="J21" s="12">
        <v>0.77</v>
      </c>
      <c r="K21" s="12">
        <v>0.79</v>
      </c>
      <c r="L21" s="12">
        <v>0.81</v>
      </c>
      <c r="M21" s="12">
        <v>0.83</v>
      </c>
      <c r="N21" s="12">
        <v>0.85</v>
      </c>
      <c r="O21" s="12">
        <v>0.85</v>
      </c>
      <c r="P21" s="12">
        <v>0.85</v>
      </c>
      <c r="Q21" s="12">
        <v>0.85</v>
      </c>
      <c r="R21" s="12">
        <v>0.85</v>
      </c>
      <c r="S21" s="12">
        <v>0.85</v>
      </c>
      <c r="T21" s="12">
        <v>0.85</v>
      </c>
      <c r="U21" s="12">
        <v>0.85</v>
      </c>
      <c r="V21" s="12">
        <v>0.85</v>
      </c>
      <c r="W21" s="12">
        <v>0.85</v>
      </c>
      <c r="X21" s="13">
        <f t="shared" si="4"/>
        <v>0.67999999999999994</v>
      </c>
      <c r="Y21" s="13">
        <f t="shared" si="5"/>
        <v>0.76</v>
      </c>
      <c r="Z21" s="13">
        <f t="shared" si="6"/>
        <v>0.83500000000000008</v>
      </c>
      <c r="AA21" s="13">
        <f t="shared" si="7"/>
        <v>0.85</v>
      </c>
      <c r="AB21" s="13">
        <f t="shared" si="8"/>
        <v>0.85</v>
      </c>
    </row>
    <row r="22" spans="1:28" x14ac:dyDescent="0.3">
      <c r="A22" s="7" t="s">
        <v>104</v>
      </c>
      <c r="B22" s="7" t="s">
        <v>100</v>
      </c>
      <c r="C22" s="12">
        <v>0</v>
      </c>
      <c r="D22" s="12">
        <v>0.78</v>
      </c>
      <c r="E22" s="12">
        <v>0.78</v>
      </c>
      <c r="F22" s="12">
        <v>0.78</v>
      </c>
      <c r="G22" s="12">
        <v>0.78</v>
      </c>
      <c r="H22" s="12">
        <v>0.78</v>
      </c>
      <c r="I22" s="12">
        <v>0.78</v>
      </c>
      <c r="J22" s="12">
        <v>0.78</v>
      </c>
      <c r="K22" s="12">
        <v>0.78</v>
      </c>
      <c r="L22" s="12">
        <v>0.78</v>
      </c>
      <c r="M22" s="12">
        <v>0.78</v>
      </c>
      <c r="N22" s="12">
        <v>0.78</v>
      </c>
      <c r="O22" s="12">
        <v>0.78</v>
      </c>
      <c r="P22" s="12">
        <v>0.78</v>
      </c>
      <c r="Q22" s="12">
        <v>0.78</v>
      </c>
      <c r="R22" s="12">
        <v>0.78</v>
      </c>
      <c r="S22" s="12">
        <v>0.78</v>
      </c>
      <c r="T22" s="12">
        <v>0.78</v>
      </c>
      <c r="U22" s="12">
        <v>0.78</v>
      </c>
      <c r="V22" s="12">
        <v>0.78</v>
      </c>
      <c r="W22" s="12">
        <v>0.78</v>
      </c>
      <c r="X22" s="13">
        <f t="shared" si="4"/>
        <v>0.78</v>
      </c>
      <c r="Y22" s="13">
        <f t="shared" si="5"/>
        <v>0.78</v>
      </c>
      <c r="Z22" s="13">
        <f t="shared" si="6"/>
        <v>0.78</v>
      </c>
      <c r="AA22" s="13">
        <f t="shared" si="7"/>
        <v>0.78</v>
      </c>
      <c r="AB22" s="13">
        <f t="shared" si="8"/>
        <v>0.78</v>
      </c>
    </row>
    <row r="23" spans="1:28" x14ac:dyDescent="0.3">
      <c r="A23" s="7" t="s">
        <v>105</v>
      </c>
      <c r="B23" s="7" t="s">
        <v>100</v>
      </c>
      <c r="C23" s="12">
        <v>0</v>
      </c>
      <c r="D23" s="12">
        <v>0.88</v>
      </c>
      <c r="E23" s="12">
        <v>0.88</v>
      </c>
      <c r="F23" s="12">
        <v>0.88</v>
      </c>
      <c r="G23" s="12">
        <v>0.88</v>
      </c>
      <c r="H23" s="12">
        <v>0.88</v>
      </c>
      <c r="I23" s="12">
        <v>0.88</v>
      </c>
      <c r="J23" s="12">
        <v>0.88</v>
      </c>
      <c r="K23" s="12">
        <v>0.88</v>
      </c>
      <c r="L23" s="12">
        <v>0.88</v>
      </c>
      <c r="M23" s="12">
        <v>0.88</v>
      </c>
      <c r="N23" s="12">
        <v>0.88</v>
      </c>
      <c r="O23" s="12">
        <v>0.88</v>
      </c>
      <c r="P23" s="12">
        <v>0.88</v>
      </c>
      <c r="Q23" s="12">
        <v>0.88</v>
      </c>
      <c r="R23" s="12">
        <v>0.88</v>
      </c>
      <c r="S23" s="12">
        <v>0.88</v>
      </c>
      <c r="T23" s="12">
        <v>0.88</v>
      </c>
      <c r="U23" s="12">
        <v>0.88</v>
      </c>
      <c r="V23" s="12">
        <v>0.88</v>
      </c>
      <c r="W23" s="12">
        <v>0.88</v>
      </c>
      <c r="X23" s="13">
        <f t="shared" si="4"/>
        <v>0.88</v>
      </c>
      <c r="Y23" s="13">
        <f t="shared" si="5"/>
        <v>0.88</v>
      </c>
      <c r="Z23" s="13">
        <f t="shared" si="6"/>
        <v>0.88</v>
      </c>
      <c r="AA23" s="13">
        <f t="shared" si="7"/>
        <v>0.88</v>
      </c>
      <c r="AB23" s="13">
        <f t="shared" si="8"/>
        <v>0.88</v>
      </c>
    </row>
    <row r="24" spans="1:28" x14ac:dyDescent="0.3">
      <c r="A24" s="7" t="s">
        <v>106</v>
      </c>
      <c r="B24" s="7" t="s">
        <v>100</v>
      </c>
      <c r="C24" s="12">
        <v>0</v>
      </c>
      <c r="D24" s="12">
        <v>0.17</v>
      </c>
      <c r="E24" s="12">
        <v>0.17</v>
      </c>
      <c r="F24" s="12">
        <v>0.17</v>
      </c>
      <c r="G24" s="12">
        <v>0.17</v>
      </c>
      <c r="H24" s="12">
        <v>0.17</v>
      </c>
      <c r="I24" s="12">
        <v>0.17</v>
      </c>
      <c r="J24" s="12">
        <v>0.17</v>
      </c>
      <c r="K24" s="12">
        <v>0.17</v>
      </c>
      <c r="L24" s="12">
        <v>0.17</v>
      </c>
      <c r="M24" s="12">
        <v>0.17</v>
      </c>
      <c r="N24" s="12">
        <v>0.17</v>
      </c>
      <c r="O24" s="12">
        <v>0.17</v>
      </c>
      <c r="P24" s="12">
        <v>0.17</v>
      </c>
      <c r="Q24" s="12">
        <v>0.17</v>
      </c>
      <c r="R24" s="12">
        <v>0.17</v>
      </c>
      <c r="S24" s="12">
        <v>0.17</v>
      </c>
      <c r="T24" s="12">
        <v>0.17</v>
      </c>
      <c r="U24" s="12">
        <v>0.17</v>
      </c>
      <c r="V24" s="12">
        <v>0.17</v>
      </c>
      <c r="W24" s="12">
        <v>0.17</v>
      </c>
      <c r="X24" s="13">
        <f t="shared" si="4"/>
        <v>0.17</v>
      </c>
      <c r="Y24" s="13">
        <f t="shared" si="5"/>
        <v>0.17</v>
      </c>
      <c r="Z24" s="13">
        <f t="shared" si="6"/>
        <v>0.17</v>
      </c>
      <c r="AA24" s="13">
        <f t="shared" si="7"/>
        <v>0.17</v>
      </c>
      <c r="AB24" s="13">
        <f t="shared" si="8"/>
        <v>0.17</v>
      </c>
    </row>
    <row r="25" spans="1:28" x14ac:dyDescent="0.3">
      <c r="A25" s="7" t="s">
        <v>107</v>
      </c>
      <c r="B25" s="7" t="s">
        <v>100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3">
        <f t="shared" si="4"/>
        <v>0</v>
      </c>
      <c r="Y25" s="13">
        <f t="shared" si="5"/>
        <v>0</v>
      </c>
      <c r="Z25" s="13">
        <f t="shared" si="6"/>
        <v>0</v>
      </c>
      <c r="AA25" s="13">
        <f t="shared" si="7"/>
        <v>0</v>
      </c>
      <c r="AB25" s="13">
        <f t="shared" si="8"/>
        <v>0</v>
      </c>
    </row>
    <row r="26" spans="1:28" x14ac:dyDescent="0.3">
      <c r="A26" s="7" t="s">
        <v>108</v>
      </c>
      <c r="B26" s="7" t="s">
        <v>100</v>
      </c>
      <c r="C26" s="12">
        <v>0</v>
      </c>
      <c r="D26" s="12">
        <v>0.17</v>
      </c>
      <c r="E26" s="12">
        <v>0.17</v>
      </c>
      <c r="F26" s="12">
        <v>0.17</v>
      </c>
      <c r="G26" s="12">
        <v>0.17</v>
      </c>
      <c r="H26" s="12">
        <v>0.17</v>
      </c>
      <c r="I26" s="12">
        <v>0.17</v>
      </c>
      <c r="J26" s="12">
        <v>0.17</v>
      </c>
      <c r="K26" s="12">
        <v>0.17</v>
      </c>
      <c r="L26" s="12">
        <v>0.17</v>
      </c>
      <c r="M26" s="12">
        <v>0.17</v>
      </c>
      <c r="N26" s="12">
        <v>0.17</v>
      </c>
      <c r="O26" s="12">
        <v>0.17</v>
      </c>
      <c r="P26" s="12">
        <v>0.17</v>
      </c>
      <c r="Q26" s="12">
        <v>0.17</v>
      </c>
      <c r="R26" s="12">
        <v>0.17</v>
      </c>
      <c r="S26" s="12">
        <v>0.17</v>
      </c>
      <c r="T26" s="12">
        <v>0.17</v>
      </c>
      <c r="U26" s="12">
        <v>0.17</v>
      </c>
      <c r="V26" s="12">
        <v>0.17</v>
      </c>
      <c r="W26" s="12">
        <v>0.17</v>
      </c>
      <c r="X26" s="13">
        <f t="shared" si="4"/>
        <v>0.17</v>
      </c>
      <c r="Y26" s="13">
        <f t="shared" si="5"/>
        <v>0.17</v>
      </c>
      <c r="Z26" s="13">
        <f t="shared" si="6"/>
        <v>0.17</v>
      </c>
      <c r="AA26" s="13">
        <f t="shared" si="7"/>
        <v>0.17</v>
      </c>
      <c r="AB26" s="13">
        <f t="shared" si="8"/>
        <v>0.17</v>
      </c>
    </row>
    <row r="27" spans="1:28" x14ac:dyDescent="0.3">
      <c r="A27" s="7" t="s">
        <v>109</v>
      </c>
      <c r="B27" s="7" t="s">
        <v>100</v>
      </c>
      <c r="C27" s="12">
        <v>0</v>
      </c>
      <c r="D27" s="12">
        <v>0.11</v>
      </c>
      <c r="E27" s="12">
        <v>0.11</v>
      </c>
      <c r="F27" s="12">
        <v>0.11</v>
      </c>
      <c r="G27" s="12">
        <v>0.11</v>
      </c>
      <c r="H27" s="12">
        <v>0.11</v>
      </c>
      <c r="I27" s="12">
        <v>0.11</v>
      </c>
      <c r="J27" s="12">
        <v>0.11</v>
      </c>
      <c r="K27" s="12">
        <v>0.11</v>
      </c>
      <c r="L27" s="12">
        <v>0.11</v>
      </c>
      <c r="M27" s="12">
        <v>0.11</v>
      </c>
      <c r="N27" s="12">
        <v>0.11</v>
      </c>
      <c r="O27" s="12">
        <v>0.11</v>
      </c>
      <c r="P27" s="12">
        <v>0.11</v>
      </c>
      <c r="Q27" s="12">
        <v>0.11</v>
      </c>
      <c r="R27" s="12">
        <v>0.11</v>
      </c>
      <c r="S27" s="12">
        <v>0.11</v>
      </c>
      <c r="T27" s="12">
        <v>0.11</v>
      </c>
      <c r="U27" s="12">
        <v>0.11</v>
      </c>
      <c r="V27" s="12">
        <v>0.11</v>
      </c>
      <c r="W27" s="12">
        <v>0.11</v>
      </c>
      <c r="X27" s="13">
        <f t="shared" si="4"/>
        <v>0.11</v>
      </c>
      <c r="Y27" s="13">
        <f t="shared" si="5"/>
        <v>0.11</v>
      </c>
      <c r="Z27" s="13">
        <f t="shared" si="6"/>
        <v>0.11</v>
      </c>
      <c r="AA27" s="13">
        <f t="shared" si="7"/>
        <v>0.11</v>
      </c>
      <c r="AB27" s="13">
        <f t="shared" si="8"/>
        <v>0.11</v>
      </c>
    </row>
    <row r="28" spans="1:28" x14ac:dyDescent="0.3">
      <c r="A28" s="7" t="s">
        <v>110</v>
      </c>
      <c r="B28" s="7" t="s">
        <v>100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0.05</v>
      </c>
      <c r="I28" s="12">
        <v>0.05</v>
      </c>
      <c r="J28" s="12">
        <v>0.05</v>
      </c>
      <c r="K28" s="12">
        <v>0.05</v>
      </c>
      <c r="L28" s="12">
        <v>0.05</v>
      </c>
      <c r="M28" s="12">
        <v>0.05</v>
      </c>
      <c r="N28" s="12">
        <v>7.0000000000000007E-2</v>
      </c>
      <c r="O28" s="12">
        <v>7.0000000000000007E-2</v>
      </c>
      <c r="P28" s="12">
        <v>7.0000000000000007E-2</v>
      </c>
      <c r="Q28" s="12">
        <v>7.0000000000000007E-2</v>
      </c>
      <c r="R28" s="12">
        <v>7.0000000000000007E-2</v>
      </c>
      <c r="S28" s="12">
        <v>7.0000000000000007E-2</v>
      </c>
      <c r="T28" s="12">
        <v>7.0000000000000007E-2</v>
      </c>
      <c r="U28" s="12">
        <v>7.0000000000000007E-2</v>
      </c>
      <c r="V28" s="12">
        <v>7.0000000000000007E-2</v>
      </c>
      <c r="W28" s="12">
        <v>7.0000000000000007E-2</v>
      </c>
      <c r="X28" s="13">
        <f t="shared" si="4"/>
        <v>0</v>
      </c>
      <c r="Y28" s="13">
        <f t="shared" si="5"/>
        <v>0.05</v>
      </c>
      <c r="Z28" s="13">
        <f t="shared" si="6"/>
        <v>6.0000000000000005E-2</v>
      </c>
      <c r="AA28" s="13">
        <f t="shared" si="7"/>
        <v>7.0000000000000007E-2</v>
      </c>
      <c r="AB28" s="13">
        <f t="shared" si="8"/>
        <v>7.0000000000000007E-2</v>
      </c>
    </row>
  </sheetData>
  <mergeCells count="3">
    <mergeCell ref="A6:AB6"/>
    <mergeCell ref="A7:AB7"/>
    <mergeCell ref="A16:A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AB86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14" width="16" customWidth="1"/>
    <col min="15" max="28" width="14" customWidth="1"/>
  </cols>
  <sheetData>
    <row r="1" spans="1:28" ht="21" x14ac:dyDescent="0.4">
      <c r="A1" s="1" t="s">
        <v>111</v>
      </c>
    </row>
    <row r="2" spans="1:28" x14ac:dyDescent="0.3">
      <c r="A2" s="2" t="s">
        <v>112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46163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1" t="s">
        <v>113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 spans="1:28" x14ac:dyDescent="0.3">
      <c r="A7" t="s">
        <v>114</v>
      </c>
      <c r="B7" t="s">
        <v>115</v>
      </c>
    </row>
    <row r="8" spans="1:28" x14ac:dyDescent="0.3">
      <c r="A8" t="s">
        <v>116</v>
      </c>
      <c r="B8" t="s">
        <v>117</v>
      </c>
    </row>
    <row r="9" spans="1:28" x14ac:dyDescent="0.3">
      <c r="A9" t="s">
        <v>118</v>
      </c>
      <c r="B9" t="s">
        <v>119</v>
      </c>
    </row>
    <row r="10" spans="1:28" x14ac:dyDescent="0.3">
      <c r="A10" t="s">
        <v>120</v>
      </c>
      <c r="B10">
        <v>1.2</v>
      </c>
    </row>
    <row r="11" spans="1:28" x14ac:dyDescent="0.3">
      <c r="A11" t="s">
        <v>121</v>
      </c>
      <c r="B11">
        <v>4800</v>
      </c>
    </row>
    <row r="12" spans="1:28" x14ac:dyDescent="0.3">
      <c r="A12" t="s">
        <v>122</v>
      </c>
      <c r="B12">
        <v>0.1</v>
      </c>
    </row>
    <row r="14" spans="1:28" x14ac:dyDescent="0.3">
      <c r="A14" s="51" t="s">
        <v>123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 spans="1:28" x14ac:dyDescent="0.3">
      <c r="A15" s="20" t="s">
        <v>124</v>
      </c>
      <c r="B15" s="20" t="s">
        <v>125</v>
      </c>
      <c r="C15" s="22">
        <f>SUMIFS($G$27:$G$86,$A$27:$A$86,0)</f>
        <v>0</v>
      </c>
      <c r="D15" s="22">
        <f>SUMIFS($G$27:$G$86,$A$27:$A$86,1)</f>
        <v>10</v>
      </c>
      <c r="E15" s="22">
        <f>SUMIFS($G$27:$G$86,$A$27:$A$86,2)</f>
        <v>10</v>
      </c>
      <c r="F15" s="22">
        <f>SUMIFS($G$27:$G$86,$A$27:$A$86,3)</f>
        <v>10</v>
      </c>
      <c r="G15" s="22">
        <f>SUMIFS($G$27:$G$86,$A$27:$A$86,4)</f>
        <v>10</v>
      </c>
      <c r="H15" s="22">
        <f>SUMIFS($G$27:$G$86,$A$27:$A$86,5)</f>
        <v>10</v>
      </c>
      <c r="I15" s="22">
        <f>SUMIFS($G$27:$G$86,$A$27:$A$86,6)</f>
        <v>10</v>
      </c>
      <c r="J15" s="22">
        <f>SUMIFS($G$27:$G$86,$A$27:$A$86,7)</f>
        <v>10</v>
      </c>
      <c r="K15" s="22">
        <f>SUMIFS($G$27:$G$86,$A$27:$A$86,8)</f>
        <v>10</v>
      </c>
      <c r="L15" s="22">
        <f>SUMIFS($G$27:$G$86,$A$27:$A$86,9)</f>
        <v>10</v>
      </c>
      <c r="M15" s="22">
        <f>SUMIFS($G$27:$G$86,$A$27:$A$86,10)</f>
        <v>10</v>
      </c>
      <c r="N15" s="22">
        <f>SUMIFS($G$27:$G$86,$A$27:$A$86,11)</f>
        <v>10</v>
      </c>
      <c r="O15" s="22">
        <f>SUMIFS($G$27:$G$86,$A$27:$A$86,12)</f>
        <v>10</v>
      </c>
      <c r="P15" s="22">
        <f>SUMIFS($G$27:$G$86,$A$27:$A$86,13)</f>
        <v>10</v>
      </c>
      <c r="Q15" s="22">
        <f>SUMIFS($G$27:$G$86,$A$27:$A$86,14)</f>
        <v>10</v>
      </c>
      <c r="R15" s="22">
        <f>SUMIFS($G$27:$G$86,$A$27:$A$86,15)</f>
        <v>10</v>
      </c>
      <c r="S15" s="22">
        <f>SUMIFS($G$27:$G$86,$A$27:$A$86,16)</f>
        <v>10</v>
      </c>
      <c r="T15" s="22">
        <f>SUMIFS($G$27:$G$86,$A$27:$A$86,17)</f>
        <v>10</v>
      </c>
      <c r="U15" s="22">
        <f>SUMIFS($G$27:$G$86,$A$27:$A$86,18)</f>
        <v>10</v>
      </c>
      <c r="V15" s="22">
        <f>SUMIFS($G$27:$G$86,$A$27:$A$86,19)</f>
        <v>10</v>
      </c>
      <c r="W15" s="22">
        <f>SUMIFS($G$27:$G$86,$A$27:$A$86,20)</f>
        <v>10</v>
      </c>
      <c r="X15" s="22">
        <f>G15</f>
        <v>10</v>
      </c>
      <c r="Y15" s="22">
        <f>K15</f>
        <v>10</v>
      </c>
      <c r="Z15" s="22">
        <f>O15</f>
        <v>10</v>
      </c>
      <c r="AA15" s="22">
        <f>S15</f>
        <v>10</v>
      </c>
      <c r="AB15" s="22">
        <f>W15</f>
        <v>10</v>
      </c>
    </row>
    <row r="16" spans="1:28" x14ac:dyDescent="0.3">
      <c r="A16" s="20" t="s">
        <v>126</v>
      </c>
      <c r="B16" s="20" t="s">
        <v>125</v>
      </c>
      <c r="C16" s="22">
        <f>SUMIFS($H$27:$H$86,$A$27:$A$86,0)</f>
        <v>0</v>
      </c>
      <c r="D16" s="22">
        <f>SUMIFS($H$27:$H$86,$A$27:$A$86,1)</f>
        <v>10</v>
      </c>
      <c r="E16" s="22">
        <f>SUMIFS($H$27:$H$86,$A$27:$A$86,2)</f>
        <v>10</v>
      </c>
      <c r="F16" s="22">
        <f>SUMIFS($H$27:$H$86,$A$27:$A$86,3)</f>
        <v>10</v>
      </c>
      <c r="G16" s="22">
        <f>SUMIFS($H$27:$H$86,$A$27:$A$86,4)</f>
        <v>10</v>
      </c>
      <c r="H16" s="22">
        <f>SUMIFS($H$27:$H$86,$A$27:$A$86,5)</f>
        <v>10</v>
      </c>
      <c r="I16" s="22">
        <f>SUMIFS($H$27:$H$86,$A$27:$A$86,6)</f>
        <v>10</v>
      </c>
      <c r="J16" s="22">
        <f>SUMIFS($H$27:$H$86,$A$27:$A$86,7)</f>
        <v>10</v>
      </c>
      <c r="K16" s="22">
        <f>SUMIFS($H$27:$H$86,$A$27:$A$86,8)</f>
        <v>10</v>
      </c>
      <c r="L16" s="22">
        <f>SUMIFS($H$27:$H$86,$A$27:$A$86,9)</f>
        <v>10</v>
      </c>
      <c r="M16" s="22">
        <f>SUMIFS($H$27:$H$86,$A$27:$A$86,10)</f>
        <v>10</v>
      </c>
      <c r="N16" s="22">
        <f>SUMIFS($H$27:$H$86,$A$27:$A$86,11)</f>
        <v>10</v>
      </c>
      <c r="O16" s="22">
        <f>SUMIFS($H$27:$H$86,$A$27:$A$86,12)</f>
        <v>10</v>
      </c>
      <c r="P16" s="22">
        <f>SUMIFS($H$27:$H$86,$A$27:$A$86,13)</f>
        <v>10</v>
      </c>
      <c r="Q16" s="22">
        <f>SUMIFS($H$27:$H$86,$A$27:$A$86,14)</f>
        <v>10</v>
      </c>
      <c r="R16" s="22">
        <f>SUMIFS($H$27:$H$86,$A$27:$A$86,15)</f>
        <v>10</v>
      </c>
      <c r="S16" s="22">
        <f>SUMIFS($H$27:$H$86,$A$27:$A$86,16)</f>
        <v>10</v>
      </c>
      <c r="T16" s="22">
        <f>SUMIFS($H$27:$H$86,$A$27:$A$86,17)</f>
        <v>10</v>
      </c>
      <c r="U16" s="22">
        <f>SUMIFS($H$27:$H$86,$A$27:$A$86,18)</f>
        <v>10</v>
      </c>
      <c r="V16" s="22">
        <f>SUMIFS($H$27:$H$86,$A$27:$A$86,19)</f>
        <v>10</v>
      </c>
      <c r="W16" s="22">
        <f>SUMIFS($H$27:$H$86,$A$27:$A$86,20)</f>
        <v>10</v>
      </c>
      <c r="X16" s="22">
        <f>AVERAGE(D16:G16)</f>
        <v>10</v>
      </c>
      <c r="Y16" s="22">
        <f>AVERAGE(H16:K16)</f>
        <v>10</v>
      </c>
      <c r="Z16" s="22">
        <f>AVERAGE(L16:O16)</f>
        <v>10</v>
      </c>
      <c r="AA16" s="22">
        <f>AVERAGE(P16:S16)</f>
        <v>10</v>
      </c>
      <c r="AB16" s="22">
        <f>AVERAGE(T16:W16)</f>
        <v>10</v>
      </c>
    </row>
    <row r="17" spans="1:28" x14ac:dyDescent="0.3">
      <c r="A17" s="23" t="s">
        <v>127</v>
      </c>
      <c r="B17" s="23" t="s">
        <v>125</v>
      </c>
      <c r="C17" s="24">
        <f>SUMIFS($M$27:$M$86,$A$27:$A$86,0)</f>
        <v>0</v>
      </c>
      <c r="D17" s="24">
        <f>SUMIFS($M$27:$M$86,$A$27:$A$86,1)</f>
        <v>388523.5</v>
      </c>
      <c r="E17" s="24">
        <f>SUMIFS($M$27:$M$86,$A$27:$A$86,2)</f>
        <v>388523.5</v>
      </c>
      <c r="F17" s="24">
        <f>SUMIFS($M$27:$M$86,$A$27:$A$86,3)</f>
        <v>388523.5</v>
      </c>
      <c r="G17" s="24">
        <f>SUMIFS($M$27:$M$86,$A$27:$A$86,4)</f>
        <v>388523.5</v>
      </c>
      <c r="H17" s="24">
        <f>SUMIFS($M$27:$M$86,$A$27:$A$86,5)</f>
        <v>400179.40500000003</v>
      </c>
      <c r="I17" s="24">
        <f>SUMIFS($M$27:$M$86,$A$27:$A$86,6)</f>
        <v>400179.40500000003</v>
      </c>
      <c r="J17" s="24">
        <f>SUMIFS($M$27:$M$86,$A$27:$A$86,7)</f>
        <v>400179.40500000003</v>
      </c>
      <c r="K17" s="24">
        <f>SUMIFS($M$27:$M$86,$A$27:$A$86,8)</f>
        <v>400179.40500000003</v>
      </c>
      <c r="L17" s="24">
        <f>SUMIFS($M$27:$M$86,$A$27:$A$86,9)</f>
        <v>412184.97499999998</v>
      </c>
      <c r="M17" s="24">
        <f>SUMIFS($M$27:$M$86,$A$27:$A$86,10)</f>
        <v>412184.97499999998</v>
      </c>
      <c r="N17" s="24">
        <f>SUMIFS($M$27:$M$86,$A$27:$A$86,11)</f>
        <v>412184.97499999998</v>
      </c>
      <c r="O17" s="24">
        <f>SUMIFS($M$27:$M$86,$A$27:$A$86,12)</f>
        <v>412184.97499999998</v>
      </c>
      <c r="P17" s="24">
        <f>SUMIFS($M$27:$M$86,$A$27:$A$86,13)</f>
        <v>424549.84499999997</v>
      </c>
      <c r="Q17" s="24">
        <f>SUMIFS($M$27:$M$86,$A$27:$A$86,14)</f>
        <v>424549.84499999997</v>
      </c>
      <c r="R17" s="24">
        <f>SUMIFS($M$27:$M$86,$A$27:$A$86,15)</f>
        <v>424549.84499999997</v>
      </c>
      <c r="S17" s="24">
        <f>SUMIFS($M$27:$M$86,$A$27:$A$86,16)</f>
        <v>424549.84499999997</v>
      </c>
      <c r="T17" s="24">
        <f>SUMIFS($M$27:$M$86,$A$27:$A$86,17)</f>
        <v>437286.45500000002</v>
      </c>
      <c r="U17" s="24">
        <f>SUMIFS($M$27:$M$86,$A$27:$A$86,18)</f>
        <v>437286.45500000002</v>
      </c>
      <c r="V17" s="24">
        <f>SUMIFS($M$27:$M$86,$A$27:$A$86,19)</f>
        <v>437286.45500000002</v>
      </c>
      <c r="W17" s="24">
        <f>SUMIFS($M$27:$M$86,$A$27:$A$86,20)</f>
        <v>437286.45500000002</v>
      </c>
      <c r="X17" s="24">
        <f>SUM(D17:G17)</f>
        <v>1554094</v>
      </c>
      <c r="Y17" s="24">
        <f>SUM(H17:K17)</f>
        <v>1600717.62</v>
      </c>
      <c r="Z17" s="24">
        <f>SUM(L17:O17)</f>
        <v>1648739.9</v>
      </c>
      <c r="AA17" s="24">
        <f>SUM(P17:S17)</f>
        <v>1698199.38</v>
      </c>
      <c r="AB17" s="24">
        <f>SUM(T17:W17)</f>
        <v>1749145.82</v>
      </c>
    </row>
    <row r="18" spans="1:28" x14ac:dyDescent="0.3">
      <c r="A18" s="20" t="s">
        <v>94</v>
      </c>
      <c r="B18" s="20" t="s">
        <v>128</v>
      </c>
      <c r="C18" s="25">
        <f>'Revenue Drivers'!C14</f>
        <v>22113000</v>
      </c>
      <c r="D18" s="25">
        <f>'Revenue Drivers'!D14</f>
        <v>4860000</v>
      </c>
      <c r="E18" s="25">
        <f>'Revenue Drivers'!E14</f>
        <v>4928640</v>
      </c>
      <c r="F18" s="25">
        <f>'Revenue Drivers'!F14</f>
        <v>4997760</v>
      </c>
      <c r="G18" s="25">
        <f>'Revenue Drivers'!G14</f>
        <v>5067360</v>
      </c>
      <c r="H18" s="25">
        <f>'Revenue Drivers'!H14</f>
        <v>5137440</v>
      </c>
      <c r="I18" s="25">
        <f>'Revenue Drivers'!I14</f>
        <v>5208000</v>
      </c>
      <c r="J18" s="25">
        <f>'Revenue Drivers'!J14</f>
        <v>5279040</v>
      </c>
      <c r="K18" s="25">
        <f>'Revenue Drivers'!K14</f>
        <v>5350560</v>
      </c>
      <c r="L18" s="25">
        <f>'Revenue Drivers'!L14</f>
        <v>5422560</v>
      </c>
      <c r="M18" s="25">
        <f>'Revenue Drivers'!M14</f>
        <v>5495040</v>
      </c>
      <c r="N18" s="25">
        <f>'Revenue Drivers'!N14</f>
        <v>5568000</v>
      </c>
      <c r="O18" s="25">
        <f>'Revenue Drivers'!O14</f>
        <v>5620382.0971614728</v>
      </c>
      <c r="P18" s="25">
        <f>'Revenue Drivers'!P14</f>
        <v>5673008.1823525913</v>
      </c>
      <c r="Q18" s="25">
        <f>'Revenue Drivers'!Q14</f>
        <v>5725864.3330133278</v>
      </c>
      <c r="R18" s="25">
        <f>'Revenue Drivers'!R14</f>
        <v>5778964.5246103676</v>
      </c>
      <c r="S18" s="25">
        <f>'Revenue Drivers'!S14</f>
        <v>5832294.7287703687</v>
      </c>
      <c r="T18" s="25">
        <f>'Revenue Drivers'!T14</f>
        <v>5885869.0267733289</v>
      </c>
      <c r="U18" s="25">
        <f>'Revenue Drivers'!U14</f>
        <v>5939673.2844325928</v>
      </c>
      <c r="V18" s="25">
        <f>'Revenue Drivers'!V14</f>
        <v>5993721.6888414714</v>
      </c>
      <c r="W18" s="25">
        <f>'Revenue Drivers'!W14</f>
        <v>6048000</v>
      </c>
      <c r="X18" s="25">
        <f>SUM(D18:G18)</f>
        <v>19853760</v>
      </c>
      <c r="Y18" s="25">
        <f>SUM(H18:K18)</f>
        <v>20975040</v>
      </c>
      <c r="Z18" s="25">
        <f>SUM(L18:O18)</f>
        <v>22105982.097161472</v>
      </c>
      <c r="AA18" s="25">
        <f>SUM(P18:S18)</f>
        <v>23010131.768746655</v>
      </c>
      <c r="AB18" s="25">
        <f>SUM(T18:W18)</f>
        <v>23867264.000047393</v>
      </c>
    </row>
    <row r="19" spans="1:28" x14ac:dyDescent="0.3">
      <c r="A19" s="20" t="s">
        <v>92</v>
      </c>
      <c r="B19" s="20" t="s">
        <v>128</v>
      </c>
      <c r="C19" s="22">
        <f>'Revenue Drivers'!C13</f>
        <v>218400</v>
      </c>
      <c r="D19" s="22">
        <f>'Revenue Drivers'!D13</f>
        <v>48000</v>
      </c>
      <c r="E19" s="22">
        <f>'Revenue Drivers'!E13</f>
        <v>48000</v>
      </c>
      <c r="F19" s="22">
        <f>'Revenue Drivers'!F13</f>
        <v>48000</v>
      </c>
      <c r="G19" s="22">
        <f>'Revenue Drivers'!G13</f>
        <v>48000</v>
      </c>
      <c r="H19" s="22">
        <f>'Revenue Drivers'!H13</f>
        <v>48000</v>
      </c>
      <c r="I19" s="22">
        <f>'Revenue Drivers'!I13</f>
        <v>48000</v>
      </c>
      <c r="J19" s="22">
        <f>'Revenue Drivers'!J13</f>
        <v>48000</v>
      </c>
      <c r="K19" s="22">
        <f>'Revenue Drivers'!K13</f>
        <v>48000</v>
      </c>
      <c r="L19" s="22">
        <f>'Revenue Drivers'!L13</f>
        <v>48000</v>
      </c>
      <c r="M19" s="22">
        <f>'Revenue Drivers'!M13</f>
        <v>48000</v>
      </c>
      <c r="N19" s="22">
        <f>'Revenue Drivers'!N13</f>
        <v>48000</v>
      </c>
      <c r="O19" s="22">
        <f>'Revenue Drivers'!O13</f>
        <v>48000</v>
      </c>
      <c r="P19" s="22">
        <f>'Revenue Drivers'!P13</f>
        <v>48000</v>
      </c>
      <c r="Q19" s="22">
        <f>'Revenue Drivers'!Q13</f>
        <v>48000</v>
      </c>
      <c r="R19" s="22">
        <f>'Revenue Drivers'!R13</f>
        <v>48000</v>
      </c>
      <c r="S19" s="22">
        <f>'Revenue Drivers'!S13</f>
        <v>48000</v>
      </c>
      <c r="T19" s="22">
        <f>'Revenue Drivers'!T13</f>
        <v>48000</v>
      </c>
      <c r="U19" s="22">
        <f>'Revenue Drivers'!U13</f>
        <v>48000</v>
      </c>
      <c r="V19" s="22">
        <f>'Revenue Drivers'!V13</f>
        <v>48000</v>
      </c>
      <c r="W19" s="22">
        <f>'Revenue Drivers'!W13</f>
        <v>48000</v>
      </c>
      <c r="X19" s="22">
        <f>SUM(D19:G19)</f>
        <v>192000</v>
      </c>
      <c r="Y19" s="22">
        <f>SUM(H19:K19)</f>
        <v>192000</v>
      </c>
      <c r="Z19" s="22">
        <f>SUM(L19:O19)</f>
        <v>192000</v>
      </c>
      <c r="AA19" s="22">
        <f>SUM(P19:S19)</f>
        <v>192000</v>
      </c>
      <c r="AB19" s="22">
        <f>SUM(T19:W19)</f>
        <v>192000</v>
      </c>
    </row>
    <row r="20" spans="1:28" x14ac:dyDescent="0.3">
      <c r="A20" s="23" t="s">
        <v>129</v>
      </c>
      <c r="B20" s="23" t="s">
        <v>130</v>
      </c>
      <c r="C20" s="24">
        <f t="shared" ref="C20:AB20" si="0">IFERROR(C18/C16,0)</f>
        <v>0</v>
      </c>
      <c r="D20" s="24">
        <f t="shared" si="0"/>
        <v>486000</v>
      </c>
      <c r="E20" s="24">
        <f t="shared" si="0"/>
        <v>492864</v>
      </c>
      <c r="F20" s="24">
        <f t="shared" si="0"/>
        <v>499776</v>
      </c>
      <c r="G20" s="24">
        <f t="shared" si="0"/>
        <v>506736</v>
      </c>
      <c r="H20" s="24">
        <f t="shared" si="0"/>
        <v>513744</v>
      </c>
      <c r="I20" s="24">
        <f t="shared" si="0"/>
        <v>520800</v>
      </c>
      <c r="J20" s="24">
        <f t="shared" si="0"/>
        <v>527904</v>
      </c>
      <c r="K20" s="24">
        <f t="shared" si="0"/>
        <v>535056</v>
      </c>
      <c r="L20" s="24">
        <f t="shared" si="0"/>
        <v>542256</v>
      </c>
      <c r="M20" s="24">
        <f t="shared" si="0"/>
        <v>549504</v>
      </c>
      <c r="N20" s="24">
        <f t="shared" si="0"/>
        <v>556800</v>
      </c>
      <c r="O20" s="24">
        <f t="shared" si="0"/>
        <v>562038.20971614728</v>
      </c>
      <c r="P20" s="24">
        <f t="shared" si="0"/>
        <v>567300.81823525915</v>
      </c>
      <c r="Q20" s="24">
        <f t="shared" si="0"/>
        <v>572586.43330133276</v>
      </c>
      <c r="R20" s="24">
        <f t="shared" si="0"/>
        <v>577896.45246103674</v>
      </c>
      <c r="S20" s="24">
        <f t="shared" si="0"/>
        <v>583229.4728770369</v>
      </c>
      <c r="T20" s="24">
        <f t="shared" si="0"/>
        <v>588586.90267733287</v>
      </c>
      <c r="U20" s="24">
        <f t="shared" si="0"/>
        <v>593967.32844325923</v>
      </c>
      <c r="V20" s="24">
        <f t="shared" si="0"/>
        <v>599372.16888414719</v>
      </c>
      <c r="W20" s="24">
        <f t="shared" si="0"/>
        <v>604800</v>
      </c>
      <c r="X20" s="24">
        <f t="shared" si="0"/>
        <v>1985376</v>
      </c>
      <c r="Y20" s="24">
        <f t="shared" si="0"/>
        <v>2097504</v>
      </c>
      <c r="Z20" s="24">
        <f t="shared" si="0"/>
        <v>2210598.2097161473</v>
      </c>
      <c r="AA20" s="24">
        <f t="shared" si="0"/>
        <v>2301013.1768746655</v>
      </c>
      <c r="AB20" s="24">
        <f t="shared" si="0"/>
        <v>2386726.4000047394</v>
      </c>
    </row>
    <row r="21" spans="1:28" x14ac:dyDescent="0.3">
      <c r="A21" s="23" t="s">
        <v>131</v>
      </c>
      <c r="B21" s="23" t="s">
        <v>130</v>
      </c>
      <c r="C21" s="26">
        <f t="shared" ref="C21:AB21" si="1">IFERROR(C19/C16,0)</f>
        <v>0</v>
      </c>
      <c r="D21" s="26">
        <f t="shared" si="1"/>
        <v>4800</v>
      </c>
      <c r="E21" s="26">
        <f t="shared" si="1"/>
        <v>4800</v>
      </c>
      <c r="F21" s="26">
        <f t="shared" si="1"/>
        <v>4800</v>
      </c>
      <c r="G21" s="26">
        <f t="shared" si="1"/>
        <v>4800</v>
      </c>
      <c r="H21" s="26">
        <f t="shared" si="1"/>
        <v>4800</v>
      </c>
      <c r="I21" s="26">
        <f t="shared" si="1"/>
        <v>4800</v>
      </c>
      <c r="J21" s="26">
        <f t="shared" si="1"/>
        <v>4800</v>
      </c>
      <c r="K21" s="26">
        <f t="shared" si="1"/>
        <v>4800</v>
      </c>
      <c r="L21" s="26">
        <f t="shared" si="1"/>
        <v>4800</v>
      </c>
      <c r="M21" s="26">
        <f t="shared" si="1"/>
        <v>4800</v>
      </c>
      <c r="N21" s="26">
        <f t="shared" si="1"/>
        <v>4800</v>
      </c>
      <c r="O21" s="26">
        <f t="shared" si="1"/>
        <v>4800</v>
      </c>
      <c r="P21" s="26">
        <f t="shared" si="1"/>
        <v>4800</v>
      </c>
      <c r="Q21" s="26">
        <f t="shared" si="1"/>
        <v>4800</v>
      </c>
      <c r="R21" s="26">
        <f t="shared" si="1"/>
        <v>4800</v>
      </c>
      <c r="S21" s="26">
        <f t="shared" si="1"/>
        <v>4800</v>
      </c>
      <c r="T21" s="26">
        <f t="shared" si="1"/>
        <v>4800</v>
      </c>
      <c r="U21" s="26">
        <f t="shared" si="1"/>
        <v>4800</v>
      </c>
      <c r="V21" s="26">
        <f t="shared" si="1"/>
        <v>4800</v>
      </c>
      <c r="W21" s="26">
        <f t="shared" si="1"/>
        <v>4800</v>
      </c>
      <c r="X21" s="26">
        <f t="shared" si="1"/>
        <v>19200</v>
      </c>
      <c r="Y21" s="26">
        <f t="shared" si="1"/>
        <v>19200</v>
      </c>
      <c r="Z21" s="26">
        <f t="shared" si="1"/>
        <v>19200</v>
      </c>
      <c r="AA21" s="26">
        <f t="shared" si="1"/>
        <v>19200</v>
      </c>
      <c r="AB21" s="26">
        <f t="shared" si="1"/>
        <v>19200</v>
      </c>
    </row>
    <row r="22" spans="1:28" x14ac:dyDescent="0.3">
      <c r="A22" s="20" t="s">
        <v>132</v>
      </c>
      <c r="B22" s="20" t="s">
        <v>130</v>
      </c>
      <c r="C22" s="21">
        <f t="shared" ref="C22:AB22" si="2">IFERROR(C17/C18,0)</f>
        <v>0</v>
      </c>
      <c r="D22" s="21">
        <f t="shared" si="2"/>
        <v>7.9943106995884777E-2</v>
      </c>
      <c r="E22" s="21">
        <f t="shared" si="2"/>
        <v>7.8829758310609011E-2</v>
      </c>
      <c r="F22" s="21">
        <f t="shared" si="2"/>
        <v>7.7739527308234094E-2</v>
      </c>
      <c r="G22" s="21">
        <f t="shared" si="2"/>
        <v>7.6671777809352401E-2</v>
      </c>
      <c r="H22" s="21">
        <f t="shared" si="2"/>
        <v>7.7894711179108664E-2</v>
      </c>
      <c r="I22" s="21">
        <f t="shared" si="2"/>
        <v>7.6839363479262679E-2</v>
      </c>
      <c r="J22" s="21">
        <f t="shared" si="2"/>
        <v>7.5805336765775597E-2</v>
      </c>
      <c r="K22" s="21">
        <f t="shared" si="2"/>
        <v>7.479206008343052E-2</v>
      </c>
      <c r="L22" s="21">
        <f t="shared" si="2"/>
        <v>7.6012985564014035E-2</v>
      </c>
      <c r="M22" s="21">
        <f t="shared" si="2"/>
        <v>7.5010368441358027E-2</v>
      </c>
      <c r="N22" s="21">
        <f t="shared" si="2"/>
        <v>7.4027473958333326E-2</v>
      </c>
      <c r="O22" s="21">
        <f t="shared" si="2"/>
        <v>7.3337536109541482E-2</v>
      </c>
      <c r="P22" s="21">
        <f t="shared" si="2"/>
        <v>7.4836811679679177E-2</v>
      </c>
      <c r="Q22" s="21">
        <f t="shared" si="2"/>
        <v>7.4145983961267523E-2</v>
      </c>
      <c r="R22" s="21">
        <f t="shared" si="2"/>
        <v>7.3464691328698581E-2</v>
      </c>
      <c r="S22" s="21">
        <f t="shared" si="2"/>
        <v>7.2792933955432737E-2</v>
      </c>
      <c r="T22" s="21">
        <f t="shared" si="2"/>
        <v>7.4294289086436441E-2</v>
      </c>
      <c r="U22" s="21">
        <f t="shared" si="2"/>
        <v>7.362129768081567E-2</v>
      </c>
      <c r="V22" s="21">
        <f t="shared" si="2"/>
        <v>7.2957417394621013E-2</v>
      </c>
      <c r="W22" s="21">
        <f t="shared" si="2"/>
        <v>7.230265459656085E-2</v>
      </c>
      <c r="X22" s="21">
        <f t="shared" si="2"/>
        <v>7.8277061876440526E-2</v>
      </c>
      <c r="Y22" s="21">
        <f t="shared" si="2"/>
        <v>7.6315354821730977E-2</v>
      </c>
      <c r="Z22" s="21">
        <f t="shared" si="2"/>
        <v>7.458342690921238E-2</v>
      </c>
      <c r="AA22" s="21">
        <f t="shared" si="2"/>
        <v>7.3802244900942587E-2</v>
      </c>
      <c r="AB22" s="21">
        <f t="shared" si="2"/>
        <v>7.3286398474350756E-2</v>
      </c>
    </row>
    <row r="25" spans="1:28" x14ac:dyDescent="0.3">
      <c r="A25" s="51" t="s">
        <v>133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</row>
    <row r="26" spans="1:28" x14ac:dyDescent="0.3">
      <c r="A26" s="27" t="s">
        <v>134</v>
      </c>
      <c r="B26" s="27" t="s">
        <v>135</v>
      </c>
      <c r="C26" s="27" t="s">
        <v>136</v>
      </c>
      <c r="D26" s="27" t="s">
        <v>137</v>
      </c>
      <c r="E26" s="27" t="s">
        <v>138</v>
      </c>
      <c r="F26" s="27" t="s">
        <v>139</v>
      </c>
      <c r="G26" s="27" t="s">
        <v>140</v>
      </c>
      <c r="H26" s="27" t="s">
        <v>141</v>
      </c>
      <c r="I26" s="27" t="s">
        <v>142</v>
      </c>
      <c r="J26" s="27" t="s">
        <v>143</v>
      </c>
      <c r="K26" s="27" t="s">
        <v>144</v>
      </c>
      <c r="L26" s="27" t="s">
        <v>145</v>
      </c>
      <c r="M26" s="27" t="s">
        <v>127</v>
      </c>
      <c r="N26" s="27" t="s">
        <v>146</v>
      </c>
    </row>
    <row r="27" spans="1:28" x14ac:dyDescent="0.3">
      <c r="A27">
        <v>1</v>
      </c>
      <c r="B27" t="s">
        <v>147</v>
      </c>
      <c r="C27" t="s">
        <v>148</v>
      </c>
      <c r="E27" s="28">
        <v>1</v>
      </c>
      <c r="F27" s="28">
        <v>0</v>
      </c>
      <c r="G27" s="29">
        <f t="shared" ref="G27:G58" si="3">E27+F27</f>
        <v>1</v>
      </c>
      <c r="H27" s="29">
        <f t="shared" ref="H27:H58" si="4">(E27+G27)/2</f>
        <v>1</v>
      </c>
      <c r="I27" s="30">
        <v>158130</v>
      </c>
      <c r="J27" s="31">
        <v>0.22</v>
      </c>
      <c r="K27" s="32">
        <f t="shared" ref="K27:K58" si="5">H27*I27/4</f>
        <v>39532.5</v>
      </c>
      <c r="L27" s="32">
        <f t="shared" ref="L27:L58" si="6">K27*J27</f>
        <v>8697.15</v>
      </c>
      <c r="M27" s="32">
        <f t="shared" ref="M27:M58" si="7">K27+L27</f>
        <v>48229.65</v>
      </c>
      <c r="N27" t="s">
        <v>149</v>
      </c>
    </row>
    <row r="28" spans="1:28" x14ac:dyDescent="0.3">
      <c r="A28">
        <v>2</v>
      </c>
      <c r="B28" t="s">
        <v>147</v>
      </c>
      <c r="C28" t="s">
        <v>148</v>
      </c>
      <c r="E28" s="28">
        <v>1</v>
      </c>
      <c r="F28" s="28">
        <v>0</v>
      </c>
      <c r="G28" s="29">
        <f t="shared" si="3"/>
        <v>1</v>
      </c>
      <c r="H28" s="29">
        <f t="shared" si="4"/>
        <v>1</v>
      </c>
      <c r="I28" s="30">
        <v>158130</v>
      </c>
      <c r="J28" s="31">
        <v>0.22</v>
      </c>
      <c r="K28" s="32">
        <f t="shared" si="5"/>
        <v>39532.5</v>
      </c>
      <c r="L28" s="32">
        <f t="shared" si="6"/>
        <v>8697.15</v>
      </c>
      <c r="M28" s="32">
        <f t="shared" si="7"/>
        <v>48229.65</v>
      </c>
      <c r="N28" t="s">
        <v>149</v>
      </c>
    </row>
    <row r="29" spans="1:28" x14ac:dyDescent="0.3">
      <c r="A29">
        <v>3</v>
      </c>
      <c r="B29" t="s">
        <v>147</v>
      </c>
      <c r="C29" t="s">
        <v>148</v>
      </c>
      <c r="E29" s="28">
        <v>1</v>
      </c>
      <c r="F29" s="28">
        <v>0</v>
      </c>
      <c r="G29" s="29">
        <f t="shared" si="3"/>
        <v>1</v>
      </c>
      <c r="H29" s="29">
        <f t="shared" si="4"/>
        <v>1</v>
      </c>
      <c r="I29" s="30">
        <v>158130</v>
      </c>
      <c r="J29" s="31">
        <v>0.22</v>
      </c>
      <c r="K29" s="32">
        <f t="shared" si="5"/>
        <v>39532.5</v>
      </c>
      <c r="L29" s="32">
        <f t="shared" si="6"/>
        <v>8697.15</v>
      </c>
      <c r="M29" s="32">
        <f t="shared" si="7"/>
        <v>48229.65</v>
      </c>
      <c r="N29" t="s">
        <v>149</v>
      </c>
    </row>
    <row r="30" spans="1:28" x14ac:dyDescent="0.3">
      <c r="A30">
        <v>4</v>
      </c>
      <c r="B30" t="s">
        <v>147</v>
      </c>
      <c r="C30" t="s">
        <v>148</v>
      </c>
      <c r="E30" s="28">
        <v>1</v>
      </c>
      <c r="F30" s="28">
        <v>0</v>
      </c>
      <c r="G30" s="29">
        <f t="shared" si="3"/>
        <v>1</v>
      </c>
      <c r="H30" s="29">
        <f t="shared" si="4"/>
        <v>1</v>
      </c>
      <c r="I30" s="30">
        <v>158130</v>
      </c>
      <c r="J30" s="31">
        <v>0.22</v>
      </c>
      <c r="K30" s="32">
        <f t="shared" si="5"/>
        <v>39532.5</v>
      </c>
      <c r="L30" s="32">
        <f t="shared" si="6"/>
        <v>8697.15</v>
      </c>
      <c r="M30" s="32">
        <f t="shared" si="7"/>
        <v>48229.65</v>
      </c>
      <c r="N30" t="s">
        <v>149</v>
      </c>
    </row>
    <row r="31" spans="1:28" x14ac:dyDescent="0.3">
      <c r="A31">
        <v>5</v>
      </c>
      <c r="B31" t="s">
        <v>147</v>
      </c>
      <c r="C31" t="s">
        <v>148</v>
      </c>
      <c r="E31" s="28">
        <v>1</v>
      </c>
      <c r="F31" s="28">
        <v>0</v>
      </c>
      <c r="G31" s="29">
        <f t="shared" si="3"/>
        <v>1</v>
      </c>
      <c r="H31" s="29">
        <f t="shared" si="4"/>
        <v>1</v>
      </c>
      <c r="I31" s="30">
        <v>162874</v>
      </c>
      <c r="J31" s="31">
        <v>0.22</v>
      </c>
      <c r="K31" s="32">
        <f t="shared" si="5"/>
        <v>40718.5</v>
      </c>
      <c r="L31" s="32">
        <f t="shared" si="6"/>
        <v>8958.07</v>
      </c>
      <c r="M31" s="32">
        <f t="shared" si="7"/>
        <v>49676.57</v>
      </c>
      <c r="N31" t="s">
        <v>149</v>
      </c>
    </row>
    <row r="32" spans="1:28" x14ac:dyDescent="0.3">
      <c r="A32">
        <v>6</v>
      </c>
      <c r="B32" t="s">
        <v>147</v>
      </c>
      <c r="C32" t="s">
        <v>148</v>
      </c>
      <c r="E32" s="28">
        <v>1</v>
      </c>
      <c r="F32" s="28">
        <v>0</v>
      </c>
      <c r="G32" s="29">
        <f t="shared" si="3"/>
        <v>1</v>
      </c>
      <c r="H32" s="29">
        <f t="shared" si="4"/>
        <v>1</v>
      </c>
      <c r="I32" s="30">
        <v>162874</v>
      </c>
      <c r="J32" s="31">
        <v>0.22</v>
      </c>
      <c r="K32" s="32">
        <f t="shared" si="5"/>
        <v>40718.5</v>
      </c>
      <c r="L32" s="32">
        <f t="shared" si="6"/>
        <v>8958.07</v>
      </c>
      <c r="M32" s="32">
        <f t="shared" si="7"/>
        <v>49676.57</v>
      </c>
      <c r="N32" t="s">
        <v>149</v>
      </c>
    </row>
    <row r="33" spans="1:14" x14ac:dyDescent="0.3">
      <c r="A33">
        <v>7</v>
      </c>
      <c r="B33" t="s">
        <v>147</v>
      </c>
      <c r="C33" t="s">
        <v>148</v>
      </c>
      <c r="E33" s="28">
        <v>1</v>
      </c>
      <c r="F33" s="28">
        <v>0</v>
      </c>
      <c r="G33" s="29">
        <f t="shared" si="3"/>
        <v>1</v>
      </c>
      <c r="H33" s="29">
        <f t="shared" si="4"/>
        <v>1</v>
      </c>
      <c r="I33" s="30">
        <v>162874</v>
      </c>
      <c r="J33" s="31">
        <v>0.22</v>
      </c>
      <c r="K33" s="32">
        <f t="shared" si="5"/>
        <v>40718.5</v>
      </c>
      <c r="L33" s="32">
        <f t="shared" si="6"/>
        <v>8958.07</v>
      </c>
      <c r="M33" s="32">
        <f t="shared" si="7"/>
        <v>49676.57</v>
      </c>
      <c r="N33" t="s">
        <v>149</v>
      </c>
    </row>
    <row r="34" spans="1:14" x14ac:dyDescent="0.3">
      <c r="A34">
        <v>8</v>
      </c>
      <c r="B34" t="s">
        <v>147</v>
      </c>
      <c r="C34" t="s">
        <v>148</v>
      </c>
      <c r="E34" s="28">
        <v>1</v>
      </c>
      <c r="F34" s="28">
        <v>0</v>
      </c>
      <c r="G34" s="29">
        <f t="shared" si="3"/>
        <v>1</v>
      </c>
      <c r="H34" s="29">
        <f t="shared" si="4"/>
        <v>1</v>
      </c>
      <c r="I34" s="30">
        <v>162874</v>
      </c>
      <c r="J34" s="31">
        <v>0.22</v>
      </c>
      <c r="K34" s="32">
        <f t="shared" si="5"/>
        <v>40718.5</v>
      </c>
      <c r="L34" s="32">
        <f t="shared" si="6"/>
        <v>8958.07</v>
      </c>
      <c r="M34" s="32">
        <f t="shared" si="7"/>
        <v>49676.57</v>
      </c>
      <c r="N34" t="s">
        <v>149</v>
      </c>
    </row>
    <row r="35" spans="1:14" x14ac:dyDescent="0.3">
      <c r="A35">
        <v>9</v>
      </c>
      <c r="B35" t="s">
        <v>147</v>
      </c>
      <c r="C35" t="s">
        <v>148</v>
      </c>
      <c r="E35" s="28">
        <v>1</v>
      </c>
      <c r="F35" s="28">
        <v>0</v>
      </c>
      <c r="G35" s="29">
        <f t="shared" si="3"/>
        <v>1</v>
      </c>
      <c r="H35" s="29">
        <f t="shared" si="4"/>
        <v>1</v>
      </c>
      <c r="I35" s="30">
        <v>167760</v>
      </c>
      <c r="J35" s="31">
        <v>0.22</v>
      </c>
      <c r="K35" s="32">
        <f t="shared" si="5"/>
        <v>41940</v>
      </c>
      <c r="L35" s="32">
        <f t="shared" si="6"/>
        <v>9226.7999999999993</v>
      </c>
      <c r="M35" s="32">
        <f t="shared" si="7"/>
        <v>51166.8</v>
      </c>
      <c r="N35" t="s">
        <v>149</v>
      </c>
    </row>
    <row r="36" spans="1:14" x14ac:dyDescent="0.3">
      <c r="A36">
        <v>10</v>
      </c>
      <c r="B36" t="s">
        <v>147</v>
      </c>
      <c r="C36" t="s">
        <v>148</v>
      </c>
      <c r="E36" s="28">
        <v>1</v>
      </c>
      <c r="F36" s="28">
        <v>0</v>
      </c>
      <c r="G36" s="29">
        <f t="shared" si="3"/>
        <v>1</v>
      </c>
      <c r="H36" s="29">
        <f t="shared" si="4"/>
        <v>1</v>
      </c>
      <c r="I36" s="30">
        <v>167760</v>
      </c>
      <c r="J36" s="31">
        <v>0.22</v>
      </c>
      <c r="K36" s="32">
        <f t="shared" si="5"/>
        <v>41940</v>
      </c>
      <c r="L36" s="32">
        <f t="shared" si="6"/>
        <v>9226.7999999999993</v>
      </c>
      <c r="M36" s="32">
        <f t="shared" si="7"/>
        <v>51166.8</v>
      </c>
      <c r="N36" t="s">
        <v>149</v>
      </c>
    </row>
    <row r="37" spans="1:14" x14ac:dyDescent="0.3">
      <c r="A37">
        <v>11</v>
      </c>
      <c r="B37" t="s">
        <v>147</v>
      </c>
      <c r="C37" t="s">
        <v>148</v>
      </c>
      <c r="E37" s="28">
        <v>1</v>
      </c>
      <c r="F37" s="28">
        <v>0</v>
      </c>
      <c r="G37" s="29">
        <f t="shared" si="3"/>
        <v>1</v>
      </c>
      <c r="H37" s="29">
        <f t="shared" si="4"/>
        <v>1</v>
      </c>
      <c r="I37" s="30">
        <v>167760</v>
      </c>
      <c r="J37" s="31">
        <v>0.22</v>
      </c>
      <c r="K37" s="32">
        <f t="shared" si="5"/>
        <v>41940</v>
      </c>
      <c r="L37" s="32">
        <f t="shared" si="6"/>
        <v>9226.7999999999993</v>
      </c>
      <c r="M37" s="32">
        <f t="shared" si="7"/>
        <v>51166.8</v>
      </c>
      <c r="N37" t="s">
        <v>149</v>
      </c>
    </row>
    <row r="38" spans="1:14" x14ac:dyDescent="0.3">
      <c r="A38">
        <v>12</v>
      </c>
      <c r="B38" t="s">
        <v>147</v>
      </c>
      <c r="C38" t="s">
        <v>148</v>
      </c>
      <c r="E38" s="28">
        <v>1</v>
      </c>
      <c r="F38" s="28">
        <v>0</v>
      </c>
      <c r="G38" s="29">
        <f t="shared" si="3"/>
        <v>1</v>
      </c>
      <c r="H38" s="29">
        <f t="shared" si="4"/>
        <v>1</v>
      </c>
      <c r="I38" s="30">
        <v>167760</v>
      </c>
      <c r="J38" s="31">
        <v>0.22</v>
      </c>
      <c r="K38" s="32">
        <f t="shared" si="5"/>
        <v>41940</v>
      </c>
      <c r="L38" s="32">
        <f t="shared" si="6"/>
        <v>9226.7999999999993</v>
      </c>
      <c r="M38" s="32">
        <f t="shared" si="7"/>
        <v>51166.8</v>
      </c>
      <c r="N38" t="s">
        <v>149</v>
      </c>
    </row>
    <row r="39" spans="1:14" x14ac:dyDescent="0.3">
      <c r="A39">
        <v>13</v>
      </c>
      <c r="B39" t="s">
        <v>147</v>
      </c>
      <c r="C39" t="s">
        <v>148</v>
      </c>
      <c r="E39" s="28">
        <v>1</v>
      </c>
      <c r="F39" s="28">
        <v>0</v>
      </c>
      <c r="G39" s="29">
        <f t="shared" si="3"/>
        <v>1</v>
      </c>
      <c r="H39" s="29">
        <f t="shared" si="4"/>
        <v>1</v>
      </c>
      <c r="I39" s="30">
        <v>172793</v>
      </c>
      <c r="J39" s="31">
        <v>0.22</v>
      </c>
      <c r="K39" s="32">
        <f t="shared" si="5"/>
        <v>43198.25</v>
      </c>
      <c r="L39" s="32">
        <f t="shared" si="6"/>
        <v>9503.6149999999998</v>
      </c>
      <c r="M39" s="32">
        <f t="shared" si="7"/>
        <v>52701.864999999998</v>
      </c>
      <c r="N39" t="s">
        <v>149</v>
      </c>
    </row>
    <row r="40" spans="1:14" x14ac:dyDescent="0.3">
      <c r="A40">
        <v>14</v>
      </c>
      <c r="B40" t="s">
        <v>147</v>
      </c>
      <c r="C40" t="s">
        <v>148</v>
      </c>
      <c r="E40" s="28">
        <v>1</v>
      </c>
      <c r="F40" s="28">
        <v>0</v>
      </c>
      <c r="G40" s="29">
        <f t="shared" si="3"/>
        <v>1</v>
      </c>
      <c r="H40" s="29">
        <f t="shared" si="4"/>
        <v>1</v>
      </c>
      <c r="I40" s="30">
        <v>172793</v>
      </c>
      <c r="J40" s="31">
        <v>0.22</v>
      </c>
      <c r="K40" s="32">
        <f t="shared" si="5"/>
        <v>43198.25</v>
      </c>
      <c r="L40" s="32">
        <f t="shared" si="6"/>
        <v>9503.6149999999998</v>
      </c>
      <c r="M40" s="32">
        <f t="shared" si="7"/>
        <v>52701.864999999998</v>
      </c>
      <c r="N40" t="s">
        <v>149</v>
      </c>
    </row>
    <row r="41" spans="1:14" x14ac:dyDescent="0.3">
      <c r="A41">
        <v>15</v>
      </c>
      <c r="B41" t="s">
        <v>147</v>
      </c>
      <c r="C41" t="s">
        <v>148</v>
      </c>
      <c r="E41" s="28">
        <v>1</v>
      </c>
      <c r="F41" s="28">
        <v>0</v>
      </c>
      <c r="G41" s="29">
        <f t="shared" si="3"/>
        <v>1</v>
      </c>
      <c r="H41" s="29">
        <f t="shared" si="4"/>
        <v>1</v>
      </c>
      <c r="I41" s="30">
        <v>172793</v>
      </c>
      <c r="J41" s="31">
        <v>0.22</v>
      </c>
      <c r="K41" s="32">
        <f t="shared" si="5"/>
        <v>43198.25</v>
      </c>
      <c r="L41" s="32">
        <f t="shared" si="6"/>
        <v>9503.6149999999998</v>
      </c>
      <c r="M41" s="32">
        <f t="shared" si="7"/>
        <v>52701.864999999998</v>
      </c>
      <c r="N41" t="s">
        <v>149</v>
      </c>
    </row>
    <row r="42" spans="1:14" x14ac:dyDescent="0.3">
      <c r="A42">
        <v>16</v>
      </c>
      <c r="B42" t="s">
        <v>147</v>
      </c>
      <c r="C42" t="s">
        <v>148</v>
      </c>
      <c r="E42" s="28">
        <v>1</v>
      </c>
      <c r="F42" s="28">
        <v>0</v>
      </c>
      <c r="G42" s="29">
        <f t="shared" si="3"/>
        <v>1</v>
      </c>
      <c r="H42" s="29">
        <f t="shared" si="4"/>
        <v>1</v>
      </c>
      <c r="I42" s="30">
        <v>172793</v>
      </c>
      <c r="J42" s="31">
        <v>0.22</v>
      </c>
      <c r="K42" s="32">
        <f t="shared" si="5"/>
        <v>43198.25</v>
      </c>
      <c r="L42" s="32">
        <f t="shared" si="6"/>
        <v>9503.6149999999998</v>
      </c>
      <c r="M42" s="32">
        <f t="shared" si="7"/>
        <v>52701.864999999998</v>
      </c>
      <c r="N42" t="s">
        <v>149</v>
      </c>
    </row>
    <row r="43" spans="1:14" x14ac:dyDescent="0.3">
      <c r="A43">
        <v>17</v>
      </c>
      <c r="B43" t="s">
        <v>147</v>
      </c>
      <c r="C43" t="s">
        <v>148</v>
      </c>
      <c r="E43" s="28">
        <v>1</v>
      </c>
      <c r="F43" s="28">
        <v>0</v>
      </c>
      <c r="G43" s="29">
        <f t="shared" si="3"/>
        <v>1</v>
      </c>
      <c r="H43" s="29">
        <f t="shared" si="4"/>
        <v>1</v>
      </c>
      <c r="I43" s="30">
        <v>177977</v>
      </c>
      <c r="J43" s="31">
        <v>0.22</v>
      </c>
      <c r="K43" s="32">
        <f t="shared" si="5"/>
        <v>44494.25</v>
      </c>
      <c r="L43" s="32">
        <f t="shared" si="6"/>
        <v>9788.7350000000006</v>
      </c>
      <c r="M43" s="32">
        <f t="shared" si="7"/>
        <v>54282.985000000001</v>
      </c>
      <c r="N43" t="s">
        <v>149</v>
      </c>
    </row>
    <row r="44" spans="1:14" x14ac:dyDescent="0.3">
      <c r="A44">
        <v>18</v>
      </c>
      <c r="B44" t="s">
        <v>147</v>
      </c>
      <c r="C44" t="s">
        <v>148</v>
      </c>
      <c r="E44" s="28">
        <v>1</v>
      </c>
      <c r="F44" s="28">
        <v>0</v>
      </c>
      <c r="G44" s="29">
        <f t="shared" si="3"/>
        <v>1</v>
      </c>
      <c r="H44" s="29">
        <f t="shared" si="4"/>
        <v>1</v>
      </c>
      <c r="I44" s="30">
        <v>177977</v>
      </c>
      <c r="J44" s="31">
        <v>0.22</v>
      </c>
      <c r="K44" s="32">
        <f t="shared" si="5"/>
        <v>44494.25</v>
      </c>
      <c r="L44" s="32">
        <f t="shared" si="6"/>
        <v>9788.7350000000006</v>
      </c>
      <c r="M44" s="32">
        <f t="shared" si="7"/>
        <v>54282.985000000001</v>
      </c>
      <c r="N44" t="s">
        <v>149</v>
      </c>
    </row>
    <row r="45" spans="1:14" x14ac:dyDescent="0.3">
      <c r="A45">
        <v>19</v>
      </c>
      <c r="B45" t="s">
        <v>147</v>
      </c>
      <c r="C45" t="s">
        <v>148</v>
      </c>
      <c r="E45" s="28">
        <v>1</v>
      </c>
      <c r="F45" s="28">
        <v>0</v>
      </c>
      <c r="G45" s="29">
        <f t="shared" si="3"/>
        <v>1</v>
      </c>
      <c r="H45" s="29">
        <f t="shared" si="4"/>
        <v>1</v>
      </c>
      <c r="I45" s="30">
        <v>177977</v>
      </c>
      <c r="J45" s="31">
        <v>0.22</v>
      </c>
      <c r="K45" s="32">
        <f t="shared" si="5"/>
        <v>44494.25</v>
      </c>
      <c r="L45" s="32">
        <f t="shared" si="6"/>
        <v>9788.7350000000006</v>
      </c>
      <c r="M45" s="32">
        <f t="shared" si="7"/>
        <v>54282.985000000001</v>
      </c>
      <c r="N45" t="s">
        <v>149</v>
      </c>
    </row>
    <row r="46" spans="1:14" x14ac:dyDescent="0.3">
      <c r="A46">
        <v>20</v>
      </c>
      <c r="B46" t="s">
        <v>147</v>
      </c>
      <c r="C46" t="s">
        <v>148</v>
      </c>
      <c r="E46" s="28">
        <v>1</v>
      </c>
      <c r="F46" s="28">
        <v>0</v>
      </c>
      <c r="G46" s="29">
        <f t="shared" si="3"/>
        <v>1</v>
      </c>
      <c r="H46" s="29">
        <f t="shared" si="4"/>
        <v>1</v>
      </c>
      <c r="I46" s="30">
        <v>177977</v>
      </c>
      <c r="J46" s="31">
        <v>0.22</v>
      </c>
      <c r="K46" s="32">
        <f t="shared" si="5"/>
        <v>44494.25</v>
      </c>
      <c r="L46" s="32">
        <f t="shared" si="6"/>
        <v>9788.7350000000006</v>
      </c>
      <c r="M46" s="32">
        <f t="shared" si="7"/>
        <v>54282.985000000001</v>
      </c>
      <c r="N46" t="s">
        <v>149</v>
      </c>
    </row>
    <row r="47" spans="1:14" x14ac:dyDescent="0.3">
      <c r="A47">
        <v>1</v>
      </c>
      <c r="B47" t="s">
        <v>147</v>
      </c>
      <c r="C47" t="s">
        <v>150</v>
      </c>
      <c r="E47" s="28">
        <v>1</v>
      </c>
      <c r="F47" s="28">
        <v>0</v>
      </c>
      <c r="G47" s="29">
        <f t="shared" si="3"/>
        <v>1</v>
      </c>
      <c r="H47" s="29">
        <f t="shared" si="4"/>
        <v>1</v>
      </c>
      <c r="I47" s="30">
        <v>122570</v>
      </c>
      <c r="J47" s="31">
        <v>0.22</v>
      </c>
      <c r="K47" s="32">
        <f t="shared" si="5"/>
        <v>30642.5</v>
      </c>
      <c r="L47" s="32">
        <f t="shared" si="6"/>
        <v>6741.35</v>
      </c>
      <c r="M47" s="32">
        <f t="shared" si="7"/>
        <v>37383.85</v>
      </c>
      <c r="N47" t="s">
        <v>151</v>
      </c>
    </row>
    <row r="48" spans="1:14" x14ac:dyDescent="0.3">
      <c r="A48">
        <v>2</v>
      </c>
      <c r="B48" t="s">
        <v>147</v>
      </c>
      <c r="C48" t="s">
        <v>150</v>
      </c>
      <c r="E48" s="28">
        <v>1</v>
      </c>
      <c r="F48" s="28">
        <v>0</v>
      </c>
      <c r="G48" s="29">
        <f t="shared" si="3"/>
        <v>1</v>
      </c>
      <c r="H48" s="29">
        <f t="shared" si="4"/>
        <v>1</v>
      </c>
      <c r="I48" s="30">
        <v>122570</v>
      </c>
      <c r="J48" s="31">
        <v>0.22</v>
      </c>
      <c r="K48" s="32">
        <f t="shared" si="5"/>
        <v>30642.5</v>
      </c>
      <c r="L48" s="32">
        <f t="shared" si="6"/>
        <v>6741.35</v>
      </c>
      <c r="M48" s="32">
        <f t="shared" si="7"/>
        <v>37383.85</v>
      </c>
      <c r="N48" t="s">
        <v>151</v>
      </c>
    </row>
    <row r="49" spans="1:14" x14ac:dyDescent="0.3">
      <c r="A49">
        <v>3</v>
      </c>
      <c r="B49" t="s">
        <v>147</v>
      </c>
      <c r="C49" t="s">
        <v>150</v>
      </c>
      <c r="E49" s="28">
        <v>1</v>
      </c>
      <c r="F49" s="28">
        <v>0</v>
      </c>
      <c r="G49" s="29">
        <f t="shared" si="3"/>
        <v>1</v>
      </c>
      <c r="H49" s="29">
        <f t="shared" si="4"/>
        <v>1</v>
      </c>
      <c r="I49" s="30">
        <v>122570</v>
      </c>
      <c r="J49" s="31">
        <v>0.22</v>
      </c>
      <c r="K49" s="32">
        <f t="shared" si="5"/>
        <v>30642.5</v>
      </c>
      <c r="L49" s="32">
        <f t="shared" si="6"/>
        <v>6741.35</v>
      </c>
      <c r="M49" s="32">
        <f t="shared" si="7"/>
        <v>37383.85</v>
      </c>
      <c r="N49" t="s">
        <v>151</v>
      </c>
    </row>
    <row r="50" spans="1:14" x14ac:dyDescent="0.3">
      <c r="A50">
        <v>4</v>
      </c>
      <c r="B50" t="s">
        <v>147</v>
      </c>
      <c r="C50" t="s">
        <v>150</v>
      </c>
      <c r="E50" s="28">
        <v>1</v>
      </c>
      <c r="F50" s="28">
        <v>0</v>
      </c>
      <c r="G50" s="29">
        <f t="shared" si="3"/>
        <v>1</v>
      </c>
      <c r="H50" s="29">
        <f t="shared" si="4"/>
        <v>1</v>
      </c>
      <c r="I50" s="30">
        <v>122570</v>
      </c>
      <c r="J50" s="31">
        <v>0.22</v>
      </c>
      <c r="K50" s="32">
        <f t="shared" si="5"/>
        <v>30642.5</v>
      </c>
      <c r="L50" s="32">
        <f t="shared" si="6"/>
        <v>6741.35</v>
      </c>
      <c r="M50" s="32">
        <f t="shared" si="7"/>
        <v>37383.85</v>
      </c>
      <c r="N50" t="s">
        <v>151</v>
      </c>
    </row>
    <row r="51" spans="1:14" x14ac:dyDescent="0.3">
      <c r="A51">
        <v>5</v>
      </c>
      <c r="B51" t="s">
        <v>147</v>
      </c>
      <c r="C51" t="s">
        <v>150</v>
      </c>
      <c r="E51" s="28">
        <v>1</v>
      </c>
      <c r="F51" s="28">
        <v>0</v>
      </c>
      <c r="G51" s="29">
        <f t="shared" si="3"/>
        <v>1</v>
      </c>
      <c r="H51" s="29">
        <f t="shared" si="4"/>
        <v>1</v>
      </c>
      <c r="I51" s="30">
        <v>126247</v>
      </c>
      <c r="J51" s="31">
        <v>0.22</v>
      </c>
      <c r="K51" s="32">
        <f t="shared" si="5"/>
        <v>31561.75</v>
      </c>
      <c r="L51" s="32">
        <f t="shared" si="6"/>
        <v>6943.585</v>
      </c>
      <c r="M51" s="32">
        <f t="shared" si="7"/>
        <v>38505.334999999999</v>
      </c>
      <c r="N51" t="s">
        <v>151</v>
      </c>
    </row>
    <row r="52" spans="1:14" x14ac:dyDescent="0.3">
      <c r="A52">
        <v>6</v>
      </c>
      <c r="B52" t="s">
        <v>147</v>
      </c>
      <c r="C52" t="s">
        <v>150</v>
      </c>
      <c r="E52" s="28">
        <v>1</v>
      </c>
      <c r="F52" s="28">
        <v>0</v>
      </c>
      <c r="G52" s="29">
        <f t="shared" si="3"/>
        <v>1</v>
      </c>
      <c r="H52" s="29">
        <f t="shared" si="4"/>
        <v>1</v>
      </c>
      <c r="I52" s="30">
        <v>126247</v>
      </c>
      <c r="J52" s="31">
        <v>0.22</v>
      </c>
      <c r="K52" s="32">
        <f t="shared" si="5"/>
        <v>31561.75</v>
      </c>
      <c r="L52" s="32">
        <f t="shared" si="6"/>
        <v>6943.585</v>
      </c>
      <c r="M52" s="32">
        <f t="shared" si="7"/>
        <v>38505.334999999999</v>
      </c>
      <c r="N52" t="s">
        <v>151</v>
      </c>
    </row>
    <row r="53" spans="1:14" x14ac:dyDescent="0.3">
      <c r="A53">
        <v>7</v>
      </c>
      <c r="B53" t="s">
        <v>147</v>
      </c>
      <c r="C53" t="s">
        <v>150</v>
      </c>
      <c r="E53" s="28">
        <v>1</v>
      </c>
      <c r="F53" s="28">
        <v>0</v>
      </c>
      <c r="G53" s="29">
        <f t="shared" si="3"/>
        <v>1</v>
      </c>
      <c r="H53" s="29">
        <f t="shared" si="4"/>
        <v>1</v>
      </c>
      <c r="I53" s="30">
        <v>126247</v>
      </c>
      <c r="J53" s="31">
        <v>0.22</v>
      </c>
      <c r="K53" s="32">
        <f t="shared" si="5"/>
        <v>31561.75</v>
      </c>
      <c r="L53" s="32">
        <f t="shared" si="6"/>
        <v>6943.585</v>
      </c>
      <c r="M53" s="32">
        <f t="shared" si="7"/>
        <v>38505.334999999999</v>
      </c>
      <c r="N53" t="s">
        <v>151</v>
      </c>
    </row>
    <row r="54" spans="1:14" x14ac:dyDescent="0.3">
      <c r="A54">
        <v>8</v>
      </c>
      <c r="B54" t="s">
        <v>147</v>
      </c>
      <c r="C54" t="s">
        <v>150</v>
      </c>
      <c r="E54" s="28">
        <v>1</v>
      </c>
      <c r="F54" s="28">
        <v>0</v>
      </c>
      <c r="G54" s="29">
        <f t="shared" si="3"/>
        <v>1</v>
      </c>
      <c r="H54" s="29">
        <f t="shared" si="4"/>
        <v>1</v>
      </c>
      <c r="I54" s="30">
        <v>126247</v>
      </c>
      <c r="J54" s="31">
        <v>0.22</v>
      </c>
      <c r="K54" s="32">
        <f t="shared" si="5"/>
        <v>31561.75</v>
      </c>
      <c r="L54" s="32">
        <f t="shared" si="6"/>
        <v>6943.585</v>
      </c>
      <c r="M54" s="32">
        <f t="shared" si="7"/>
        <v>38505.334999999999</v>
      </c>
      <c r="N54" t="s">
        <v>151</v>
      </c>
    </row>
    <row r="55" spans="1:14" x14ac:dyDescent="0.3">
      <c r="A55">
        <v>9</v>
      </c>
      <c r="B55" t="s">
        <v>147</v>
      </c>
      <c r="C55" t="s">
        <v>150</v>
      </c>
      <c r="E55" s="28">
        <v>1</v>
      </c>
      <c r="F55" s="28">
        <v>0</v>
      </c>
      <c r="G55" s="29">
        <f t="shared" si="3"/>
        <v>1</v>
      </c>
      <c r="H55" s="29">
        <f t="shared" si="4"/>
        <v>1</v>
      </c>
      <c r="I55" s="30">
        <v>130035</v>
      </c>
      <c r="J55" s="31">
        <v>0.22</v>
      </c>
      <c r="K55" s="32">
        <f t="shared" si="5"/>
        <v>32508.75</v>
      </c>
      <c r="L55" s="32">
        <f t="shared" si="6"/>
        <v>7151.9250000000002</v>
      </c>
      <c r="M55" s="32">
        <f t="shared" si="7"/>
        <v>39660.675000000003</v>
      </c>
      <c r="N55" t="s">
        <v>151</v>
      </c>
    </row>
    <row r="56" spans="1:14" x14ac:dyDescent="0.3">
      <c r="A56">
        <v>10</v>
      </c>
      <c r="B56" t="s">
        <v>147</v>
      </c>
      <c r="C56" t="s">
        <v>150</v>
      </c>
      <c r="E56" s="28">
        <v>1</v>
      </c>
      <c r="F56" s="28">
        <v>0</v>
      </c>
      <c r="G56" s="29">
        <f t="shared" si="3"/>
        <v>1</v>
      </c>
      <c r="H56" s="29">
        <f t="shared" si="4"/>
        <v>1</v>
      </c>
      <c r="I56" s="30">
        <v>130035</v>
      </c>
      <c r="J56" s="31">
        <v>0.22</v>
      </c>
      <c r="K56" s="32">
        <f t="shared" si="5"/>
        <v>32508.75</v>
      </c>
      <c r="L56" s="32">
        <f t="shared" si="6"/>
        <v>7151.9250000000002</v>
      </c>
      <c r="M56" s="32">
        <f t="shared" si="7"/>
        <v>39660.675000000003</v>
      </c>
      <c r="N56" t="s">
        <v>151</v>
      </c>
    </row>
    <row r="57" spans="1:14" x14ac:dyDescent="0.3">
      <c r="A57">
        <v>11</v>
      </c>
      <c r="B57" t="s">
        <v>147</v>
      </c>
      <c r="C57" t="s">
        <v>150</v>
      </c>
      <c r="E57" s="28">
        <v>1</v>
      </c>
      <c r="F57" s="28">
        <v>0</v>
      </c>
      <c r="G57" s="29">
        <f t="shared" si="3"/>
        <v>1</v>
      </c>
      <c r="H57" s="29">
        <f t="shared" si="4"/>
        <v>1</v>
      </c>
      <c r="I57" s="30">
        <v>130035</v>
      </c>
      <c r="J57" s="31">
        <v>0.22</v>
      </c>
      <c r="K57" s="32">
        <f t="shared" si="5"/>
        <v>32508.75</v>
      </c>
      <c r="L57" s="32">
        <f t="shared" si="6"/>
        <v>7151.9250000000002</v>
      </c>
      <c r="M57" s="32">
        <f t="shared" si="7"/>
        <v>39660.675000000003</v>
      </c>
      <c r="N57" t="s">
        <v>151</v>
      </c>
    </row>
    <row r="58" spans="1:14" x14ac:dyDescent="0.3">
      <c r="A58">
        <v>12</v>
      </c>
      <c r="B58" t="s">
        <v>147</v>
      </c>
      <c r="C58" t="s">
        <v>150</v>
      </c>
      <c r="E58" s="28">
        <v>1</v>
      </c>
      <c r="F58" s="28">
        <v>0</v>
      </c>
      <c r="G58" s="29">
        <f t="shared" si="3"/>
        <v>1</v>
      </c>
      <c r="H58" s="29">
        <f t="shared" si="4"/>
        <v>1</v>
      </c>
      <c r="I58" s="30">
        <v>130035</v>
      </c>
      <c r="J58" s="31">
        <v>0.22</v>
      </c>
      <c r="K58" s="32">
        <f t="shared" si="5"/>
        <v>32508.75</v>
      </c>
      <c r="L58" s="32">
        <f t="shared" si="6"/>
        <v>7151.9250000000002</v>
      </c>
      <c r="M58" s="32">
        <f t="shared" si="7"/>
        <v>39660.675000000003</v>
      </c>
      <c r="N58" t="s">
        <v>151</v>
      </c>
    </row>
    <row r="59" spans="1:14" x14ac:dyDescent="0.3">
      <c r="A59">
        <v>13</v>
      </c>
      <c r="B59" t="s">
        <v>147</v>
      </c>
      <c r="C59" t="s">
        <v>150</v>
      </c>
      <c r="E59" s="28">
        <v>1</v>
      </c>
      <c r="F59" s="28">
        <v>0</v>
      </c>
      <c r="G59" s="29">
        <f t="shared" ref="G59:G86" si="8">E59+F59</f>
        <v>1</v>
      </c>
      <c r="H59" s="29">
        <f t="shared" ref="H59:H86" si="9">(E59+G59)/2</f>
        <v>1</v>
      </c>
      <c r="I59" s="30">
        <v>133936</v>
      </c>
      <c r="J59" s="31">
        <v>0.22</v>
      </c>
      <c r="K59" s="32">
        <f t="shared" ref="K59:K86" si="10">H59*I59/4</f>
        <v>33484</v>
      </c>
      <c r="L59" s="32">
        <f t="shared" ref="L59:L86" si="11">K59*J59</f>
        <v>7366.4800000000005</v>
      </c>
      <c r="M59" s="32">
        <f t="shared" ref="M59:M86" si="12">K59+L59</f>
        <v>40850.480000000003</v>
      </c>
      <c r="N59" t="s">
        <v>151</v>
      </c>
    </row>
    <row r="60" spans="1:14" x14ac:dyDescent="0.3">
      <c r="A60">
        <v>14</v>
      </c>
      <c r="B60" t="s">
        <v>147</v>
      </c>
      <c r="C60" t="s">
        <v>150</v>
      </c>
      <c r="E60" s="28">
        <v>1</v>
      </c>
      <c r="F60" s="28">
        <v>0</v>
      </c>
      <c r="G60" s="29">
        <f t="shared" si="8"/>
        <v>1</v>
      </c>
      <c r="H60" s="29">
        <f t="shared" si="9"/>
        <v>1</v>
      </c>
      <c r="I60" s="30">
        <v>133936</v>
      </c>
      <c r="J60" s="31">
        <v>0.22</v>
      </c>
      <c r="K60" s="32">
        <f t="shared" si="10"/>
        <v>33484</v>
      </c>
      <c r="L60" s="32">
        <f t="shared" si="11"/>
        <v>7366.4800000000005</v>
      </c>
      <c r="M60" s="32">
        <f t="shared" si="12"/>
        <v>40850.480000000003</v>
      </c>
      <c r="N60" t="s">
        <v>151</v>
      </c>
    </row>
    <row r="61" spans="1:14" x14ac:dyDescent="0.3">
      <c r="A61">
        <v>15</v>
      </c>
      <c r="B61" t="s">
        <v>147</v>
      </c>
      <c r="C61" t="s">
        <v>150</v>
      </c>
      <c r="E61" s="28">
        <v>1</v>
      </c>
      <c r="F61" s="28">
        <v>0</v>
      </c>
      <c r="G61" s="29">
        <f t="shared" si="8"/>
        <v>1</v>
      </c>
      <c r="H61" s="29">
        <f t="shared" si="9"/>
        <v>1</v>
      </c>
      <c r="I61" s="30">
        <v>133936</v>
      </c>
      <c r="J61" s="31">
        <v>0.22</v>
      </c>
      <c r="K61" s="32">
        <f t="shared" si="10"/>
        <v>33484</v>
      </c>
      <c r="L61" s="32">
        <f t="shared" si="11"/>
        <v>7366.4800000000005</v>
      </c>
      <c r="M61" s="32">
        <f t="shared" si="12"/>
        <v>40850.480000000003</v>
      </c>
      <c r="N61" t="s">
        <v>151</v>
      </c>
    </row>
    <row r="62" spans="1:14" x14ac:dyDescent="0.3">
      <c r="A62">
        <v>16</v>
      </c>
      <c r="B62" t="s">
        <v>147</v>
      </c>
      <c r="C62" t="s">
        <v>150</v>
      </c>
      <c r="E62" s="28">
        <v>1</v>
      </c>
      <c r="F62" s="28">
        <v>0</v>
      </c>
      <c r="G62" s="29">
        <f t="shared" si="8"/>
        <v>1</v>
      </c>
      <c r="H62" s="29">
        <f t="shared" si="9"/>
        <v>1</v>
      </c>
      <c r="I62" s="30">
        <v>133936</v>
      </c>
      <c r="J62" s="31">
        <v>0.22</v>
      </c>
      <c r="K62" s="32">
        <f t="shared" si="10"/>
        <v>33484</v>
      </c>
      <c r="L62" s="32">
        <f t="shared" si="11"/>
        <v>7366.4800000000005</v>
      </c>
      <c r="M62" s="32">
        <f t="shared" si="12"/>
        <v>40850.480000000003</v>
      </c>
      <c r="N62" t="s">
        <v>151</v>
      </c>
    </row>
    <row r="63" spans="1:14" x14ac:dyDescent="0.3">
      <c r="A63">
        <v>17</v>
      </c>
      <c r="B63" t="s">
        <v>147</v>
      </c>
      <c r="C63" t="s">
        <v>150</v>
      </c>
      <c r="E63" s="28">
        <v>1</v>
      </c>
      <c r="F63" s="28">
        <v>0</v>
      </c>
      <c r="G63" s="29">
        <f t="shared" si="8"/>
        <v>1</v>
      </c>
      <c r="H63" s="29">
        <f t="shared" si="9"/>
        <v>1</v>
      </c>
      <c r="I63" s="30">
        <v>137954</v>
      </c>
      <c r="J63" s="31">
        <v>0.22</v>
      </c>
      <c r="K63" s="32">
        <f t="shared" si="10"/>
        <v>34488.5</v>
      </c>
      <c r="L63" s="32">
        <f t="shared" si="11"/>
        <v>7587.47</v>
      </c>
      <c r="M63" s="32">
        <f t="shared" si="12"/>
        <v>42075.97</v>
      </c>
      <c r="N63" t="s">
        <v>151</v>
      </c>
    </row>
    <row r="64" spans="1:14" x14ac:dyDescent="0.3">
      <c r="A64">
        <v>18</v>
      </c>
      <c r="B64" t="s">
        <v>147</v>
      </c>
      <c r="C64" t="s">
        <v>150</v>
      </c>
      <c r="E64" s="28">
        <v>1</v>
      </c>
      <c r="F64" s="28">
        <v>0</v>
      </c>
      <c r="G64" s="29">
        <f t="shared" si="8"/>
        <v>1</v>
      </c>
      <c r="H64" s="29">
        <f t="shared" si="9"/>
        <v>1</v>
      </c>
      <c r="I64" s="30">
        <v>137954</v>
      </c>
      <c r="J64" s="31">
        <v>0.22</v>
      </c>
      <c r="K64" s="32">
        <f t="shared" si="10"/>
        <v>34488.5</v>
      </c>
      <c r="L64" s="32">
        <f t="shared" si="11"/>
        <v>7587.47</v>
      </c>
      <c r="M64" s="32">
        <f t="shared" si="12"/>
        <v>42075.97</v>
      </c>
      <c r="N64" t="s">
        <v>151</v>
      </c>
    </row>
    <row r="65" spans="1:14" x14ac:dyDescent="0.3">
      <c r="A65">
        <v>19</v>
      </c>
      <c r="B65" t="s">
        <v>147</v>
      </c>
      <c r="C65" t="s">
        <v>150</v>
      </c>
      <c r="E65" s="28">
        <v>1</v>
      </c>
      <c r="F65" s="28">
        <v>0</v>
      </c>
      <c r="G65" s="29">
        <f t="shared" si="8"/>
        <v>1</v>
      </c>
      <c r="H65" s="29">
        <f t="shared" si="9"/>
        <v>1</v>
      </c>
      <c r="I65" s="30">
        <v>137954</v>
      </c>
      <c r="J65" s="31">
        <v>0.22</v>
      </c>
      <c r="K65" s="32">
        <f t="shared" si="10"/>
        <v>34488.5</v>
      </c>
      <c r="L65" s="32">
        <f t="shared" si="11"/>
        <v>7587.47</v>
      </c>
      <c r="M65" s="32">
        <f t="shared" si="12"/>
        <v>42075.97</v>
      </c>
      <c r="N65" t="s">
        <v>151</v>
      </c>
    </row>
    <row r="66" spans="1:14" x14ac:dyDescent="0.3">
      <c r="A66">
        <v>20</v>
      </c>
      <c r="B66" t="s">
        <v>147</v>
      </c>
      <c r="C66" t="s">
        <v>150</v>
      </c>
      <c r="E66" s="28">
        <v>1</v>
      </c>
      <c r="F66" s="28">
        <v>0</v>
      </c>
      <c r="G66" s="29">
        <f t="shared" si="8"/>
        <v>1</v>
      </c>
      <c r="H66" s="29">
        <f t="shared" si="9"/>
        <v>1</v>
      </c>
      <c r="I66" s="30">
        <v>137954</v>
      </c>
      <c r="J66" s="31">
        <v>0.22</v>
      </c>
      <c r="K66" s="32">
        <f t="shared" si="10"/>
        <v>34488.5</v>
      </c>
      <c r="L66" s="32">
        <f t="shared" si="11"/>
        <v>7587.47</v>
      </c>
      <c r="M66" s="32">
        <f t="shared" si="12"/>
        <v>42075.97</v>
      </c>
      <c r="N66" t="s">
        <v>151</v>
      </c>
    </row>
    <row r="67" spans="1:14" x14ac:dyDescent="0.3">
      <c r="A67">
        <v>1</v>
      </c>
      <c r="B67" t="s">
        <v>152</v>
      </c>
      <c r="C67" t="s">
        <v>153</v>
      </c>
      <c r="D67" t="s">
        <v>153</v>
      </c>
      <c r="E67" s="28">
        <v>8</v>
      </c>
      <c r="F67" s="28">
        <v>0</v>
      </c>
      <c r="G67" s="29">
        <f t="shared" si="8"/>
        <v>8</v>
      </c>
      <c r="H67" s="29">
        <f t="shared" si="9"/>
        <v>8</v>
      </c>
      <c r="I67" s="30">
        <v>121164</v>
      </c>
      <c r="J67" s="31">
        <v>0.25</v>
      </c>
      <c r="K67" s="32">
        <f t="shared" si="10"/>
        <v>242328</v>
      </c>
      <c r="L67" s="32">
        <f t="shared" si="11"/>
        <v>60582</v>
      </c>
      <c r="M67" s="32">
        <f t="shared" si="12"/>
        <v>302910</v>
      </c>
      <c r="N67" t="s">
        <v>154</v>
      </c>
    </row>
    <row r="68" spans="1:14" x14ac:dyDescent="0.3">
      <c r="A68">
        <v>2</v>
      </c>
      <c r="B68" t="s">
        <v>152</v>
      </c>
      <c r="C68" t="s">
        <v>153</v>
      </c>
      <c r="D68" t="s">
        <v>153</v>
      </c>
      <c r="E68" s="28">
        <v>8</v>
      </c>
      <c r="F68" s="28">
        <v>0</v>
      </c>
      <c r="G68" s="29">
        <f t="shared" si="8"/>
        <v>8</v>
      </c>
      <c r="H68" s="29">
        <f t="shared" si="9"/>
        <v>8</v>
      </c>
      <c r="I68" s="30">
        <v>121164</v>
      </c>
      <c r="J68" s="31">
        <v>0.25</v>
      </c>
      <c r="K68" s="32">
        <f t="shared" si="10"/>
        <v>242328</v>
      </c>
      <c r="L68" s="32">
        <f t="shared" si="11"/>
        <v>60582</v>
      </c>
      <c r="M68" s="32">
        <f t="shared" si="12"/>
        <v>302910</v>
      </c>
      <c r="N68" t="s">
        <v>154</v>
      </c>
    </row>
    <row r="69" spans="1:14" x14ac:dyDescent="0.3">
      <c r="A69">
        <v>3</v>
      </c>
      <c r="B69" t="s">
        <v>152</v>
      </c>
      <c r="C69" t="s">
        <v>153</v>
      </c>
      <c r="D69" t="s">
        <v>153</v>
      </c>
      <c r="E69" s="28">
        <v>8</v>
      </c>
      <c r="F69" s="28">
        <v>0</v>
      </c>
      <c r="G69" s="29">
        <f t="shared" si="8"/>
        <v>8</v>
      </c>
      <c r="H69" s="29">
        <f t="shared" si="9"/>
        <v>8</v>
      </c>
      <c r="I69" s="30">
        <v>121164</v>
      </c>
      <c r="J69" s="31">
        <v>0.25</v>
      </c>
      <c r="K69" s="32">
        <f t="shared" si="10"/>
        <v>242328</v>
      </c>
      <c r="L69" s="32">
        <f t="shared" si="11"/>
        <v>60582</v>
      </c>
      <c r="M69" s="32">
        <f t="shared" si="12"/>
        <v>302910</v>
      </c>
      <c r="N69" t="s">
        <v>154</v>
      </c>
    </row>
    <row r="70" spans="1:14" x14ac:dyDescent="0.3">
      <c r="A70">
        <v>4</v>
      </c>
      <c r="B70" t="s">
        <v>152</v>
      </c>
      <c r="C70" t="s">
        <v>153</v>
      </c>
      <c r="D70" t="s">
        <v>153</v>
      </c>
      <c r="E70" s="28">
        <v>8</v>
      </c>
      <c r="F70" s="28">
        <v>0</v>
      </c>
      <c r="G70" s="29">
        <f t="shared" si="8"/>
        <v>8</v>
      </c>
      <c r="H70" s="29">
        <f t="shared" si="9"/>
        <v>8</v>
      </c>
      <c r="I70" s="30">
        <v>121164</v>
      </c>
      <c r="J70" s="31">
        <v>0.25</v>
      </c>
      <c r="K70" s="32">
        <f t="shared" si="10"/>
        <v>242328</v>
      </c>
      <c r="L70" s="32">
        <f t="shared" si="11"/>
        <v>60582</v>
      </c>
      <c r="M70" s="32">
        <f t="shared" si="12"/>
        <v>302910</v>
      </c>
      <c r="N70" t="s">
        <v>154</v>
      </c>
    </row>
    <row r="71" spans="1:14" x14ac:dyDescent="0.3">
      <c r="A71">
        <v>5</v>
      </c>
      <c r="B71" t="s">
        <v>152</v>
      </c>
      <c r="C71" t="s">
        <v>153</v>
      </c>
      <c r="D71" t="s">
        <v>153</v>
      </c>
      <c r="E71" s="28">
        <v>8</v>
      </c>
      <c r="F71" s="28">
        <v>0</v>
      </c>
      <c r="G71" s="29">
        <f t="shared" si="8"/>
        <v>8</v>
      </c>
      <c r="H71" s="29">
        <f t="shared" si="9"/>
        <v>8</v>
      </c>
      <c r="I71" s="30">
        <v>124799</v>
      </c>
      <c r="J71" s="31">
        <v>0.25</v>
      </c>
      <c r="K71" s="32">
        <f t="shared" si="10"/>
        <v>249598</v>
      </c>
      <c r="L71" s="32">
        <f t="shared" si="11"/>
        <v>62399.5</v>
      </c>
      <c r="M71" s="32">
        <f t="shared" si="12"/>
        <v>311997.5</v>
      </c>
      <c r="N71" t="s">
        <v>154</v>
      </c>
    </row>
    <row r="72" spans="1:14" x14ac:dyDescent="0.3">
      <c r="A72">
        <v>6</v>
      </c>
      <c r="B72" t="s">
        <v>152</v>
      </c>
      <c r="C72" t="s">
        <v>153</v>
      </c>
      <c r="D72" t="s">
        <v>153</v>
      </c>
      <c r="E72" s="28">
        <v>8</v>
      </c>
      <c r="F72" s="28">
        <v>0</v>
      </c>
      <c r="G72" s="29">
        <f t="shared" si="8"/>
        <v>8</v>
      </c>
      <c r="H72" s="29">
        <f t="shared" si="9"/>
        <v>8</v>
      </c>
      <c r="I72" s="30">
        <v>124799</v>
      </c>
      <c r="J72" s="31">
        <v>0.25</v>
      </c>
      <c r="K72" s="32">
        <f t="shared" si="10"/>
        <v>249598</v>
      </c>
      <c r="L72" s="32">
        <f t="shared" si="11"/>
        <v>62399.5</v>
      </c>
      <c r="M72" s="32">
        <f t="shared" si="12"/>
        <v>311997.5</v>
      </c>
      <c r="N72" t="s">
        <v>154</v>
      </c>
    </row>
    <row r="73" spans="1:14" x14ac:dyDescent="0.3">
      <c r="A73">
        <v>7</v>
      </c>
      <c r="B73" t="s">
        <v>152</v>
      </c>
      <c r="C73" t="s">
        <v>153</v>
      </c>
      <c r="D73" t="s">
        <v>153</v>
      </c>
      <c r="E73" s="28">
        <v>8</v>
      </c>
      <c r="F73" s="28">
        <v>0</v>
      </c>
      <c r="G73" s="29">
        <f t="shared" si="8"/>
        <v>8</v>
      </c>
      <c r="H73" s="29">
        <f t="shared" si="9"/>
        <v>8</v>
      </c>
      <c r="I73" s="30">
        <v>124799</v>
      </c>
      <c r="J73" s="31">
        <v>0.25</v>
      </c>
      <c r="K73" s="32">
        <f t="shared" si="10"/>
        <v>249598</v>
      </c>
      <c r="L73" s="32">
        <f t="shared" si="11"/>
        <v>62399.5</v>
      </c>
      <c r="M73" s="32">
        <f t="shared" si="12"/>
        <v>311997.5</v>
      </c>
      <c r="N73" t="s">
        <v>154</v>
      </c>
    </row>
    <row r="74" spans="1:14" x14ac:dyDescent="0.3">
      <c r="A74">
        <v>8</v>
      </c>
      <c r="B74" t="s">
        <v>152</v>
      </c>
      <c r="C74" t="s">
        <v>153</v>
      </c>
      <c r="D74" t="s">
        <v>153</v>
      </c>
      <c r="E74" s="28">
        <v>8</v>
      </c>
      <c r="F74" s="28">
        <v>0</v>
      </c>
      <c r="G74" s="29">
        <f t="shared" si="8"/>
        <v>8</v>
      </c>
      <c r="H74" s="29">
        <f t="shared" si="9"/>
        <v>8</v>
      </c>
      <c r="I74" s="30">
        <v>124799</v>
      </c>
      <c r="J74" s="31">
        <v>0.25</v>
      </c>
      <c r="K74" s="32">
        <f t="shared" si="10"/>
        <v>249598</v>
      </c>
      <c r="L74" s="32">
        <f t="shared" si="11"/>
        <v>62399.5</v>
      </c>
      <c r="M74" s="32">
        <f t="shared" si="12"/>
        <v>311997.5</v>
      </c>
      <c r="N74" t="s">
        <v>154</v>
      </c>
    </row>
    <row r="75" spans="1:14" x14ac:dyDescent="0.3">
      <c r="A75">
        <v>9</v>
      </c>
      <c r="B75" t="s">
        <v>152</v>
      </c>
      <c r="C75" t="s">
        <v>153</v>
      </c>
      <c r="D75" t="s">
        <v>153</v>
      </c>
      <c r="E75" s="28">
        <v>8</v>
      </c>
      <c r="F75" s="28">
        <v>0</v>
      </c>
      <c r="G75" s="29">
        <f t="shared" si="8"/>
        <v>8</v>
      </c>
      <c r="H75" s="29">
        <f t="shared" si="9"/>
        <v>8</v>
      </c>
      <c r="I75" s="30">
        <v>128543</v>
      </c>
      <c r="J75" s="31">
        <v>0.25</v>
      </c>
      <c r="K75" s="32">
        <f t="shared" si="10"/>
        <v>257086</v>
      </c>
      <c r="L75" s="32">
        <f t="shared" si="11"/>
        <v>64271.5</v>
      </c>
      <c r="M75" s="32">
        <f t="shared" si="12"/>
        <v>321357.5</v>
      </c>
      <c r="N75" t="s">
        <v>154</v>
      </c>
    </row>
    <row r="76" spans="1:14" x14ac:dyDescent="0.3">
      <c r="A76">
        <v>10</v>
      </c>
      <c r="B76" t="s">
        <v>152</v>
      </c>
      <c r="C76" t="s">
        <v>153</v>
      </c>
      <c r="D76" t="s">
        <v>153</v>
      </c>
      <c r="E76" s="28">
        <v>8</v>
      </c>
      <c r="F76" s="28">
        <v>0</v>
      </c>
      <c r="G76" s="29">
        <f t="shared" si="8"/>
        <v>8</v>
      </c>
      <c r="H76" s="29">
        <f t="shared" si="9"/>
        <v>8</v>
      </c>
      <c r="I76" s="30">
        <v>128543</v>
      </c>
      <c r="J76" s="31">
        <v>0.25</v>
      </c>
      <c r="K76" s="32">
        <f t="shared" si="10"/>
        <v>257086</v>
      </c>
      <c r="L76" s="32">
        <f t="shared" si="11"/>
        <v>64271.5</v>
      </c>
      <c r="M76" s="32">
        <f t="shared" si="12"/>
        <v>321357.5</v>
      </c>
      <c r="N76" t="s">
        <v>154</v>
      </c>
    </row>
    <row r="77" spans="1:14" x14ac:dyDescent="0.3">
      <c r="A77">
        <v>11</v>
      </c>
      <c r="B77" t="s">
        <v>152</v>
      </c>
      <c r="C77" t="s">
        <v>153</v>
      </c>
      <c r="D77" t="s">
        <v>153</v>
      </c>
      <c r="E77" s="28">
        <v>8</v>
      </c>
      <c r="F77" s="28">
        <v>0</v>
      </c>
      <c r="G77" s="29">
        <f t="shared" si="8"/>
        <v>8</v>
      </c>
      <c r="H77" s="29">
        <f t="shared" si="9"/>
        <v>8</v>
      </c>
      <c r="I77" s="30">
        <v>128543</v>
      </c>
      <c r="J77" s="31">
        <v>0.25</v>
      </c>
      <c r="K77" s="32">
        <f t="shared" si="10"/>
        <v>257086</v>
      </c>
      <c r="L77" s="32">
        <f t="shared" si="11"/>
        <v>64271.5</v>
      </c>
      <c r="M77" s="32">
        <f t="shared" si="12"/>
        <v>321357.5</v>
      </c>
      <c r="N77" t="s">
        <v>154</v>
      </c>
    </row>
    <row r="78" spans="1:14" x14ac:dyDescent="0.3">
      <c r="A78">
        <v>12</v>
      </c>
      <c r="B78" t="s">
        <v>152</v>
      </c>
      <c r="C78" t="s">
        <v>153</v>
      </c>
      <c r="D78" t="s">
        <v>153</v>
      </c>
      <c r="E78" s="28">
        <v>8</v>
      </c>
      <c r="F78" s="28">
        <v>0</v>
      </c>
      <c r="G78" s="29">
        <f t="shared" si="8"/>
        <v>8</v>
      </c>
      <c r="H78" s="29">
        <f t="shared" si="9"/>
        <v>8</v>
      </c>
      <c r="I78" s="30">
        <v>128543</v>
      </c>
      <c r="J78" s="31">
        <v>0.25</v>
      </c>
      <c r="K78" s="32">
        <f t="shared" si="10"/>
        <v>257086</v>
      </c>
      <c r="L78" s="32">
        <f t="shared" si="11"/>
        <v>64271.5</v>
      </c>
      <c r="M78" s="32">
        <f t="shared" si="12"/>
        <v>321357.5</v>
      </c>
      <c r="N78" t="s">
        <v>154</v>
      </c>
    </row>
    <row r="79" spans="1:14" x14ac:dyDescent="0.3">
      <c r="A79">
        <v>13</v>
      </c>
      <c r="B79" t="s">
        <v>152</v>
      </c>
      <c r="C79" t="s">
        <v>153</v>
      </c>
      <c r="D79" t="s">
        <v>153</v>
      </c>
      <c r="E79" s="28">
        <v>8</v>
      </c>
      <c r="F79" s="28">
        <v>0</v>
      </c>
      <c r="G79" s="29">
        <f t="shared" si="8"/>
        <v>8</v>
      </c>
      <c r="H79" s="29">
        <f t="shared" si="9"/>
        <v>8</v>
      </c>
      <c r="I79" s="30">
        <v>132399</v>
      </c>
      <c r="J79" s="31">
        <v>0.25</v>
      </c>
      <c r="K79" s="32">
        <f t="shared" si="10"/>
        <v>264798</v>
      </c>
      <c r="L79" s="32">
        <f t="shared" si="11"/>
        <v>66199.5</v>
      </c>
      <c r="M79" s="32">
        <f t="shared" si="12"/>
        <v>330997.5</v>
      </c>
      <c r="N79" t="s">
        <v>154</v>
      </c>
    </row>
    <row r="80" spans="1:14" x14ac:dyDescent="0.3">
      <c r="A80">
        <v>14</v>
      </c>
      <c r="B80" t="s">
        <v>152</v>
      </c>
      <c r="C80" t="s">
        <v>153</v>
      </c>
      <c r="D80" t="s">
        <v>153</v>
      </c>
      <c r="E80" s="28">
        <v>8</v>
      </c>
      <c r="F80" s="28">
        <v>0</v>
      </c>
      <c r="G80" s="29">
        <f t="shared" si="8"/>
        <v>8</v>
      </c>
      <c r="H80" s="29">
        <f t="shared" si="9"/>
        <v>8</v>
      </c>
      <c r="I80" s="30">
        <v>132399</v>
      </c>
      <c r="J80" s="31">
        <v>0.25</v>
      </c>
      <c r="K80" s="32">
        <f t="shared" si="10"/>
        <v>264798</v>
      </c>
      <c r="L80" s="32">
        <f t="shared" si="11"/>
        <v>66199.5</v>
      </c>
      <c r="M80" s="32">
        <f t="shared" si="12"/>
        <v>330997.5</v>
      </c>
      <c r="N80" t="s">
        <v>154</v>
      </c>
    </row>
    <row r="81" spans="1:14" x14ac:dyDescent="0.3">
      <c r="A81">
        <v>15</v>
      </c>
      <c r="B81" t="s">
        <v>152</v>
      </c>
      <c r="C81" t="s">
        <v>153</v>
      </c>
      <c r="D81" t="s">
        <v>153</v>
      </c>
      <c r="E81" s="28">
        <v>8</v>
      </c>
      <c r="F81" s="28">
        <v>0</v>
      </c>
      <c r="G81" s="29">
        <f t="shared" si="8"/>
        <v>8</v>
      </c>
      <c r="H81" s="29">
        <f t="shared" si="9"/>
        <v>8</v>
      </c>
      <c r="I81" s="30">
        <v>132399</v>
      </c>
      <c r="J81" s="31">
        <v>0.25</v>
      </c>
      <c r="K81" s="32">
        <f t="shared" si="10"/>
        <v>264798</v>
      </c>
      <c r="L81" s="32">
        <f t="shared" si="11"/>
        <v>66199.5</v>
      </c>
      <c r="M81" s="32">
        <f t="shared" si="12"/>
        <v>330997.5</v>
      </c>
      <c r="N81" t="s">
        <v>154</v>
      </c>
    </row>
    <row r="82" spans="1:14" x14ac:dyDescent="0.3">
      <c r="A82">
        <v>16</v>
      </c>
      <c r="B82" t="s">
        <v>152</v>
      </c>
      <c r="C82" t="s">
        <v>153</v>
      </c>
      <c r="D82" t="s">
        <v>153</v>
      </c>
      <c r="E82" s="28">
        <v>8</v>
      </c>
      <c r="F82" s="28">
        <v>0</v>
      </c>
      <c r="G82" s="29">
        <f t="shared" si="8"/>
        <v>8</v>
      </c>
      <c r="H82" s="29">
        <f t="shared" si="9"/>
        <v>8</v>
      </c>
      <c r="I82" s="30">
        <v>132399</v>
      </c>
      <c r="J82" s="31">
        <v>0.25</v>
      </c>
      <c r="K82" s="32">
        <f t="shared" si="10"/>
        <v>264798</v>
      </c>
      <c r="L82" s="32">
        <f t="shared" si="11"/>
        <v>66199.5</v>
      </c>
      <c r="M82" s="32">
        <f t="shared" si="12"/>
        <v>330997.5</v>
      </c>
      <c r="N82" t="s">
        <v>154</v>
      </c>
    </row>
    <row r="83" spans="1:14" x14ac:dyDescent="0.3">
      <c r="A83">
        <v>17</v>
      </c>
      <c r="B83" t="s">
        <v>152</v>
      </c>
      <c r="C83" t="s">
        <v>153</v>
      </c>
      <c r="D83" t="s">
        <v>153</v>
      </c>
      <c r="E83" s="28">
        <v>8</v>
      </c>
      <c r="F83" s="28">
        <v>0</v>
      </c>
      <c r="G83" s="29">
        <f t="shared" si="8"/>
        <v>8</v>
      </c>
      <c r="H83" s="29">
        <f t="shared" si="9"/>
        <v>8</v>
      </c>
      <c r="I83" s="30">
        <v>136371</v>
      </c>
      <c r="J83" s="31">
        <v>0.25</v>
      </c>
      <c r="K83" s="32">
        <f t="shared" si="10"/>
        <v>272742</v>
      </c>
      <c r="L83" s="32">
        <f t="shared" si="11"/>
        <v>68185.5</v>
      </c>
      <c r="M83" s="32">
        <f t="shared" si="12"/>
        <v>340927.5</v>
      </c>
      <c r="N83" t="s">
        <v>154</v>
      </c>
    </row>
    <row r="84" spans="1:14" x14ac:dyDescent="0.3">
      <c r="A84">
        <v>18</v>
      </c>
      <c r="B84" t="s">
        <v>152</v>
      </c>
      <c r="C84" t="s">
        <v>153</v>
      </c>
      <c r="D84" t="s">
        <v>153</v>
      </c>
      <c r="E84" s="28">
        <v>8</v>
      </c>
      <c r="F84" s="28">
        <v>0</v>
      </c>
      <c r="G84" s="29">
        <f t="shared" si="8"/>
        <v>8</v>
      </c>
      <c r="H84" s="29">
        <f t="shared" si="9"/>
        <v>8</v>
      </c>
      <c r="I84" s="30">
        <v>136371</v>
      </c>
      <c r="J84" s="31">
        <v>0.25</v>
      </c>
      <c r="K84" s="32">
        <f t="shared" si="10"/>
        <v>272742</v>
      </c>
      <c r="L84" s="32">
        <f t="shared" si="11"/>
        <v>68185.5</v>
      </c>
      <c r="M84" s="32">
        <f t="shared" si="12"/>
        <v>340927.5</v>
      </c>
      <c r="N84" t="s">
        <v>154</v>
      </c>
    </row>
    <row r="85" spans="1:14" x14ac:dyDescent="0.3">
      <c r="A85">
        <v>19</v>
      </c>
      <c r="B85" t="s">
        <v>152</v>
      </c>
      <c r="C85" t="s">
        <v>153</v>
      </c>
      <c r="D85" t="s">
        <v>153</v>
      </c>
      <c r="E85" s="28">
        <v>8</v>
      </c>
      <c r="F85" s="28">
        <v>0</v>
      </c>
      <c r="G85" s="29">
        <f t="shared" si="8"/>
        <v>8</v>
      </c>
      <c r="H85" s="29">
        <f t="shared" si="9"/>
        <v>8</v>
      </c>
      <c r="I85" s="30">
        <v>136371</v>
      </c>
      <c r="J85" s="31">
        <v>0.25</v>
      </c>
      <c r="K85" s="32">
        <f t="shared" si="10"/>
        <v>272742</v>
      </c>
      <c r="L85" s="32">
        <f t="shared" si="11"/>
        <v>68185.5</v>
      </c>
      <c r="M85" s="32">
        <f t="shared" si="12"/>
        <v>340927.5</v>
      </c>
      <c r="N85" t="s">
        <v>154</v>
      </c>
    </row>
    <row r="86" spans="1:14" x14ac:dyDescent="0.3">
      <c r="A86">
        <v>20</v>
      </c>
      <c r="B86" t="s">
        <v>152</v>
      </c>
      <c r="C86" t="s">
        <v>153</v>
      </c>
      <c r="D86" t="s">
        <v>153</v>
      </c>
      <c r="E86" s="28">
        <v>8</v>
      </c>
      <c r="F86" s="28">
        <v>0</v>
      </c>
      <c r="G86" s="29">
        <f t="shared" si="8"/>
        <v>8</v>
      </c>
      <c r="H86" s="29">
        <f t="shared" si="9"/>
        <v>8</v>
      </c>
      <c r="I86" s="30">
        <v>136371</v>
      </c>
      <c r="J86" s="31">
        <v>0.25</v>
      </c>
      <c r="K86" s="32">
        <f t="shared" si="10"/>
        <v>272742</v>
      </c>
      <c r="L86" s="32">
        <f t="shared" si="11"/>
        <v>68185.5</v>
      </c>
      <c r="M86" s="32">
        <f t="shared" si="12"/>
        <v>340927.5</v>
      </c>
      <c r="N86" t="s">
        <v>154</v>
      </c>
    </row>
  </sheetData>
  <autoFilter ref="A26:N86" xr:uid="{00000000-0009-0000-0000-000001000000}"/>
  <mergeCells count="3">
    <mergeCell ref="A14:AB14"/>
    <mergeCell ref="A6:AB6"/>
    <mergeCell ref="A25:AB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</sheetPr>
  <dimension ref="A1:AB26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155</v>
      </c>
    </row>
    <row r="2" spans="1:28" x14ac:dyDescent="0.3">
      <c r="A2" s="2" t="s">
        <v>156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46163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1" t="s">
        <v>157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 spans="1:28" x14ac:dyDescent="0.3">
      <c r="A7" s="7" t="s">
        <v>158</v>
      </c>
      <c r="B7" s="7" t="s">
        <v>159</v>
      </c>
      <c r="C7" s="11">
        <v>0</v>
      </c>
      <c r="D7" s="11">
        <f t="shared" ref="D7:W7" si="0">C11</f>
        <v>0</v>
      </c>
      <c r="E7" s="11">
        <f t="shared" si="0"/>
        <v>0</v>
      </c>
      <c r="F7" s="11">
        <f t="shared" si="0"/>
        <v>0</v>
      </c>
      <c r="G7" s="11">
        <f t="shared" si="0"/>
        <v>0</v>
      </c>
      <c r="H7" s="11">
        <f t="shared" si="0"/>
        <v>0</v>
      </c>
      <c r="I7" s="11">
        <f t="shared" si="0"/>
        <v>0</v>
      </c>
      <c r="J7" s="11">
        <f t="shared" si="0"/>
        <v>0</v>
      </c>
      <c r="K7" s="11">
        <f t="shared" si="0"/>
        <v>0</v>
      </c>
      <c r="L7" s="11">
        <f t="shared" si="0"/>
        <v>0</v>
      </c>
      <c r="M7" s="11">
        <f t="shared" si="0"/>
        <v>0</v>
      </c>
      <c r="N7" s="11">
        <f t="shared" si="0"/>
        <v>0</v>
      </c>
      <c r="O7" s="11">
        <f t="shared" si="0"/>
        <v>0</v>
      </c>
      <c r="P7" s="11">
        <f t="shared" si="0"/>
        <v>0</v>
      </c>
      <c r="Q7" s="11">
        <f t="shared" si="0"/>
        <v>0</v>
      </c>
      <c r="R7" s="11">
        <f t="shared" si="0"/>
        <v>0</v>
      </c>
      <c r="S7" s="11">
        <f t="shared" si="0"/>
        <v>0</v>
      </c>
      <c r="T7" s="11">
        <f t="shared" si="0"/>
        <v>0</v>
      </c>
      <c r="U7" s="11">
        <f t="shared" si="0"/>
        <v>0</v>
      </c>
      <c r="V7" s="11">
        <f t="shared" si="0"/>
        <v>0</v>
      </c>
      <c r="W7" s="11">
        <f t="shared" si="0"/>
        <v>0</v>
      </c>
      <c r="X7" s="11">
        <f>G7</f>
        <v>0</v>
      </c>
      <c r="Y7" s="11">
        <f>K7</f>
        <v>0</v>
      </c>
      <c r="Z7" s="11">
        <f>O7</f>
        <v>0</v>
      </c>
      <c r="AA7" s="11">
        <f>S7</f>
        <v>0</v>
      </c>
      <c r="AB7" s="11">
        <f>W7</f>
        <v>0</v>
      </c>
    </row>
    <row r="8" spans="1:28" x14ac:dyDescent="0.3">
      <c r="A8" s="7" t="s">
        <v>160</v>
      </c>
      <c r="B8" s="7" t="s">
        <v>161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1">
        <f>SUM(D8:G8)</f>
        <v>0</v>
      </c>
      <c r="Y8" s="11">
        <f>SUM(H8:K8)</f>
        <v>0</v>
      </c>
      <c r="Z8" s="11">
        <f>SUM(L8:O8)</f>
        <v>0</v>
      </c>
      <c r="AA8" s="11">
        <f>SUM(P8:S8)</f>
        <v>0</v>
      </c>
      <c r="AB8" s="11">
        <f>SUM(T8:W8)</f>
        <v>0</v>
      </c>
    </row>
    <row r="9" spans="1:28" x14ac:dyDescent="0.3">
      <c r="A9" s="7" t="s">
        <v>162</v>
      </c>
      <c r="B9" s="7" t="s">
        <v>163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1">
        <f>SUM(D9:G9)</f>
        <v>0</v>
      </c>
      <c r="Y9" s="11">
        <f>SUM(H9:K9)</f>
        <v>0</v>
      </c>
      <c r="Z9" s="11">
        <f>SUM(L9:O9)</f>
        <v>0</v>
      </c>
      <c r="AA9" s="11">
        <f>SUM(P9:S9)</f>
        <v>0</v>
      </c>
      <c r="AB9" s="11">
        <f>SUM(T9:W9)</f>
        <v>0</v>
      </c>
    </row>
    <row r="10" spans="1:28" x14ac:dyDescent="0.3">
      <c r="A10" s="33" t="s">
        <v>164</v>
      </c>
      <c r="B10" s="33" t="s">
        <v>165</v>
      </c>
      <c r="C10" s="34">
        <f t="shared" ref="C10:W10" si="1">MIN(C9,C7+C8)</f>
        <v>0</v>
      </c>
      <c r="D10" s="34">
        <f t="shared" si="1"/>
        <v>0</v>
      </c>
      <c r="E10" s="34">
        <f t="shared" si="1"/>
        <v>0</v>
      </c>
      <c r="F10" s="34">
        <f t="shared" si="1"/>
        <v>0</v>
      </c>
      <c r="G10" s="34">
        <f t="shared" si="1"/>
        <v>0</v>
      </c>
      <c r="H10" s="34">
        <f t="shared" si="1"/>
        <v>0</v>
      </c>
      <c r="I10" s="34">
        <f t="shared" si="1"/>
        <v>0</v>
      </c>
      <c r="J10" s="34">
        <f t="shared" si="1"/>
        <v>0</v>
      </c>
      <c r="K10" s="34">
        <f t="shared" si="1"/>
        <v>0</v>
      </c>
      <c r="L10" s="34">
        <f t="shared" si="1"/>
        <v>0</v>
      </c>
      <c r="M10" s="34">
        <f t="shared" si="1"/>
        <v>0</v>
      </c>
      <c r="N10" s="34">
        <f t="shared" si="1"/>
        <v>0</v>
      </c>
      <c r="O10" s="34">
        <f t="shared" si="1"/>
        <v>0</v>
      </c>
      <c r="P10" s="34">
        <f t="shared" si="1"/>
        <v>0</v>
      </c>
      <c r="Q10" s="34">
        <f t="shared" si="1"/>
        <v>0</v>
      </c>
      <c r="R10" s="34">
        <f t="shared" si="1"/>
        <v>0</v>
      </c>
      <c r="S10" s="34">
        <f t="shared" si="1"/>
        <v>0</v>
      </c>
      <c r="T10" s="34">
        <f t="shared" si="1"/>
        <v>0</v>
      </c>
      <c r="U10" s="34">
        <f t="shared" si="1"/>
        <v>0</v>
      </c>
      <c r="V10" s="34">
        <f t="shared" si="1"/>
        <v>0</v>
      </c>
      <c r="W10" s="34">
        <f t="shared" si="1"/>
        <v>0</v>
      </c>
      <c r="X10" s="34">
        <f>SUM(D10:G10)</f>
        <v>0</v>
      </c>
      <c r="Y10" s="34">
        <f>SUM(H10:K10)</f>
        <v>0</v>
      </c>
      <c r="Z10" s="34">
        <f>SUM(L10:O10)</f>
        <v>0</v>
      </c>
      <c r="AA10" s="34">
        <f>SUM(P10:S10)</f>
        <v>0</v>
      </c>
      <c r="AB10" s="34">
        <f>SUM(T10:W10)</f>
        <v>0</v>
      </c>
    </row>
    <row r="11" spans="1:28" x14ac:dyDescent="0.3">
      <c r="A11" s="23" t="s">
        <v>166</v>
      </c>
      <c r="B11" s="23" t="s">
        <v>159</v>
      </c>
      <c r="C11" s="24">
        <f t="shared" ref="C11:W11" si="2">MAX(0,C7+C8-C10)</f>
        <v>0</v>
      </c>
      <c r="D11" s="24">
        <f t="shared" si="2"/>
        <v>0</v>
      </c>
      <c r="E11" s="24">
        <f t="shared" si="2"/>
        <v>0</v>
      </c>
      <c r="F11" s="24">
        <f t="shared" si="2"/>
        <v>0</v>
      </c>
      <c r="G11" s="24">
        <f t="shared" si="2"/>
        <v>0</v>
      </c>
      <c r="H11" s="24">
        <f t="shared" si="2"/>
        <v>0</v>
      </c>
      <c r="I11" s="24">
        <f t="shared" si="2"/>
        <v>0</v>
      </c>
      <c r="J11" s="24">
        <f t="shared" si="2"/>
        <v>0</v>
      </c>
      <c r="K11" s="24">
        <f t="shared" si="2"/>
        <v>0</v>
      </c>
      <c r="L11" s="24">
        <f t="shared" si="2"/>
        <v>0</v>
      </c>
      <c r="M11" s="24">
        <f t="shared" si="2"/>
        <v>0</v>
      </c>
      <c r="N11" s="24">
        <f t="shared" si="2"/>
        <v>0</v>
      </c>
      <c r="O11" s="24">
        <f t="shared" si="2"/>
        <v>0</v>
      </c>
      <c r="P11" s="24">
        <f t="shared" si="2"/>
        <v>0</v>
      </c>
      <c r="Q11" s="24">
        <f t="shared" si="2"/>
        <v>0</v>
      </c>
      <c r="R11" s="24">
        <f t="shared" si="2"/>
        <v>0</v>
      </c>
      <c r="S11" s="24">
        <f t="shared" si="2"/>
        <v>0</v>
      </c>
      <c r="T11" s="24">
        <f t="shared" si="2"/>
        <v>0</v>
      </c>
      <c r="U11" s="24">
        <f t="shared" si="2"/>
        <v>0</v>
      </c>
      <c r="V11" s="24">
        <f t="shared" si="2"/>
        <v>0</v>
      </c>
      <c r="W11" s="24">
        <f t="shared" si="2"/>
        <v>0</v>
      </c>
      <c r="X11" s="24">
        <f>G11</f>
        <v>0</v>
      </c>
      <c r="Y11" s="24">
        <f>K11</f>
        <v>0</v>
      </c>
      <c r="Z11" s="24">
        <f>O11</f>
        <v>0</v>
      </c>
      <c r="AA11" s="24">
        <f>S11</f>
        <v>0</v>
      </c>
      <c r="AB11" s="24">
        <f>W11</f>
        <v>0</v>
      </c>
    </row>
    <row r="12" spans="1:28" x14ac:dyDescent="0.3">
      <c r="A12" s="7" t="s">
        <v>167</v>
      </c>
      <c r="B12" s="7" t="s">
        <v>168</v>
      </c>
      <c r="C12" s="12">
        <v>0</v>
      </c>
      <c r="D12" s="12">
        <v>2.5312999999999999E-2</v>
      </c>
      <c r="E12" s="12">
        <v>2.5312999999999999E-2</v>
      </c>
      <c r="F12" s="12">
        <v>2.5312999999999999E-2</v>
      </c>
      <c r="G12" s="12">
        <v>2.5312999999999999E-2</v>
      </c>
      <c r="H12" s="12">
        <v>2.5312999999999999E-2</v>
      </c>
      <c r="I12" s="12">
        <v>2.5312999999999999E-2</v>
      </c>
      <c r="J12" s="12">
        <v>2.5312999999999999E-2</v>
      </c>
      <c r="K12" s="12">
        <v>2.5312999999999999E-2</v>
      </c>
      <c r="L12" s="12">
        <v>2.5312999999999999E-2</v>
      </c>
      <c r="M12" s="12">
        <v>2.5312999999999999E-2</v>
      </c>
      <c r="N12" s="12">
        <v>2.5312999999999999E-2</v>
      </c>
      <c r="O12" s="12">
        <v>2.5312999999999999E-2</v>
      </c>
      <c r="P12" s="12">
        <v>2.5312999999999999E-2</v>
      </c>
      <c r="Q12" s="12">
        <v>2.5312999999999999E-2</v>
      </c>
      <c r="R12" s="12">
        <v>2.5312999999999999E-2</v>
      </c>
      <c r="S12" s="12">
        <v>2.5312999999999999E-2</v>
      </c>
      <c r="T12" s="12">
        <v>2.5312999999999999E-2</v>
      </c>
      <c r="U12" s="12">
        <v>2.5312999999999999E-2</v>
      </c>
      <c r="V12" s="12">
        <v>2.5312999999999999E-2</v>
      </c>
      <c r="W12" s="12">
        <v>2.5312999999999999E-2</v>
      </c>
      <c r="X12" s="13">
        <f>SUM(D12:G12)</f>
        <v>0.10125199999999999</v>
      </c>
      <c r="Y12" s="13">
        <f>SUM(H12:K12)</f>
        <v>0.10125199999999999</v>
      </c>
      <c r="Z12" s="13">
        <f>SUM(L12:O12)</f>
        <v>0.10125199999999999</v>
      </c>
      <c r="AA12" s="13">
        <f>SUM(P12:S12)</f>
        <v>0.10125199999999999</v>
      </c>
      <c r="AB12" s="13">
        <f>SUM(T12:W12)</f>
        <v>0.10125199999999999</v>
      </c>
    </row>
    <row r="13" spans="1:28" x14ac:dyDescent="0.3">
      <c r="A13" s="23" t="s">
        <v>169</v>
      </c>
      <c r="B13" s="23" t="s">
        <v>170</v>
      </c>
      <c r="C13" s="24">
        <f t="shared" ref="C13:W13" si="3">((C7+C11)/2)*C12</f>
        <v>0</v>
      </c>
      <c r="D13" s="24">
        <f t="shared" si="3"/>
        <v>0</v>
      </c>
      <c r="E13" s="24">
        <f t="shared" si="3"/>
        <v>0</v>
      </c>
      <c r="F13" s="24">
        <f t="shared" si="3"/>
        <v>0</v>
      </c>
      <c r="G13" s="24">
        <f t="shared" si="3"/>
        <v>0</v>
      </c>
      <c r="H13" s="24">
        <f t="shared" si="3"/>
        <v>0</v>
      </c>
      <c r="I13" s="24">
        <f t="shared" si="3"/>
        <v>0</v>
      </c>
      <c r="J13" s="24">
        <f t="shared" si="3"/>
        <v>0</v>
      </c>
      <c r="K13" s="24">
        <f t="shared" si="3"/>
        <v>0</v>
      </c>
      <c r="L13" s="24">
        <f t="shared" si="3"/>
        <v>0</v>
      </c>
      <c r="M13" s="24">
        <f t="shared" si="3"/>
        <v>0</v>
      </c>
      <c r="N13" s="24">
        <f t="shared" si="3"/>
        <v>0</v>
      </c>
      <c r="O13" s="24">
        <f t="shared" si="3"/>
        <v>0</v>
      </c>
      <c r="P13" s="24">
        <f t="shared" si="3"/>
        <v>0</v>
      </c>
      <c r="Q13" s="24">
        <f t="shared" si="3"/>
        <v>0</v>
      </c>
      <c r="R13" s="24">
        <f t="shared" si="3"/>
        <v>0</v>
      </c>
      <c r="S13" s="24">
        <f t="shared" si="3"/>
        <v>0</v>
      </c>
      <c r="T13" s="24">
        <f t="shared" si="3"/>
        <v>0</v>
      </c>
      <c r="U13" s="24">
        <f t="shared" si="3"/>
        <v>0</v>
      </c>
      <c r="V13" s="24">
        <f t="shared" si="3"/>
        <v>0</v>
      </c>
      <c r="W13" s="24">
        <f t="shared" si="3"/>
        <v>0</v>
      </c>
      <c r="X13" s="24">
        <f>SUM(D13:G13)</f>
        <v>0</v>
      </c>
      <c r="Y13" s="24">
        <f>SUM(H13:K13)</f>
        <v>0</v>
      </c>
      <c r="Z13" s="24">
        <f>SUM(L13:O13)</f>
        <v>0</v>
      </c>
      <c r="AA13" s="24">
        <f>SUM(P13:S13)</f>
        <v>0</v>
      </c>
      <c r="AB13" s="24">
        <f>SUM(T13:W13)</f>
        <v>0</v>
      </c>
    </row>
    <row r="14" spans="1:28" x14ac:dyDescent="0.3">
      <c r="A14" s="7" t="s">
        <v>171</v>
      </c>
      <c r="B14" s="7" t="s">
        <v>172</v>
      </c>
      <c r="C14" s="11">
        <f t="shared" ref="C14:W14" si="4">C13+C10</f>
        <v>0</v>
      </c>
      <c r="D14" s="11">
        <f t="shared" si="4"/>
        <v>0</v>
      </c>
      <c r="E14" s="11">
        <f t="shared" si="4"/>
        <v>0</v>
      </c>
      <c r="F14" s="11">
        <f t="shared" si="4"/>
        <v>0</v>
      </c>
      <c r="G14" s="11">
        <f t="shared" si="4"/>
        <v>0</v>
      </c>
      <c r="H14" s="11">
        <f t="shared" si="4"/>
        <v>0</v>
      </c>
      <c r="I14" s="11">
        <f t="shared" si="4"/>
        <v>0</v>
      </c>
      <c r="J14" s="11">
        <f t="shared" si="4"/>
        <v>0</v>
      </c>
      <c r="K14" s="11">
        <f t="shared" si="4"/>
        <v>0</v>
      </c>
      <c r="L14" s="11">
        <f t="shared" si="4"/>
        <v>0</v>
      </c>
      <c r="M14" s="11">
        <f t="shared" si="4"/>
        <v>0</v>
      </c>
      <c r="N14" s="11">
        <f t="shared" si="4"/>
        <v>0</v>
      </c>
      <c r="O14" s="11">
        <f t="shared" si="4"/>
        <v>0</v>
      </c>
      <c r="P14" s="11">
        <f t="shared" si="4"/>
        <v>0</v>
      </c>
      <c r="Q14" s="11">
        <f t="shared" si="4"/>
        <v>0</v>
      </c>
      <c r="R14" s="11">
        <f t="shared" si="4"/>
        <v>0</v>
      </c>
      <c r="S14" s="11">
        <f t="shared" si="4"/>
        <v>0</v>
      </c>
      <c r="T14" s="11">
        <f t="shared" si="4"/>
        <v>0</v>
      </c>
      <c r="U14" s="11">
        <f t="shared" si="4"/>
        <v>0</v>
      </c>
      <c r="V14" s="11">
        <f t="shared" si="4"/>
        <v>0</v>
      </c>
      <c r="W14" s="11">
        <f t="shared" si="4"/>
        <v>0</v>
      </c>
      <c r="X14" s="11">
        <f>SUM(D14:G14)</f>
        <v>0</v>
      </c>
      <c r="Y14" s="11">
        <f>SUM(H14:K14)</f>
        <v>0</v>
      </c>
      <c r="Z14" s="11">
        <f>SUM(L14:O14)</f>
        <v>0</v>
      </c>
      <c r="AA14" s="11">
        <f>SUM(P14:S14)</f>
        <v>0</v>
      </c>
      <c r="AB14" s="11">
        <f>SUM(T14:W14)</f>
        <v>0</v>
      </c>
    </row>
    <row r="17" spans="1:28" x14ac:dyDescent="0.3">
      <c r="A17" s="51" t="s">
        <v>173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 spans="1:28" x14ac:dyDescent="0.3">
      <c r="A18" s="20" t="s">
        <v>174</v>
      </c>
      <c r="B18" s="20" t="s">
        <v>175</v>
      </c>
      <c r="C18" s="25">
        <v>0</v>
      </c>
      <c r="D18" s="25">
        <f t="shared" ref="D18:W18" si="5">C23</f>
        <v>0</v>
      </c>
      <c r="E18" s="25">
        <f t="shared" si="5"/>
        <v>0</v>
      </c>
      <c r="F18" s="25">
        <f t="shared" si="5"/>
        <v>0</v>
      </c>
      <c r="G18" s="25">
        <f t="shared" si="5"/>
        <v>0</v>
      </c>
      <c r="H18" s="25">
        <f t="shared" si="5"/>
        <v>0</v>
      </c>
      <c r="I18" s="25">
        <f t="shared" si="5"/>
        <v>0</v>
      </c>
      <c r="J18" s="25">
        <f t="shared" si="5"/>
        <v>0</v>
      </c>
      <c r="K18" s="25">
        <f t="shared" si="5"/>
        <v>0</v>
      </c>
      <c r="L18" s="25">
        <f t="shared" si="5"/>
        <v>0</v>
      </c>
      <c r="M18" s="25">
        <f t="shared" si="5"/>
        <v>0</v>
      </c>
      <c r="N18" s="25">
        <f t="shared" si="5"/>
        <v>0</v>
      </c>
      <c r="O18" s="25">
        <f t="shared" si="5"/>
        <v>0</v>
      </c>
      <c r="P18" s="25">
        <f t="shared" si="5"/>
        <v>0</v>
      </c>
      <c r="Q18" s="25">
        <f t="shared" si="5"/>
        <v>0</v>
      </c>
      <c r="R18" s="25">
        <f t="shared" si="5"/>
        <v>0</v>
      </c>
      <c r="S18" s="25">
        <f t="shared" si="5"/>
        <v>0</v>
      </c>
      <c r="T18" s="25">
        <f t="shared" si="5"/>
        <v>0</v>
      </c>
      <c r="U18" s="25">
        <f t="shared" si="5"/>
        <v>0</v>
      </c>
      <c r="V18" s="25">
        <f t="shared" si="5"/>
        <v>0</v>
      </c>
      <c r="W18" s="25">
        <f t="shared" si="5"/>
        <v>0</v>
      </c>
      <c r="X18" s="25">
        <f>G18</f>
        <v>0</v>
      </c>
      <c r="Y18" s="25">
        <f>K18</f>
        <v>0</v>
      </c>
      <c r="Z18" s="25">
        <f>O18</f>
        <v>0</v>
      </c>
      <c r="AA18" s="25">
        <f>S18</f>
        <v>0</v>
      </c>
      <c r="AB18" s="25">
        <f>W18</f>
        <v>0</v>
      </c>
    </row>
    <row r="19" spans="1:28" x14ac:dyDescent="0.3">
      <c r="A19" s="20" t="s">
        <v>176</v>
      </c>
      <c r="B19" s="20" t="s">
        <v>175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f>SUM(D19:G19)</f>
        <v>0</v>
      </c>
      <c r="Y19" s="25">
        <f>SUM(H19:K19)</f>
        <v>0</v>
      </c>
      <c r="Z19" s="25">
        <f>SUM(L19:O19)</f>
        <v>0</v>
      </c>
      <c r="AA19" s="25">
        <f>SUM(P19:S19)</f>
        <v>0</v>
      </c>
      <c r="AB19" s="25">
        <f>SUM(T19:W19)</f>
        <v>0</v>
      </c>
    </row>
    <row r="20" spans="1:28" x14ac:dyDescent="0.3">
      <c r="A20" s="20" t="s">
        <v>177</v>
      </c>
      <c r="B20" s="20" t="s">
        <v>175</v>
      </c>
      <c r="C20" s="25">
        <f t="shared" ref="C20:W20" si="6">MIN(C19,C18+C21)</f>
        <v>0</v>
      </c>
      <c r="D20" s="25">
        <f t="shared" si="6"/>
        <v>0</v>
      </c>
      <c r="E20" s="25">
        <f t="shared" si="6"/>
        <v>0</v>
      </c>
      <c r="F20" s="25">
        <f t="shared" si="6"/>
        <v>0</v>
      </c>
      <c r="G20" s="25">
        <f t="shared" si="6"/>
        <v>0</v>
      </c>
      <c r="H20" s="25">
        <f t="shared" si="6"/>
        <v>0</v>
      </c>
      <c r="I20" s="25">
        <f t="shared" si="6"/>
        <v>0</v>
      </c>
      <c r="J20" s="25">
        <f t="shared" si="6"/>
        <v>0</v>
      </c>
      <c r="K20" s="25">
        <f t="shared" si="6"/>
        <v>0</v>
      </c>
      <c r="L20" s="25">
        <f t="shared" si="6"/>
        <v>0</v>
      </c>
      <c r="M20" s="25">
        <f t="shared" si="6"/>
        <v>0</v>
      </c>
      <c r="N20" s="25">
        <f t="shared" si="6"/>
        <v>0</v>
      </c>
      <c r="O20" s="25">
        <f t="shared" si="6"/>
        <v>0</v>
      </c>
      <c r="P20" s="25">
        <f t="shared" si="6"/>
        <v>0</v>
      </c>
      <c r="Q20" s="25">
        <f t="shared" si="6"/>
        <v>0</v>
      </c>
      <c r="R20" s="25">
        <f t="shared" si="6"/>
        <v>0</v>
      </c>
      <c r="S20" s="25">
        <f t="shared" si="6"/>
        <v>0</v>
      </c>
      <c r="T20" s="25">
        <f t="shared" si="6"/>
        <v>0</v>
      </c>
      <c r="U20" s="25">
        <f t="shared" si="6"/>
        <v>0</v>
      </c>
      <c r="V20" s="25">
        <f t="shared" si="6"/>
        <v>0</v>
      </c>
      <c r="W20" s="25">
        <f t="shared" si="6"/>
        <v>0</v>
      </c>
      <c r="X20" s="25">
        <f>SUM(D20:G20)</f>
        <v>0</v>
      </c>
      <c r="Y20" s="25">
        <f>SUM(H20:K20)</f>
        <v>0</v>
      </c>
      <c r="Z20" s="25">
        <f>SUM(L20:O20)</f>
        <v>0</v>
      </c>
      <c r="AA20" s="25">
        <f>SUM(P20:S20)</f>
        <v>0</v>
      </c>
      <c r="AB20" s="25">
        <f>SUM(T20:W20)</f>
        <v>0</v>
      </c>
    </row>
    <row r="21" spans="1:28" x14ac:dyDescent="0.3">
      <c r="A21" s="20" t="s">
        <v>178</v>
      </c>
      <c r="B21" s="20" t="s">
        <v>175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25">
        <f>SUM(D21:G21)</f>
        <v>0</v>
      </c>
      <c r="Y21" s="25">
        <f>SUM(H21:K21)</f>
        <v>0</v>
      </c>
      <c r="Z21" s="25">
        <f>SUM(L21:O21)</f>
        <v>0</v>
      </c>
      <c r="AA21" s="25">
        <f>SUM(P21:S21)</f>
        <v>0</v>
      </c>
      <c r="AB21" s="25">
        <f>SUM(T21:W21)</f>
        <v>0</v>
      </c>
    </row>
    <row r="22" spans="1:28" x14ac:dyDescent="0.3">
      <c r="A22" s="20" t="s">
        <v>179</v>
      </c>
      <c r="B22" s="20" t="s">
        <v>175</v>
      </c>
      <c r="C22" s="25">
        <v>0</v>
      </c>
      <c r="D22" s="25">
        <f t="shared" ref="D22:W22" si="7">D18*D12</f>
        <v>0</v>
      </c>
      <c r="E22" s="25">
        <f t="shared" si="7"/>
        <v>0</v>
      </c>
      <c r="F22" s="25">
        <f t="shared" si="7"/>
        <v>0</v>
      </c>
      <c r="G22" s="25">
        <f t="shared" si="7"/>
        <v>0</v>
      </c>
      <c r="H22" s="25">
        <f t="shared" si="7"/>
        <v>0</v>
      </c>
      <c r="I22" s="25">
        <f t="shared" si="7"/>
        <v>0</v>
      </c>
      <c r="J22" s="25">
        <f t="shared" si="7"/>
        <v>0</v>
      </c>
      <c r="K22" s="25">
        <f t="shared" si="7"/>
        <v>0</v>
      </c>
      <c r="L22" s="25">
        <f t="shared" si="7"/>
        <v>0</v>
      </c>
      <c r="M22" s="25">
        <f t="shared" si="7"/>
        <v>0</v>
      </c>
      <c r="N22" s="25">
        <f t="shared" si="7"/>
        <v>0</v>
      </c>
      <c r="O22" s="25">
        <f t="shared" si="7"/>
        <v>0</v>
      </c>
      <c r="P22" s="25">
        <f t="shared" si="7"/>
        <v>0</v>
      </c>
      <c r="Q22" s="25">
        <f t="shared" si="7"/>
        <v>0</v>
      </c>
      <c r="R22" s="25">
        <f t="shared" si="7"/>
        <v>0</v>
      </c>
      <c r="S22" s="25">
        <f t="shared" si="7"/>
        <v>0</v>
      </c>
      <c r="T22" s="25">
        <f t="shared" si="7"/>
        <v>0</v>
      </c>
      <c r="U22" s="25">
        <f t="shared" si="7"/>
        <v>0</v>
      </c>
      <c r="V22" s="25">
        <f t="shared" si="7"/>
        <v>0</v>
      </c>
      <c r="W22" s="25">
        <f t="shared" si="7"/>
        <v>0</v>
      </c>
      <c r="X22" s="25">
        <f>SUM(D22:G22)</f>
        <v>0</v>
      </c>
      <c r="Y22" s="25">
        <f>SUM(H22:K22)</f>
        <v>0</v>
      </c>
      <c r="Z22" s="25">
        <f>SUM(L22:O22)</f>
        <v>0</v>
      </c>
      <c r="AA22" s="25">
        <f>SUM(P22:S22)</f>
        <v>0</v>
      </c>
      <c r="AB22" s="25">
        <f>SUM(T22:W22)</f>
        <v>0</v>
      </c>
    </row>
    <row r="23" spans="1:28" x14ac:dyDescent="0.3">
      <c r="A23" s="20" t="s">
        <v>180</v>
      </c>
      <c r="B23" s="20" t="s">
        <v>175</v>
      </c>
      <c r="C23" s="25">
        <f t="shared" ref="C23:W23" si="8">MAX(0,C18+C21-C20)</f>
        <v>0</v>
      </c>
      <c r="D23" s="25">
        <f t="shared" si="8"/>
        <v>0</v>
      </c>
      <c r="E23" s="25">
        <f t="shared" si="8"/>
        <v>0</v>
      </c>
      <c r="F23" s="25">
        <f t="shared" si="8"/>
        <v>0</v>
      </c>
      <c r="G23" s="25">
        <f t="shared" si="8"/>
        <v>0</v>
      </c>
      <c r="H23" s="25">
        <f t="shared" si="8"/>
        <v>0</v>
      </c>
      <c r="I23" s="25">
        <f t="shared" si="8"/>
        <v>0</v>
      </c>
      <c r="J23" s="25">
        <f t="shared" si="8"/>
        <v>0</v>
      </c>
      <c r="K23" s="25">
        <f t="shared" si="8"/>
        <v>0</v>
      </c>
      <c r="L23" s="25">
        <f t="shared" si="8"/>
        <v>0</v>
      </c>
      <c r="M23" s="25">
        <f t="shared" si="8"/>
        <v>0</v>
      </c>
      <c r="N23" s="25">
        <f t="shared" si="8"/>
        <v>0</v>
      </c>
      <c r="O23" s="25">
        <f t="shared" si="8"/>
        <v>0</v>
      </c>
      <c r="P23" s="25">
        <f t="shared" si="8"/>
        <v>0</v>
      </c>
      <c r="Q23" s="25">
        <f t="shared" si="8"/>
        <v>0</v>
      </c>
      <c r="R23" s="25">
        <f t="shared" si="8"/>
        <v>0</v>
      </c>
      <c r="S23" s="25">
        <f t="shared" si="8"/>
        <v>0</v>
      </c>
      <c r="T23" s="25">
        <f t="shared" si="8"/>
        <v>0</v>
      </c>
      <c r="U23" s="25">
        <f t="shared" si="8"/>
        <v>0</v>
      </c>
      <c r="V23" s="25">
        <f t="shared" si="8"/>
        <v>0</v>
      </c>
      <c r="W23" s="25">
        <f t="shared" si="8"/>
        <v>0</v>
      </c>
      <c r="X23" s="25">
        <f>G23</f>
        <v>0</v>
      </c>
      <c r="Y23" s="25">
        <f>K23</f>
        <v>0</v>
      </c>
      <c r="Z23" s="25">
        <f>O23</f>
        <v>0</v>
      </c>
      <c r="AA23" s="25">
        <f>S23</f>
        <v>0</v>
      </c>
      <c r="AB23" s="25">
        <f>W23</f>
        <v>0</v>
      </c>
    </row>
    <row r="24" spans="1:28" x14ac:dyDescent="0.3">
      <c r="A24" s="20" t="s">
        <v>181</v>
      </c>
      <c r="B24" s="20" t="s">
        <v>175</v>
      </c>
      <c r="C24" s="25">
        <v>0</v>
      </c>
      <c r="D24" s="25">
        <f t="shared" ref="D24:W24" si="9">C26</f>
        <v>0</v>
      </c>
      <c r="E24" s="25">
        <f t="shared" si="9"/>
        <v>0</v>
      </c>
      <c r="F24" s="25">
        <f t="shared" si="9"/>
        <v>0</v>
      </c>
      <c r="G24" s="25">
        <f t="shared" si="9"/>
        <v>0</v>
      </c>
      <c r="H24" s="25">
        <f t="shared" si="9"/>
        <v>0</v>
      </c>
      <c r="I24" s="25">
        <f t="shared" si="9"/>
        <v>0</v>
      </c>
      <c r="J24" s="25">
        <f t="shared" si="9"/>
        <v>0</v>
      </c>
      <c r="K24" s="25">
        <f t="shared" si="9"/>
        <v>0</v>
      </c>
      <c r="L24" s="25">
        <f t="shared" si="9"/>
        <v>0</v>
      </c>
      <c r="M24" s="25">
        <f t="shared" si="9"/>
        <v>0</v>
      </c>
      <c r="N24" s="25">
        <f t="shared" si="9"/>
        <v>0</v>
      </c>
      <c r="O24" s="25">
        <f t="shared" si="9"/>
        <v>0</v>
      </c>
      <c r="P24" s="25">
        <f t="shared" si="9"/>
        <v>0</v>
      </c>
      <c r="Q24" s="25">
        <f t="shared" si="9"/>
        <v>0</v>
      </c>
      <c r="R24" s="25">
        <f t="shared" si="9"/>
        <v>0</v>
      </c>
      <c r="S24" s="25">
        <f t="shared" si="9"/>
        <v>0</v>
      </c>
      <c r="T24" s="25">
        <f t="shared" si="9"/>
        <v>0</v>
      </c>
      <c r="U24" s="25">
        <f t="shared" si="9"/>
        <v>0</v>
      </c>
      <c r="V24" s="25">
        <f t="shared" si="9"/>
        <v>0</v>
      </c>
      <c r="W24" s="25">
        <f t="shared" si="9"/>
        <v>0</v>
      </c>
      <c r="X24" s="25">
        <f>G24</f>
        <v>0</v>
      </c>
      <c r="Y24" s="25">
        <f>K24</f>
        <v>0</v>
      </c>
      <c r="Z24" s="25">
        <f>O24</f>
        <v>0</v>
      </c>
      <c r="AA24" s="25">
        <f>S24</f>
        <v>0</v>
      </c>
      <c r="AB24" s="25">
        <f>W24</f>
        <v>0</v>
      </c>
    </row>
    <row r="25" spans="1:28" x14ac:dyDescent="0.3">
      <c r="A25" s="20" t="s">
        <v>182</v>
      </c>
      <c r="B25" s="20" t="s">
        <v>175</v>
      </c>
      <c r="C25" s="25">
        <v>0</v>
      </c>
      <c r="D25" s="25">
        <f>MIN((C18/20),D24)</f>
        <v>0</v>
      </c>
      <c r="E25" s="25">
        <f>MIN((C18/20),E24)</f>
        <v>0</v>
      </c>
      <c r="F25" s="25">
        <f>MIN((C18/20),F24)</f>
        <v>0</v>
      </c>
      <c r="G25" s="25">
        <f>MIN((C18/20),G24)</f>
        <v>0</v>
      </c>
      <c r="H25" s="25">
        <f>MIN((C18/20),H24)</f>
        <v>0</v>
      </c>
      <c r="I25" s="25">
        <f>MIN((C18/20),I24)</f>
        <v>0</v>
      </c>
      <c r="J25" s="25">
        <f>MIN((C18/20),J24)</f>
        <v>0</v>
      </c>
      <c r="K25" s="25">
        <f>MIN((C18/20),K24)</f>
        <v>0</v>
      </c>
      <c r="L25" s="25">
        <f>MIN((C18/20),L24)</f>
        <v>0</v>
      </c>
      <c r="M25" s="25">
        <f>MIN((C18/20),M24)</f>
        <v>0</v>
      </c>
      <c r="N25" s="25">
        <f>MIN((C18/20),N24)</f>
        <v>0</v>
      </c>
      <c r="O25" s="25">
        <f>MIN((C18/20),O24)</f>
        <v>0</v>
      </c>
      <c r="P25" s="25">
        <f>MIN((C18/20),P24)</f>
        <v>0</v>
      </c>
      <c r="Q25" s="25">
        <f>MIN((C18/20),Q24)</f>
        <v>0</v>
      </c>
      <c r="R25" s="25">
        <f>MIN((C18/20),R24)</f>
        <v>0</v>
      </c>
      <c r="S25" s="25">
        <f>MIN((C18/20),S24)</f>
        <v>0</v>
      </c>
      <c r="T25" s="25">
        <f>MIN((C18/20),T24)</f>
        <v>0</v>
      </c>
      <c r="U25" s="25">
        <f>MIN((C18/20),U24)</f>
        <v>0</v>
      </c>
      <c r="V25" s="25">
        <f>MIN((C18/20),V24)</f>
        <v>0</v>
      </c>
      <c r="W25" s="25">
        <f>MIN((C18/20),W24)</f>
        <v>0</v>
      </c>
      <c r="X25" s="25">
        <f>SUM(D25:G25)</f>
        <v>0</v>
      </c>
      <c r="Y25" s="25">
        <f>SUM(H25:K25)</f>
        <v>0</v>
      </c>
      <c r="Z25" s="25">
        <f>SUM(L25:O25)</f>
        <v>0</v>
      </c>
      <c r="AA25" s="25">
        <f>SUM(P25:S25)</f>
        <v>0</v>
      </c>
      <c r="AB25" s="25">
        <f>SUM(T25:W25)</f>
        <v>0</v>
      </c>
    </row>
    <row r="26" spans="1:28" x14ac:dyDescent="0.3">
      <c r="A26" s="20" t="s">
        <v>183</v>
      </c>
      <c r="B26" s="20" t="s">
        <v>175</v>
      </c>
      <c r="C26" s="25">
        <f t="shared" ref="C26:W26" si="10">MAX(0,C24-C25)</f>
        <v>0</v>
      </c>
      <c r="D26" s="25">
        <f t="shared" si="10"/>
        <v>0</v>
      </c>
      <c r="E26" s="25">
        <f t="shared" si="10"/>
        <v>0</v>
      </c>
      <c r="F26" s="25">
        <f t="shared" si="10"/>
        <v>0</v>
      </c>
      <c r="G26" s="25">
        <f t="shared" si="10"/>
        <v>0</v>
      </c>
      <c r="H26" s="25">
        <f t="shared" si="10"/>
        <v>0</v>
      </c>
      <c r="I26" s="25">
        <f t="shared" si="10"/>
        <v>0</v>
      </c>
      <c r="J26" s="25">
        <f t="shared" si="10"/>
        <v>0</v>
      </c>
      <c r="K26" s="25">
        <f t="shared" si="10"/>
        <v>0</v>
      </c>
      <c r="L26" s="25">
        <f t="shared" si="10"/>
        <v>0</v>
      </c>
      <c r="M26" s="25">
        <f t="shared" si="10"/>
        <v>0</v>
      </c>
      <c r="N26" s="25">
        <f t="shared" si="10"/>
        <v>0</v>
      </c>
      <c r="O26" s="25">
        <f t="shared" si="10"/>
        <v>0</v>
      </c>
      <c r="P26" s="25">
        <f t="shared" si="10"/>
        <v>0</v>
      </c>
      <c r="Q26" s="25">
        <f t="shared" si="10"/>
        <v>0</v>
      </c>
      <c r="R26" s="25">
        <f t="shared" si="10"/>
        <v>0</v>
      </c>
      <c r="S26" s="25">
        <f t="shared" si="10"/>
        <v>0</v>
      </c>
      <c r="T26" s="25">
        <f t="shared" si="10"/>
        <v>0</v>
      </c>
      <c r="U26" s="25">
        <f t="shared" si="10"/>
        <v>0</v>
      </c>
      <c r="V26" s="25">
        <f t="shared" si="10"/>
        <v>0</v>
      </c>
      <c r="W26" s="25">
        <f t="shared" si="10"/>
        <v>0</v>
      </c>
      <c r="X26" s="25">
        <f>G26</f>
        <v>0</v>
      </c>
      <c r="Y26" s="25">
        <f>K26</f>
        <v>0</v>
      </c>
      <c r="Z26" s="25">
        <f>O26</f>
        <v>0</v>
      </c>
      <c r="AA26" s="25">
        <f>S26</f>
        <v>0</v>
      </c>
      <c r="AB26" s="25">
        <f>W26</f>
        <v>0</v>
      </c>
    </row>
  </sheetData>
  <mergeCells count="2">
    <mergeCell ref="A6:AB6"/>
    <mergeCell ref="A17:A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5A5A5"/>
  </sheetPr>
  <dimension ref="A1:AB14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184</v>
      </c>
    </row>
    <row r="2" spans="1:28" x14ac:dyDescent="0.3">
      <c r="A2" s="2" t="s">
        <v>185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46163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1" t="s">
        <v>186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 spans="1:28" x14ac:dyDescent="0.3">
      <c r="A7" s="7" t="s">
        <v>187</v>
      </c>
      <c r="B7" s="7" t="s">
        <v>159</v>
      </c>
      <c r="C7" s="11">
        <v>0</v>
      </c>
      <c r="D7" s="11">
        <f t="shared" ref="D7:W7" si="0">C12</f>
        <v>0</v>
      </c>
      <c r="E7" s="11">
        <f t="shared" si="0"/>
        <v>0</v>
      </c>
      <c r="F7" s="11">
        <f t="shared" si="0"/>
        <v>0</v>
      </c>
      <c r="G7" s="11">
        <f t="shared" si="0"/>
        <v>0</v>
      </c>
      <c r="H7" s="11">
        <f t="shared" si="0"/>
        <v>0</v>
      </c>
      <c r="I7" s="11">
        <f t="shared" si="0"/>
        <v>0</v>
      </c>
      <c r="J7" s="11">
        <f t="shared" si="0"/>
        <v>0</v>
      </c>
      <c r="K7" s="11">
        <f t="shared" si="0"/>
        <v>0</v>
      </c>
      <c r="L7" s="11">
        <f t="shared" si="0"/>
        <v>0</v>
      </c>
      <c r="M7" s="11">
        <f t="shared" si="0"/>
        <v>0</v>
      </c>
      <c r="N7" s="11">
        <f t="shared" si="0"/>
        <v>0</v>
      </c>
      <c r="O7" s="11">
        <f t="shared" si="0"/>
        <v>0</v>
      </c>
      <c r="P7" s="11">
        <f t="shared" si="0"/>
        <v>0</v>
      </c>
      <c r="Q7" s="11">
        <f t="shared" si="0"/>
        <v>0</v>
      </c>
      <c r="R7" s="11">
        <f t="shared" si="0"/>
        <v>0</v>
      </c>
      <c r="S7" s="11">
        <f t="shared" si="0"/>
        <v>0</v>
      </c>
      <c r="T7" s="11">
        <f t="shared" si="0"/>
        <v>0</v>
      </c>
      <c r="U7" s="11">
        <f t="shared" si="0"/>
        <v>0</v>
      </c>
      <c r="V7" s="11">
        <f t="shared" si="0"/>
        <v>0</v>
      </c>
      <c r="W7" s="11">
        <f t="shared" si="0"/>
        <v>0</v>
      </c>
      <c r="X7" s="11">
        <f>G7</f>
        <v>0</v>
      </c>
      <c r="Y7" s="11">
        <f>K7</f>
        <v>0</v>
      </c>
      <c r="Z7" s="11">
        <f>O7</f>
        <v>0</v>
      </c>
      <c r="AA7" s="11">
        <f>S7</f>
        <v>0</v>
      </c>
      <c r="AB7" s="11">
        <f>W7</f>
        <v>0</v>
      </c>
    </row>
    <row r="8" spans="1:28" x14ac:dyDescent="0.3">
      <c r="A8" s="33" t="s">
        <v>72</v>
      </c>
      <c r="B8" s="33" t="s">
        <v>188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f>SUM(D8:G8)</f>
        <v>0</v>
      </c>
      <c r="Y8" s="34">
        <f>SUM(H8:K8)</f>
        <v>0</v>
      </c>
      <c r="Z8" s="34">
        <f>SUM(L8:O8)</f>
        <v>0</v>
      </c>
      <c r="AA8" s="34">
        <f>SUM(P8:S8)</f>
        <v>0</v>
      </c>
      <c r="AB8" s="34">
        <f>SUM(T8:W8)</f>
        <v>0</v>
      </c>
    </row>
    <row r="9" spans="1:28" x14ac:dyDescent="0.3">
      <c r="A9" s="7" t="s">
        <v>189</v>
      </c>
      <c r="B9" s="7" t="s">
        <v>188</v>
      </c>
      <c r="C9" s="11">
        <v>0</v>
      </c>
      <c r="D9" s="11">
        <f>'Debt Schedule'!D21</f>
        <v>0</v>
      </c>
      <c r="E9" s="11">
        <f>'Debt Schedule'!E21</f>
        <v>0</v>
      </c>
      <c r="F9" s="11">
        <f>'Debt Schedule'!F21</f>
        <v>0</v>
      </c>
      <c r="G9" s="11">
        <f>'Debt Schedule'!G21</f>
        <v>0</v>
      </c>
      <c r="H9" s="11">
        <f>'Debt Schedule'!H21</f>
        <v>0</v>
      </c>
      <c r="I9" s="11">
        <f>'Debt Schedule'!I21</f>
        <v>0</v>
      </c>
      <c r="J9" s="11">
        <f>'Debt Schedule'!J21</f>
        <v>0</v>
      </c>
      <c r="K9" s="11">
        <f>'Debt Schedule'!K21</f>
        <v>0</v>
      </c>
      <c r="L9" s="11">
        <f>'Debt Schedule'!L21</f>
        <v>0</v>
      </c>
      <c r="M9" s="11">
        <f>'Debt Schedule'!M21</f>
        <v>0</v>
      </c>
      <c r="N9" s="11">
        <f>'Debt Schedule'!N21</f>
        <v>0</v>
      </c>
      <c r="O9" s="11">
        <f>'Debt Schedule'!O21</f>
        <v>0</v>
      </c>
      <c r="P9" s="11">
        <f>'Debt Schedule'!P21</f>
        <v>0</v>
      </c>
      <c r="Q9" s="11">
        <f>'Debt Schedule'!Q21</f>
        <v>0</v>
      </c>
      <c r="R9" s="11">
        <f>'Debt Schedule'!R21</f>
        <v>0</v>
      </c>
      <c r="S9" s="11">
        <f>'Debt Schedule'!S21</f>
        <v>0</v>
      </c>
      <c r="T9" s="11">
        <f>'Debt Schedule'!T21</f>
        <v>0</v>
      </c>
      <c r="U9" s="11">
        <f>'Debt Schedule'!U21</f>
        <v>0</v>
      </c>
      <c r="V9" s="11">
        <f>'Debt Schedule'!V21</f>
        <v>0</v>
      </c>
      <c r="W9" s="11">
        <f>'Debt Schedule'!W21</f>
        <v>0</v>
      </c>
      <c r="X9" s="11">
        <f>SUM(D9:G9)</f>
        <v>0</v>
      </c>
      <c r="Y9" s="11">
        <f>SUM(H9:K9)</f>
        <v>0</v>
      </c>
      <c r="Z9" s="11">
        <f>SUM(L9:O9)</f>
        <v>0</v>
      </c>
      <c r="AA9" s="11">
        <f>SUM(P9:S9)</f>
        <v>0</v>
      </c>
      <c r="AB9" s="11">
        <f>SUM(T9:W9)</f>
        <v>0</v>
      </c>
    </row>
    <row r="10" spans="1:28" x14ac:dyDescent="0.3">
      <c r="A10" s="7" t="s">
        <v>190</v>
      </c>
      <c r="B10" s="7" t="s">
        <v>188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3">
        <f>SUM(D10:G10)</f>
        <v>0</v>
      </c>
      <c r="Y10" s="13">
        <f>SUM(H10:K10)</f>
        <v>0</v>
      </c>
      <c r="Z10" s="13">
        <f>SUM(L10:O10)</f>
        <v>0</v>
      </c>
      <c r="AA10" s="13">
        <f>SUM(P10:S10)</f>
        <v>0</v>
      </c>
      <c r="AB10" s="13">
        <f>SUM(T10:W10)</f>
        <v>0</v>
      </c>
    </row>
    <row r="11" spans="1:28" x14ac:dyDescent="0.3">
      <c r="A11" s="23" t="s">
        <v>191</v>
      </c>
      <c r="B11" s="23" t="s">
        <v>159</v>
      </c>
      <c r="C11" s="24">
        <f t="shared" ref="C11:W11" si="1">MIN(C7*C10,C7)</f>
        <v>0</v>
      </c>
      <c r="D11" s="24">
        <f t="shared" si="1"/>
        <v>0</v>
      </c>
      <c r="E11" s="24">
        <f t="shared" si="1"/>
        <v>0</v>
      </c>
      <c r="F11" s="24">
        <f t="shared" si="1"/>
        <v>0</v>
      </c>
      <c r="G11" s="24">
        <f t="shared" si="1"/>
        <v>0</v>
      </c>
      <c r="H11" s="24">
        <f t="shared" si="1"/>
        <v>0</v>
      </c>
      <c r="I11" s="24">
        <f t="shared" si="1"/>
        <v>0</v>
      </c>
      <c r="J11" s="24">
        <f t="shared" si="1"/>
        <v>0</v>
      </c>
      <c r="K11" s="24">
        <f t="shared" si="1"/>
        <v>0</v>
      </c>
      <c r="L11" s="24">
        <f t="shared" si="1"/>
        <v>0</v>
      </c>
      <c r="M11" s="24">
        <f t="shared" si="1"/>
        <v>0</v>
      </c>
      <c r="N11" s="24">
        <f t="shared" si="1"/>
        <v>0</v>
      </c>
      <c r="O11" s="24">
        <f t="shared" si="1"/>
        <v>0</v>
      </c>
      <c r="P11" s="24">
        <f t="shared" si="1"/>
        <v>0</v>
      </c>
      <c r="Q11" s="24">
        <f t="shared" si="1"/>
        <v>0</v>
      </c>
      <c r="R11" s="24">
        <f t="shared" si="1"/>
        <v>0</v>
      </c>
      <c r="S11" s="24">
        <f t="shared" si="1"/>
        <v>0</v>
      </c>
      <c r="T11" s="24">
        <f t="shared" si="1"/>
        <v>0</v>
      </c>
      <c r="U11" s="24">
        <f t="shared" si="1"/>
        <v>0</v>
      </c>
      <c r="V11" s="24">
        <f t="shared" si="1"/>
        <v>0</v>
      </c>
      <c r="W11" s="24">
        <f t="shared" si="1"/>
        <v>0</v>
      </c>
      <c r="X11" s="24">
        <f>SUM(D11:G11)</f>
        <v>0</v>
      </c>
      <c r="Y11" s="24">
        <f>SUM(H11:K11)</f>
        <v>0</v>
      </c>
      <c r="Z11" s="24">
        <f>SUM(L11:O11)</f>
        <v>0</v>
      </c>
      <c r="AA11" s="24">
        <f>SUM(P11:S11)</f>
        <v>0</v>
      </c>
      <c r="AB11" s="24">
        <f>SUM(T11:W11)</f>
        <v>0</v>
      </c>
    </row>
    <row r="12" spans="1:28" x14ac:dyDescent="0.3">
      <c r="A12" s="23" t="s">
        <v>192</v>
      </c>
      <c r="B12" s="23" t="s">
        <v>159</v>
      </c>
      <c r="C12" s="24">
        <f t="shared" ref="C12:W12" si="2">MAX(0,C7+C8+C9-C11)</f>
        <v>0</v>
      </c>
      <c r="D12" s="24">
        <f t="shared" si="2"/>
        <v>0</v>
      </c>
      <c r="E12" s="24">
        <f t="shared" si="2"/>
        <v>0</v>
      </c>
      <c r="F12" s="24">
        <f t="shared" si="2"/>
        <v>0</v>
      </c>
      <c r="G12" s="24">
        <f t="shared" si="2"/>
        <v>0</v>
      </c>
      <c r="H12" s="24">
        <f t="shared" si="2"/>
        <v>0</v>
      </c>
      <c r="I12" s="24">
        <f t="shared" si="2"/>
        <v>0</v>
      </c>
      <c r="J12" s="24">
        <f t="shared" si="2"/>
        <v>0</v>
      </c>
      <c r="K12" s="24">
        <f t="shared" si="2"/>
        <v>0</v>
      </c>
      <c r="L12" s="24">
        <f t="shared" si="2"/>
        <v>0</v>
      </c>
      <c r="M12" s="24">
        <f t="shared" si="2"/>
        <v>0</v>
      </c>
      <c r="N12" s="24">
        <f t="shared" si="2"/>
        <v>0</v>
      </c>
      <c r="O12" s="24">
        <f t="shared" si="2"/>
        <v>0</v>
      </c>
      <c r="P12" s="24">
        <f t="shared" si="2"/>
        <v>0</v>
      </c>
      <c r="Q12" s="24">
        <f t="shared" si="2"/>
        <v>0</v>
      </c>
      <c r="R12" s="24">
        <f t="shared" si="2"/>
        <v>0</v>
      </c>
      <c r="S12" s="24">
        <f t="shared" si="2"/>
        <v>0</v>
      </c>
      <c r="T12" s="24">
        <f t="shared" si="2"/>
        <v>0</v>
      </c>
      <c r="U12" s="24">
        <f t="shared" si="2"/>
        <v>0</v>
      </c>
      <c r="V12" s="24">
        <f t="shared" si="2"/>
        <v>0</v>
      </c>
      <c r="W12" s="24">
        <f t="shared" si="2"/>
        <v>0</v>
      </c>
      <c r="X12" s="24">
        <f>G12</f>
        <v>0</v>
      </c>
      <c r="Y12" s="24">
        <f>K12</f>
        <v>0</v>
      </c>
      <c r="Z12" s="24">
        <f>O12</f>
        <v>0</v>
      </c>
      <c r="AA12" s="24">
        <f>S12</f>
        <v>0</v>
      </c>
      <c r="AB12" s="24">
        <f>W12</f>
        <v>0</v>
      </c>
    </row>
    <row r="13" spans="1:28" x14ac:dyDescent="0.3">
      <c r="A13" s="7" t="s">
        <v>193</v>
      </c>
      <c r="B13" s="7" t="s">
        <v>159</v>
      </c>
      <c r="C13" s="11">
        <v>0</v>
      </c>
      <c r="D13" s="11">
        <f t="shared" ref="D13:W13" si="3">C14</f>
        <v>0</v>
      </c>
      <c r="E13" s="11">
        <f t="shared" si="3"/>
        <v>0</v>
      </c>
      <c r="F13" s="11">
        <f t="shared" si="3"/>
        <v>0</v>
      </c>
      <c r="G13" s="11">
        <f t="shared" si="3"/>
        <v>0</v>
      </c>
      <c r="H13" s="11">
        <f t="shared" si="3"/>
        <v>0</v>
      </c>
      <c r="I13" s="11">
        <f t="shared" si="3"/>
        <v>0</v>
      </c>
      <c r="J13" s="11">
        <f t="shared" si="3"/>
        <v>0</v>
      </c>
      <c r="K13" s="11">
        <f t="shared" si="3"/>
        <v>0</v>
      </c>
      <c r="L13" s="11">
        <f t="shared" si="3"/>
        <v>0</v>
      </c>
      <c r="M13" s="11">
        <f t="shared" si="3"/>
        <v>0</v>
      </c>
      <c r="N13" s="11">
        <f t="shared" si="3"/>
        <v>0</v>
      </c>
      <c r="O13" s="11">
        <f t="shared" si="3"/>
        <v>0</v>
      </c>
      <c r="P13" s="11">
        <f t="shared" si="3"/>
        <v>0</v>
      </c>
      <c r="Q13" s="11">
        <f t="shared" si="3"/>
        <v>0</v>
      </c>
      <c r="R13" s="11">
        <f t="shared" si="3"/>
        <v>0</v>
      </c>
      <c r="S13" s="11">
        <f t="shared" si="3"/>
        <v>0</v>
      </c>
      <c r="T13" s="11">
        <f t="shared" si="3"/>
        <v>0</v>
      </c>
      <c r="U13" s="11">
        <f t="shared" si="3"/>
        <v>0</v>
      </c>
      <c r="V13" s="11">
        <f t="shared" si="3"/>
        <v>0</v>
      </c>
      <c r="W13" s="11">
        <f t="shared" si="3"/>
        <v>0</v>
      </c>
      <c r="X13" s="11">
        <f>G13</f>
        <v>0</v>
      </c>
      <c r="Y13" s="11">
        <f>K13</f>
        <v>0</v>
      </c>
      <c r="Z13" s="11">
        <f>O13</f>
        <v>0</v>
      </c>
      <c r="AA13" s="11">
        <f>S13</f>
        <v>0</v>
      </c>
      <c r="AB13" s="11">
        <f>W13</f>
        <v>0</v>
      </c>
    </row>
    <row r="14" spans="1:28" x14ac:dyDescent="0.3">
      <c r="A14" s="7" t="s">
        <v>53</v>
      </c>
      <c r="B14" s="7" t="s">
        <v>159</v>
      </c>
      <c r="C14" s="11">
        <f t="shared" ref="C14:W14" si="4">C13-C11</f>
        <v>0</v>
      </c>
      <c r="D14" s="11">
        <f t="shared" si="4"/>
        <v>0</v>
      </c>
      <c r="E14" s="11">
        <f t="shared" si="4"/>
        <v>0</v>
      </c>
      <c r="F14" s="11">
        <f t="shared" si="4"/>
        <v>0</v>
      </c>
      <c r="G14" s="11">
        <f t="shared" si="4"/>
        <v>0</v>
      </c>
      <c r="H14" s="11">
        <f t="shared" si="4"/>
        <v>0</v>
      </c>
      <c r="I14" s="11">
        <f t="shared" si="4"/>
        <v>0</v>
      </c>
      <c r="J14" s="11">
        <f t="shared" si="4"/>
        <v>0</v>
      </c>
      <c r="K14" s="11">
        <f t="shared" si="4"/>
        <v>0</v>
      </c>
      <c r="L14" s="11">
        <f t="shared" si="4"/>
        <v>0</v>
      </c>
      <c r="M14" s="11">
        <f t="shared" si="4"/>
        <v>0</v>
      </c>
      <c r="N14" s="11">
        <f t="shared" si="4"/>
        <v>0</v>
      </c>
      <c r="O14" s="11">
        <f t="shared" si="4"/>
        <v>0</v>
      </c>
      <c r="P14" s="11">
        <f t="shared" si="4"/>
        <v>0</v>
      </c>
      <c r="Q14" s="11">
        <f t="shared" si="4"/>
        <v>0</v>
      </c>
      <c r="R14" s="11">
        <f t="shared" si="4"/>
        <v>0</v>
      </c>
      <c r="S14" s="11">
        <f t="shared" si="4"/>
        <v>0</v>
      </c>
      <c r="T14" s="11">
        <f t="shared" si="4"/>
        <v>0</v>
      </c>
      <c r="U14" s="11">
        <f t="shared" si="4"/>
        <v>0</v>
      </c>
      <c r="V14" s="11">
        <f t="shared" si="4"/>
        <v>0</v>
      </c>
      <c r="W14" s="11">
        <f t="shared" si="4"/>
        <v>0</v>
      </c>
      <c r="X14" s="11">
        <f>G14</f>
        <v>0</v>
      </c>
      <c r="Y14" s="11">
        <f>K14</f>
        <v>0</v>
      </c>
      <c r="Z14" s="11">
        <f>O14</f>
        <v>0</v>
      </c>
      <c r="AA14" s="11">
        <f>S14</f>
        <v>0</v>
      </c>
      <c r="AB14" s="11">
        <f>W14</f>
        <v>0</v>
      </c>
    </row>
  </sheetData>
  <mergeCells count="1">
    <mergeCell ref="A6:A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AB19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194</v>
      </c>
    </row>
    <row r="2" spans="1:28" x14ac:dyDescent="0.3">
      <c r="A2" s="2" t="s">
        <v>195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46163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1" t="s">
        <v>196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 spans="1:28" x14ac:dyDescent="0.3">
      <c r="A7" s="7" t="s">
        <v>197</v>
      </c>
      <c r="B7" s="7" t="s">
        <v>198</v>
      </c>
      <c r="C7" s="8">
        <v>0</v>
      </c>
      <c r="D7" s="8">
        <v>15</v>
      </c>
      <c r="E7" s="8">
        <v>15</v>
      </c>
      <c r="F7" s="8">
        <v>15</v>
      </c>
      <c r="G7" s="8">
        <v>15</v>
      </c>
      <c r="H7" s="8">
        <v>15</v>
      </c>
      <c r="I7" s="8">
        <v>15</v>
      </c>
      <c r="J7" s="8">
        <v>15</v>
      </c>
      <c r="K7" s="8">
        <v>15</v>
      </c>
      <c r="L7" s="8">
        <v>15</v>
      </c>
      <c r="M7" s="8">
        <v>15</v>
      </c>
      <c r="N7" s="8">
        <v>15</v>
      </c>
      <c r="O7" s="8">
        <v>15</v>
      </c>
      <c r="P7" s="8">
        <v>15</v>
      </c>
      <c r="Q7" s="8">
        <v>15</v>
      </c>
      <c r="R7" s="8">
        <v>15</v>
      </c>
      <c r="S7" s="8">
        <v>15</v>
      </c>
      <c r="T7" s="8">
        <v>15</v>
      </c>
      <c r="U7" s="8">
        <v>15</v>
      </c>
      <c r="V7" s="8">
        <v>15</v>
      </c>
      <c r="W7" s="8">
        <v>15</v>
      </c>
      <c r="X7" s="9"/>
      <c r="Y7" s="9"/>
      <c r="Z7" s="9"/>
      <c r="AA7" s="9"/>
      <c r="AB7" s="9"/>
    </row>
    <row r="8" spans="1:28" x14ac:dyDescent="0.3">
      <c r="A8" s="7" t="s">
        <v>199</v>
      </c>
      <c r="B8" s="7" t="s">
        <v>198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9"/>
      <c r="Y8" s="9"/>
      <c r="Z8" s="9"/>
      <c r="AA8" s="9"/>
      <c r="AB8" s="9"/>
    </row>
    <row r="9" spans="1:28" x14ac:dyDescent="0.3">
      <c r="A9" s="7" t="s">
        <v>200</v>
      </c>
      <c r="B9" s="7" t="s">
        <v>198</v>
      </c>
      <c r="C9" s="8">
        <v>0</v>
      </c>
      <c r="D9" s="8">
        <v>30</v>
      </c>
      <c r="E9" s="8">
        <v>30</v>
      </c>
      <c r="F9" s="8">
        <v>30</v>
      </c>
      <c r="G9" s="8">
        <v>30</v>
      </c>
      <c r="H9" s="8">
        <v>30</v>
      </c>
      <c r="I9" s="8">
        <v>30</v>
      </c>
      <c r="J9" s="8">
        <v>30</v>
      </c>
      <c r="K9" s="8">
        <v>30</v>
      </c>
      <c r="L9" s="8">
        <v>30</v>
      </c>
      <c r="M9" s="8">
        <v>30</v>
      </c>
      <c r="N9" s="8">
        <v>30</v>
      </c>
      <c r="O9" s="8">
        <v>30</v>
      </c>
      <c r="P9" s="8">
        <v>30</v>
      </c>
      <c r="Q9" s="8">
        <v>30</v>
      </c>
      <c r="R9" s="8">
        <v>30</v>
      </c>
      <c r="S9" s="8">
        <v>30</v>
      </c>
      <c r="T9" s="8">
        <v>30</v>
      </c>
      <c r="U9" s="8">
        <v>30</v>
      </c>
      <c r="V9" s="8">
        <v>30</v>
      </c>
      <c r="W9" s="8">
        <v>30</v>
      </c>
      <c r="X9" s="9"/>
      <c r="Y9" s="9"/>
      <c r="Z9" s="9"/>
      <c r="AA9" s="9"/>
      <c r="AB9" s="9"/>
    </row>
    <row r="10" spans="1:28" x14ac:dyDescent="0.3">
      <c r="A10" s="7" t="s">
        <v>201</v>
      </c>
      <c r="B10" s="7" t="s">
        <v>198</v>
      </c>
      <c r="C10" s="12">
        <v>0</v>
      </c>
      <c r="D10" s="12">
        <v>0.02</v>
      </c>
      <c r="E10" s="12">
        <v>0.02</v>
      </c>
      <c r="F10" s="12">
        <v>0.02</v>
      </c>
      <c r="G10" s="12">
        <v>0.02</v>
      </c>
      <c r="H10" s="12">
        <v>0.02</v>
      </c>
      <c r="I10" s="12">
        <v>0.02</v>
      </c>
      <c r="J10" s="12">
        <v>0.02</v>
      </c>
      <c r="K10" s="12">
        <v>0.02</v>
      </c>
      <c r="L10" s="12">
        <v>0.02</v>
      </c>
      <c r="M10" s="12">
        <v>0.02</v>
      </c>
      <c r="N10" s="12">
        <v>0.02</v>
      </c>
      <c r="O10" s="12">
        <v>0.02</v>
      </c>
      <c r="P10" s="12">
        <v>0.02</v>
      </c>
      <c r="Q10" s="12">
        <v>0.02</v>
      </c>
      <c r="R10" s="12">
        <v>0.02</v>
      </c>
      <c r="S10" s="12">
        <v>0.02</v>
      </c>
      <c r="T10" s="12">
        <v>0.02</v>
      </c>
      <c r="U10" s="12">
        <v>0.02</v>
      </c>
      <c r="V10" s="12">
        <v>0.02</v>
      </c>
      <c r="W10" s="12">
        <v>0.02</v>
      </c>
      <c r="X10" s="13"/>
      <c r="Y10" s="13"/>
      <c r="Z10" s="13"/>
      <c r="AA10" s="13"/>
      <c r="AB10" s="13"/>
    </row>
    <row r="11" spans="1:28" x14ac:dyDescent="0.3">
      <c r="A11" s="7" t="s">
        <v>202</v>
      </c>
      <c r="B11" s="7" t="s">
        <v>198</v>
      </c>
      <c r="C11" s="12">
        <v>0</v>
      </c>
      <c r="D11" s="12">
        <v>0.05</v>
      </c>
      <c r="E11" s="12">
        <v>0.05</v>
      </c>
      <c r="F11" s="12">
        <v>0.05</v>
      </c>
      <c r="G11" s="12">
        <v>0.05</v>
      </c>
      <c r="H11" s="12">
        <v>0.05</v>
      </c>
      <c r="I11" s="12">
        <v>0.05</v>
      </c>
      <c r="J11" s="12">
        <v>0.05</v>
      </c>
      <c r="K11" s="12">
        <v>0.05</v>
      </c>
      <c r="L11" s="12">
        <v>0.05</v>
      </c>
      <c r="M11" s="12">
        <v>0.05</v>
      </c>
      <c r="N11" s="12">
        <v>0.05</v>
      </c>
      <c r="O11" s="12">
        <v>0.05</v>
      </c>
      <c r="P11" s="12">
        <v>0.05</v>
      </c>
      <c r="Q11" s="12">
        <v>0.05</v>
      </c>
      <c r="R11" s="12">
        <v>0.05</v>
      </c>
      <c r="S11" s="12">
        <v>0.05</v>
      </c>
      <c r="T11" s="12">
        <v>0.05</v>
      </c>
      <c r="U11" s="12">
        <v>0.05</v>
      </c>
      <c r="V11" s="12">
        <v>0.05</v>
      </c>
      <c r="W11" s="12">
        <v>0.05</v>
      </c>
      <c r="X11" s="13"/>
      <c r="Y11" s="13"/>
      <c r="Z11" s="13"/>
      <c r="AA11" s="13"/>
      <c r="AB11" s="13"/>
    </row>
    <row r="12" spans="1:28" x14ac:dyDescent="0.3">
      <c r="A12" s="7" t="s">
        <v>203</v>
      </c>
      <c r="B12" s="7" t="s">
        <v>198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3"/>
      <c r="Y12" s="13"/>
      <c r="Z12" s="13"/>
      <c r="AA12" s="13"/>
      <c r="AB12" s="13"/>
    </row>
    <row r="14" spans="1:28" x14ac:dyDescent="0.3">
      <c r="A14" s="51" t="s">
        <v>204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 spans="1:28" x14ac:dyDescent="0.3">
      <c r="A15" s="20" t="s">
        <v>205</v>
      </c>
      <c r="B15" s="20" t="s">
        <v>206</v>
      </c>
      <c r="C15" s="25">
        <v>0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/>
      <c r="Y15" s="25"/>
      <c r="Z15" s="25"/>
      <c r="AA15" s="25"/>
      <c r="AB15" s="25"/>
    </row>
    <row r="16" spans="1:28" x14ac:dyDescent="0.3">
      <c r="A16" s="20" t="s">
        <v>207</v>
      </c>
      <c r="B16" s="20" t="s">
        <v>206</v>
      </c>
      <c r="C16" s="25">
        <v>0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v>0</v>
      </c>
      <c r="R16" s="25">
        <v>0</v>
      </c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25"/>
      <c r="Y16" s="25"/>
      <c r="Z16" s="25"/>
      <c r="AA16" s="25"/>
      <c r="AB16" s="25"/>
    </row>
    <row r="17" spans="1:28" x14ac:dyDescent="0.3">
      <c r="A17" s="20" t="s">
        <v>208</v>
      </c>
      <c r="B17" s="20" t="s">
        <v>206</v>
      </c>
      <c r="C17" s="25">
        <v>0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/>
      <c r="Y17" s="25"/>
      <c r="Z17" s="25"/>
      <c r="AA17" s="25"/>
      <c r="AB17" s="25"/>
    </row>
    <row r="18" spans="1:28" x14ac:dyDescent="0.3">
      <c r="A18" s="20" t="s">
        <v>209</v>
      </c>
      <c r="B18" s="20" t="s">
        <v>206</v>
      </c>
      <c r="C18" s="25">
        <v>0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25">
        <v>0</v>
      </c>
      <c r="X18" s="25"/>
      <c r="Y18" s="25"/>
      <c r="Z18" s="25"/>
      <c r="AA18" s="25"/>
      <c r="AB18" s="25"/>
    </row>
    <row r="19" spans="1:28" x14ac:dyDescent="0.3">
      <c r="A19" s="20" t="s">
        <v>210</v>
      </c>
      <c r="B19" s="20" t="s">
        <v>206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/>
      <c r="Y19" s="25"/>
      <c r="Z19" s="25"/>
      <c r="AA19" s="25"/>
      <c r="AB19" s="25"/>
    </row>
  </sheetData>
  <mergeCells count="2">
    <mergeCell ref="A14:AB14"/>
    <mergeCell ref="A6:A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</sheetPr>
  <dimension ref="A1:AB12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211</v>
      </c>
    </row>
    <row r="2" spans="1:28" x14ac:dyDescent="0.3">
      <c r="A2" s="2" t="s">
        <v>212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46163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1" t="s">
        <v>213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 spans="1:28" x14ac:dyDescent="0.3">
      <c r="A7" s="7" t="s">
        <v>62</v>
      </c>
      <c r="B7" s="7" t="s">
        <v>214</v>
      </c>
      <c r="C7" s="10">
        <v>0</v>
      </c>
      <c r="D7" s="10">
        <v>2447461</v>
      </c>
      <c r="E7" s="10">
        <v>2447461</v>
      </c>
      <c r="F7" s="10">
        <v>2447461</v>
      </c>
      <c r="G7" s="10">
        <v>2447461</v>
      </c>
      <c r="H7" s="10">
        <v>2447461</v>
      </c>
      <c r="I7" s="10">
        <v>2447461</v>
      </c>
      <c r="J7" s="10">
        <v>2447461</v>
      </c>
      <c r="K7" s="10">
        <v>2447461</v>
      </c>
      <c r="L7" s="10">
        <v>2447461</v>
      </c>
      <c r="M7" s="10">
        <v>2447461</v>
      </c>
      <c r="N7" s="10">
        <v>2447461</v>
      </c>
      <c r="O7" s="10">
        <v>2447461</v>
      </c>
      <c r="P7" s="10">
        <v>2447461</v>
      </c>
      <c r="Q7" s="10">
        <v>2447461</v>
      </c>
      <c r="R7" s="10">
        <v>2447461</v>
      </c>
      <c r="S7" s="10">
        <v>2447461</v>
      </c>
      <c r="T7" s="10">
        <v>2447461</v>
      </c>
      <c r="U7" s="10">
        <v>2447461</v>
      </c>
      <c r="V7" s="10">
        <v>2447461</v>
      </c>
      <c r="W7" s="10">
        <v>2447461</v>
      </c>
      <c r="X7" s="11"/>
      <c r="Y7" s="11"/>
      <c r="Z7" s="11"/>
      <c r="AA7" s="11"/>
      <c r="AB7" s="11"/>
    </row>
    <row r="8" spans="1:28" x14ac:dyDescent="0.3">
      <c r="A8" s="7" t="s">
        <v>64</v>
      </c>
      <c r="B8" s="7" t="s">
        <v>214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1"/>
      <c r="Y8" s="11"/>
      <c r="Z8" s="11"/>
      <c r="AA8" s="11"/>
      <c r="AB8" s="11"/>
    </row>
    <row r="9" spans="1:28" x14ac:dyDescent="0.3">
      <c r="A9" s="7" t="s">
        <v>77</v>
      </c>
      <c r="B9" s="7" t="s">
        <v>214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49064</v>
      </c>
      <c r="I9" s="10">
        <v>315401</v>
      </c>
      <c r="J9" s="10">
        <v>357886</v>
      </c>
      <c r="K9" s="10">
        <v>411189</v>
      </c>
      <c r="L9" s="10">
        <v>452460</v>
      </c>
      <c r="M9" s="10">
        <v>502177</v>
      </c>
      <c r="N9" s="10">
        <v>542766</v>
      </c>
      <c r="O9" s="10">
        <v>615013</v>
      </c>
      <c r="P9" s="10">
        <v>645570</v>
      </c>
      <c r="Q9" s="10">
        <v>689287</v>
      </c>
      <c r="R9" s="10">
        <v>723067</v>
      </c>
      <c r="S9" s="10">
        <v>787790</v>
      </c>
      <c r="T9" s="10">
        <v>820737</v>
      </c>
      <c r="U9" s="10">
        <v>867001</v>
      </c>
      <c r="V9" s="10">
        <v>902768</v>
      </c>
      <c r="W9" s="10">
        <v>971656</v>
      </c>
      <c r="X9" s="11"/>
      <c r="Y9" s="11"/>
      <c r="Z9" s="11"/>
      <c r="AA9" s="11"/>
      <c r="AB9" s="11"/>
    </row>
    <row r="11" spans="1:28" x14ac:dyDescent="0.3">
      <c r="A11" s="51" t="s">
        <v>215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</row>
    <row r="12" spans="1:28" x14ac:dyDescent="0.3">
      <c r="A12" s="7" t="s">
        <v>216</v>
      </c>
      <c r="B12" s="7" t="s">
        <v>217</v>
      </c>
      <c r="C12" s="10">
        <v>36000</v>
      </c>
      <c r="D12" s="10">
        <v>36000</v>
      </c>
      <c r="E12" s="10">
        <v>36000</v>
      </c>
      <c r="F12" s="10">
        <v>36000</v>
      </c>
      <c r="G12" s="10">
        <v>36000</v>
      </c>
      <c r="H12" s="10">
        <v>36000</v>
      </c>
      <c r="I12" s="10">
        <v>36000</v>
      </c>
      <c r="J12" s="10">
        <v>36000</v>
      </c>
      <c r="K12" s="10">
        <v>36000</v>
      </c>
      <c r="L12" s="10">
        <v>36000</v>
      </c>
      <c r="M12" s="10">
        <v>36000</v>
      </c>
      <c r="N12" s="10">
        <v>36000</v>
      </c>
      <c r="O12" s="10">
        <v>36000</v>
      </c>
      <c r="P12" s="10">
        <v>36000</v>
      </c>
      <c r="Q12" s="10">
        <v>36000</v>
      </c>
      <c r="R12" s="10">
        <v>36000</v>
      </c>
      <c r="S12" s="10">
        <v>36000</v>
      </c>
      <c r="T12" s="10">
        <v>36000</v>
      </c>
      <c r="U12" s="10">
        <v>36000</v>
      </c>
      <c r="V12" s="10">
        <v>36000</v>
      </c>
      <c r="W12" s="10">
        <v>36000</v>
      </c>
      <c r="X12" s="11"/>
      <c r="Y12" s="11"/>
      <c r="Z12" s="11"/>
      <c r="AA12" s="11"/>
      <c r="AB12" s="11"/>
    </row>
  </sheetData>
  <mergeCells count="2">
    <mergeCell ref="A6:AB6"/>
    <mergeCell ref="A11:AB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AB54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218</v>
      </c>
    </row>
    <row r="2" spans="1:28" x14ac:dyDescent="0.3">
      <c r="A2" s="2" t="s">
        <v>219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46163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1" t="s">
        <v>220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 spans="1:28" x14ac:dyDescent="0.3">
      <c r="A7" s="7" t="s">
        <v>86</v>
      </c>
      <c r="B7" s="7" t="s">
        <v>221</v>
      </c>
      <c r="C7" s="9">
        <f>'Revenue Drivers'!C8</f>
        <v>218400</v>
      </c>
      <c r="D7" s="9">
        <f>'Revenue Drivers'!D8</f>
        <v>48000</v>
      </c>
      <c r="E7" s="9">
        <f>'Revenue Drivers'!E8</f>
        <v>48000</v>
      </c>
      <c r="F7" s="9">
        <f>'Revenue Drivers'!F8</f>
        <v>48000</v>
      </c>
      <c r="G7" s="9">
        <f>'Revenue Drivers'!G8</f>
        <v>48000</v>
      </c>
      <c r="H7" s="9">
        <f>'Revenue Drivers'!H8</f>
        <v>48000</v>
      </c>
      <c r="I7" s="9">
        <f>'Revenue Drivers'!I8</f>
        <v>48000</v>
      </c>
      <c r="J7" s="9">
        <f>'Revenue Drivers'!J8</f>
        <v>48000</v>
      </c>
      <c r="K7" s="9">
        <f>'Revenue Drivers'!K8</f>
        <v>48000</v>
      </c>
      <c r="L7" s="9">
        <f>'Revenue Drivers'!L8</f>
        <v>48000</v>
      </c>
      <c r="M7" s="9">
        <f>'Revenue Drivers'!M8</f>
        <v>48000</v>
      </c>
      <c r="N7" s="9">
        <f>'Revenue Drivers'!N8</f>
        <v>48000</v>
      </c>
      <c r="O7" s="9">
        <f>'Revenue Drivers'!O8</f>
        <v>48000</v>
      </c>
      <c r="P7" s="9">
        <f>'Revenue Drivers'!P8</f>
        <v>48000</v>
      </c>
      <c r="Q7" s="9">
        <f>'Revenue Drivers'!Q8</f>
        <v>48000</v>
      </c>
      <c r="R7" s="9">
        <f>'Revenue Drivers'!R8</f>
        <v>48000</v>
      </c>
      <c r="S7" s="9">
        <f>'Revenue Drivers'!S8</f>
        <v>48000</v>
      </c>
      <c r="T7" s="9">
        <f>'Revenue Drivers'!T8</f>
        <v>48000</v>
      </c>
      <c r="U7" s="9">
        <f>'Revenue Drivers'!U8</f>
        <v>48000</v>
      </c>
      <c r="V7" s="9">
        <f>'Revenue Drivers'!V8</f>
        <v>48000</v>
      </c>
      <c r="W7" s="9">
        <f>'Revenue Drivers'!W8</f>
        <v>48000</v>
      </c>
      <c r="X7" s="9">
        <f t="shared" ref="X7:X22" si="0">SUM(D7:G7)</f>
        <v>192000</v>
      </c>
      <c r="Y7" s="9">
        <f t="shared" ref="Y7:Y22" si="1">SUM(H7:K7)</f>
        <v>192000</v>
      </c>
      <c r="Z7" s="9">
        <f t="shared" ref="Z7:Z22" si="2">SUM(L7:O7)</f>
        <v>192000</v>
      </c>
      <c r="AA7" s="9">
        <f t="shared" ref="AA7:AA22" si="3">SUM(P7:S7)</f>
        <v>192000</v>
      </c>
      <c r="AB7" s="9">
        <f t="shared" ref="AB7:AB22" si="4">SUM(T7:W7)</f>
        <v>192000</v>
      </c>
    </row>
    <row r="8" spans="1:28" x14ac:dyDescent="0.3">
      <c r="A8" s="7" t="s">
        <v>88</v>
      </c>
      <c r="B8" s="7" t="s">
        <v>221</v>
      </c>
      <c r="C8" s="11">
        <f>'Revenue Drivers'!C9</f>
        <v>135</v>
      </c>
      <c r="D8" s="11">
        <f>'Revenue Drivers'!D9</f>
        <v>135</v>
      </c>
      <c r="E8" s="11">
        <f>'Revenue Drivers'!E9</f>
        <v>136</v>
      </c>
      <c r="F8" s="11">
        <f>'Revenue Drivers'!F9</f>
        <v>137</v>
      </c>
      <c r="G8" s="11">
        <f>'Revenue Drivers'!G9</f>
        <v>138</v>
      </c>
      <c r="H8" s="11">
        <f>'Revenue Drivers'!H9</f>
        <v>139</v>
      </c>
      <c r="I8" s="11">
        <f>'Revenue Drivers'!I9</f>
        <v>140</v>
      </c>
      <c r="J8" s="11">
        <f>'Revenue Drivers'!J9</f>
        <v>141</v>
      </c>
      <c r="K8" s="11">
        <f>'Revenue Drivers'!K9</f>
        <v>142</v>
      </c>
      <c r="L8" s="11">
        <f>'Revenue Drivers'!L9</f>
        <v>143</v>
      </c>
      <c r="M8" s="11">
        <f>'Revenue Drivers'!M9</f>
        <v>144</v>
      </c>
      <c r="N8" s="11">
        <f>'Revenue Drivers'!N9</f>
        <v>145</v>
      </c>
      <c r="O8" s="11">
        <f>'Revenue Drivers'!O9</f>
        <v>145.555556</v>
      </c>
      <c r="P8" s="11">
        <f>'Revenue Drivers'!P9</f>
        <v>146.11111099999999</v>
      </c>
      <c r="Q8" s="11">
        <f>'Revenue Drivers'!Q9</f>
        <v>146.66666699999999</v>
      </c>
      <c r="R8" s="11">
        <f>'Revenue Drivers'!R9</f>
        <v>147.22222199999999</v>
      </c>
      <c r="S8" s="11">
        <f>'Revenue Drivers'!S9</f>
        <v>147.77777800000001</v>
      </c>
      <c r="T8" s="11">
        <f>'Revenue Drivers'!T9</f>
        <v>148.33333300000001</v>
      </c>
      <c r="U8" s="11">
        <f>'Revenue Drivers'!U9</f>
        <v>148.88888900000001</v>
      </c>
      <c r="V8" s="11">
        <f>'Revenue Drivers'!V9</f>
        <v>149.444444</v>
      </c>
      <c r="W8" s="11">
        <f>'Revenue Drivers'!W9</f>
        <v>150</v>
      </c>
      <c r="X8" s="11">
        <f t="shared" si="0"/>
        <v>546</v>
      </c>
      <c r="Y8" s="11">
        <f t="shared" si="1"/>
        <v>562</v>
      </c>
      <c r="Z8" s="11">
        <f t="shared" si="2"/>
        <v>577.55555600000002</v>
      </c>
      <c r="AA8" s="11">
        <f t="shared" si="3"/>
        <v>587.77777800000001</v>
      </c>
      <c r="AB8" s="11">
        <f t="shared" si="4"/>
        <v>596.66666599999996</v>
      </c>
    </row>
    <row r="9" spans="1:28" x14ac:dyDescent="0.3">
      <c r="A9" s="7" t="s">
        <v>89</v>
      </c>
      <c r="B9" s="7" t="s">
        <v>221</v>
      </c>
      <c r="C9" s="13">
        <f>'Revenue Drivers'!C10</f>
        <v>0.75</v>
      </c>
      <c r="D9" s="13">
        <f>'Revenue Drivers'!D10</f>
        <v>0.75</v>
      </c>
      <c r="E9" s="13">
        <f>'Revenue Drivers'!E10</f>
        <v>0.755</v>
      </c>
      <c r="F9" s="13">
        <f>'Revenue Drivers'!F10</f>
        <v>0.76</v>
      </c>
      <c r="G9" s="13">
        <f>'Revenue Drivers'!G10</f>
        <v>0.76500000000000001</v>
      </c>
      <c r="H9" s="13">
        <f>'Revenue Drivers'!H10</f>
        <v>0.77</v>
      </c>
      <c r="I9" s="13">
        <f>'Revenue Drivers'!I10</f>
        <v>0.77500000000000002</v>
      </c>
      <c r="J9" s="13">
        <f>'Revenue Drivers'!J10</f>
        <v>0.78</v>
      </c>
      <c r="K9" s="13">
        <f>'Revenue Drivers'!K10</f>
        <v>0.78500000000000003</v>
      </c>
      <c r="L9" s="13">
        <f>'Revenue Drivers'!L10</f>
        <v>0.79</v>
      </c>
      <c r="M9" s="13">
        <f>'Revenue Drivers'!M10</f>
        <v>0.79500000000000004</v>
      </c>
      <c r="N9" s="13">
        <f>'Revenue Drivers'!N10</f>
        <v>0.8</v>
      </c>
      <c r="O9" s="13">
        <f>'Revenue Drivers'!O10</f>
        <v>0.80444400000000005</v>
      </c>
      <c r="P9" s="13">
        <f>'Revenue Drivers'!P10</f>
        <v>0.80888899999999997</v>
      </c>
      <c r="Q9" s="13">
        <f>'Revenue Drivers'!Q10</f>
        <v>0.81333299999999997</v>
      </c>
      <c r="R9" s="13">
        <f>'Revenue Drivers'!R10</f>
        <v>0.817778</v>
      </c>
      <c r="S9" s="13">
        <f>'Revenue Drivers'!S10</f>
        <v>0.82222200000000001</v>
      </c>
      <c r="T9" s="13">
        <f>'Revenue Drivers'!T10</f>
        <v>0.82666700000000004</v>
      </c>
      <c r="U9" s="13">
        <f>'Revenue Drivers'!U10</f>
        <v>0.83111100000000004</v>
      </c>
      <c r="V9" s="13">
        <f>'Revenue Drivers'!V10</f>
        <v>0.83555599999999997</v>
      </c>
      <c r="W9" s="13">
        <f>'Revenue Drivers'!W10</f>
        <v>0.84</v>
      </c>
      <c r="X9" s="13">
        <f t="shared" si="0"/>
        <v>3.03</v>
      </c>
      <c r="Y9" s="13">
        <f t="shared" si="1"/>
        <v>3.1100000000000003</v>
      </c>
      <c r="Z9" s="13">
        <f t="shared" si="2"/>
        <v>3.1894439999999999</v>
      </c>
      <c r="AA9" s="13">
        <f t="shared" si="3"/>
        <v>3.262222</v>
      </c>
      <c r="AB9" s="13">
        <f t="shared" si="4"/>
        <v>3.3333339999999998</v>
      </c>
    </row>
    <row r="10" spans="1:28" x14ac:dyDescent="0.3">
      <c r="A10" s="7" t="s">
        <v>90</v>
      </c>
      <c r="B10" s="7" t="s">
        <v>221</v>
      </c>
      <c r="C10" s="11">
        <f>'Revenue Drivers'!C11</f>
        <v>22113000</v>
      </c>
      <c r="D10" s="11">
        <f>'Revenue Drivers'!D11</f>
        <v>4860000</v>
      </c>
      <c r="E10" s="11">
        <f>'Revenue Drivers'!E11</f>
        <v>4928640</v>
      </c>
      <c r="F10" s="11">
        <f>'Revenue Drivers'!F11</f>
        <v>4997760</v>
      </c>
      <c r="G10" s="11">
        <f>'Revenue Drivers'!G11</f>
        <v>5067360</v>
      </c>
      <c r="H10" s="11">
        <f>'Revenue Drivers'!H11</f>
        <v>5137440</v>
      </c>
      <c r="I10" s="11">
        <f>'Revenue Drivers'!I11</f>
        <v>5208000</v>
      </c>
      <c r="J10" s="11">
        <f>'Revenue Drivers'!J11</f>
        <v>5279040</v>
      </c>
      <c r="K10" s="11">
        <f>'Revenue Drivers'!K11</f>
        <v>5350560</v>
      </c>
      <c r="L10" s="11">
        <f>'Revenue Drivers'!L11</f>
        <v>5422560</v>
      </c>
      <c r="M10" s="11">
        <f>'Revenue Drivers'!M11</f>
        <v>5495040</v>
      </c>
      <c r="N10" s="11">
        <f>'Revenue Drivers'!N11</f>
        <v>5568000</v>
      </c>
      <c r="O10" s="11">
        <f>'Revenue Drivers'!O11</f>
        <v>5620382.0971614728</v>
      </c>
      <c r="P10" s="11">
        <f>'Revenue Drivers'!P11</f>
        <v>5673008.1823525913</v>
      </c>
      <c r="Q10" s="11">
        <f>'Revenue Drivers'!Q11</f>
        <v>5725864.3330133278</v>
      </c>
      <c r="R10" s="11">
        <f>'Revenue Drivers'!R11</f>
        <v>5778964.5246103676</v>
      </c>
      <c r="S10" s="11">
        <f>'Revenue Drivers'!S11</f>
        <v>5832294.7287703687</v>
      </c>
      <c r="T10" s="11">
        <f>'Revenue Drivers'!T11</f>
        <v>5885869.0267733289</v>
      </c>
      <c r="U10" s="11">
        <f>'Revenue Drivers'!U11</f>
        <v>5939673.2844325928</v>
      </c>
      <c r="V10" s="11">
        <f>'Revenue Drivers'!V11</f>
        <v>5993721.6888414714</v>
      </c>
      <c r="W10" s="11">
        <f>'Revenue Drivers'!W11</f>
        <v>6048000</v>
      </c>
      <c r="X10" s="11">
        <f t="shared" si="0"/>
        <v>19853760</v>
      </c>
      <c r="Y10" s="11">
        <f t="shared" si="1"/>
        <v>20975040</v>
      </c>
      <c r="Z10" s="11">
        <f t="shared" si="2"/>
        <v>22105982.097161472</v>
      </c>
      <c r="AA10" s="11">
        <f t="shared" si="3"/>
        <v>23010131.768746655</v>
      </c>
      <c r="AB10" s="11">
        <f t="shared" si="4"/>
        <v>23867264.000047393</v>
      </c>
    </row>
    <row r="11" spans="1:28" x14ac:dyDescent="0.3">
      <c r="A11" s="18" t="s">
        <v>31</v>
      </c>
      <c r="B11" s="18" t="s">
        <v>221</v>
      </c>
      <c r="C11" s="19">
        <f>'Revenue Drivers'!C14</f>
        <v>22113000</v>
      </c>
      <c r="D11" s="19">
        <f>'Revenue Drivers'!D14</f>
        <v>4860000</v>
      </c>
      <c r="E11" s="19">
        <f>'Revenue Drivers'!E14</f>
        <v>4928640</v>
      </c>
      <c r="F11" s="19">
        <f>'Revenue Drivers'!F14</f>
        <v>4997760</v>
      </c>
      <c r="G11" s="19">
        <f>'Revenue Drivers'!G14</f>
        <v>5067360</v>
      </c>
      <c r="H11" s="19">
        <f>'Revenue Drivers'!H14</f>
        <v>5137440</v>
      </c>
      <c r="I11" s="19">
        <f>'Revenue Drivers'!I14</f>
        <v>5208000</v>
      </c>
      <c r="J11" s="19">
        <f>'Revenue Drivers'!J14</f>
        <v>5279040</v>
      </c>
      <c r="K11" s="19">
        <f>'Revenue Drivers'!K14</f>
        <v>5350560</v>
      </c>
      <c r="L11" s="19">
        <f>'Revenue Drivers'!L14</f>
        <v>5422560</v>
      </c>
      <c r="M11" s="19">
        <f>'Revenue Drivers'!M14</f>
        <v>5495040</v>
      </c>
      <c r="N11" s="19">
        <f>'Revenue Drivers'!N14</f>
        <v>5568000</v>
      </c>
      <c r="O11" s="19">
        <f>'Revenue Drivers'!O14</f>
        <v>5620382.0971614728</v>
      </c>
      <c r="P11" s="19">
        <f>'Revenue Drivers'!P14</f>
        <v>5673008.1823525913</v>
      </c>
      <c r="Q11" s="19">
        <f>'Revenue Drivers'!Q14</f>
        <v>5725864.3330133278</v>
      </c>
      <c r="R11" s="19">
        <f>'Revenue Drivers'!R14</f>
        <v>5778964.5246103676</v>
      </c>
      <c r="S11" s="19">
        <f>'Revenue Drivers'!S14</f>
        <v>5832294.7287703687</v>
      </c>
      <c r="T11" s="19">
        <f>'Revenue Drivers'!T14</f>
        <v>5885869.0267733289</v>
      </c>
      <c r="U11" s="19">
        <f>'Revenue Drivers'!U14</f>
        <v>5939673.2844325928</v>
      </c>
      <c r="V11" s="19">
        <f>'Revenue Drivers'!V14</f>
        <v>5993721.6888414714</v>
      </c>
      <c r="W11" s="19">
        <f>'Revenue Drivers'!W14</f>
        <v>6048000</v>
      </c>
      <c r="X11" s="19">
        <f t="shared" si="0"/>
        <v>19853760</v>
      </c>
      <c r="Y11" s="19">
        <f t="shared" si="1"/>
        <v>20975040</v>
      </c>
      <c r="Z11" s="19">
        <f t="shared" si="2"/>
        <v>22105982.097161472</v>
      </c>
      <c r="AA11" s="19">
        <f t="shared" si="3"/>
        <v>23010131.768746655</v>
      </c>
      <c r="AB11" s="19">
        <f t="shared" si="4"/>
        <v>23867264.000047393</v>
      </c>
    </row>
    <row r="12" spans="1:28" x14ac:dyDescent="0.3">
      <c r="A12" s="7" t="s">
        <v>33</v>
      </c>
      <c r="B12" s="7" t="s">
        <v>222</v>
      </c>
      <c r="C12" s="13">
        <v>0.79367299999999996</v>
      </c>
      <c r="D12" s="13">
        <v>0.7</v>
      </c>
      <c r="E12" s="13">
        <v>0.69500000000000006</v>
      </c>
      <c r="F12" s="13">
        <v>0.69</v>
      </c>
      <c r="G12" s="13">
        <v>0.68499999999999994</v>
      </c>
      <c r="H12" s="13">
        <v>0.67999999999999994</v>
      </c>
      <c r="I12" s="13">
        <v>0.67500000000000004</v>
      </c>
      <c r="J12" s="13">
        <v>0.66999999999999993</v>
      </c>
      <c r="K12" s="13">
        <v>0.66500000000000004</v>
      </c>
      <c r="L12" s="13">
        <v>0.65999999999999992</v>
      </c>
      <c r="M12" s="13">
        <v>0.65500000000000003</v>
      </c>
      <c r="N12" s="13">
        <v>0.65</v>
      </c>
      <c r="O12" s="13">
        <v>0.64444444444444438</v>
      </c>
      <c r="P12" s="13">
        <v>0.63888888888888884</v>
      </c>
      <c r="Q12" s="13">
        <v>0.63333333333333341</v>
      </c>
      <c r="R12" s="13">
        <v>0.62777777777777777</v>
      </c>
      <c r="S12" s="13">
        <v>0.62222222222222223</v>
      </c>
      <c r="T12" s="13">
        <v>0.6166666666666667</v>
      </c>
      <c r="U12" s="13">
        <v>0.61111111111111116</v>
      </c>
      <c r="V12" s="13">
        <v>0.60555555555555562</v>
      </c>
      <c r="W12" s="13">
        <v>0.6</v>
      </c>
      <c r="X12" s="13">
        <f t="shared" si="0"/>
        <v>2.77</v>
      </c>
      <c r="Y12" s="13">
        <f t="shared" si="1"/>
        <v>2.69</v>
      </c>
      <c r="Z12" s="13">
        <f t="shared" si="2"/>
        <v>2.6094444444444442</v>
      </c>
      <c r="AA12" s="13">
        <f t="shared" si="3"/>
        <v>2.5222222222222221</v>
      </c>
      <c r="AB12" s="13">
        <f t="shared" si="4"/>
        <v>2.4333333333333336</v>
      </c>
    </row>
    <row r="13" spans="1:28" x14ac:dyDescent="0.3">
      <c r="A13" s="7" t="s">
        <v>35</v>
      </c>
      <c r="B13" s="7" t="s">
        <v>222</v>
      </c>
      <c r="C13" s="13">
        <v>0.06</v>
      </c>
      <c r="D13" s="13">
        <v>0.08</v>
      </c>
      <c r="E13" s="13">
        <v>7.8000000000000014E-2</v>
      </c>
      <c r="F13" s="13">
        <v>7.5999999999999998E-2</v>
      </c>
      <c r="G13" s="13">
        <v>7.3999999999999996E-2</v>
      </c>
      <c r="H13" s="13">
        <v>7.2000000000000008E-2</v>
      </c>
      <c r="I13" s="13">
        <v>7.0000000000000007E-2</v>
      </c>
      <c r="J13" s="13">
        <v>6.8000000000000005E-2</v>
      </c>
      <c r="K13" s="13">
        <v>6.6000000000000003E-2</v>
      </c>
      <c r="L13" s="13">
        <v>6.4000000000000001E-2</v>
      </c>
      <c r="M13" s="13">
        <v>6.2E-2</v>
      </c>
      <c r="N13" s="13">
        <v>0.06</v>
      </c>
      <c r="O13" s="13">
        <v>5.8888888888888893E-2</v>
      </c>
      <c r="P13" s="13">
        <v>5.7777777777777782E-2</v>
      </c>
      <c r="Q13" s="13">
        <v>5.6666666666666671E-2</v>
      </c>
      <c r="R13" s="13">
        <v>5.5555555555555552E-2</v>
      </c>
      <c r="S13" s="13">
        <v>5.4444444444444448E-2</v>
      </c>
      <c r="T13" s="13">
        <v>5.333333333333333E-2</v>
      </c>
      <c r="U13" s="13">
        <v>5.2222222222222232E-2</v>
      </c>
      <c r="V13" s="13">
        <v>5.1111111111111107E-2</v>
      </c>
      <c r="W13" s="13">
        <v>0.05</v>
      </c>
      <c r="X13" s="13">
        <f t="shared" si="0"/>
        <v>0.30800000000000005</v>
      </c>
      <c r="Y13" s="13">
        <f t="shared" si="1"/>
        <v>0.27600000000000002</v>
      </c>
      <c r="Z13" s="13">
        <f t="shared" si="2"/>
        <v>0.24488888888888888</v>
      </c>
      <c r="AA13" s="13">
        <f t="shared" si="3"/>
        <v>0.22444444444444445</v>
      </c>
      <c r="AB13" s="13">
        <f t="shared" si="4"/>
        <v>0.20666666666666667</v>
      </c>
    </row>
    <row r="14" spans="1:28" x14ac:dyDescent="0.3">
      <c r="A14" s="7" t="s">
        <v>36</v>
      </c>
      <c r="B14" s="7" t="s">
        <v>222</v>
      </c>
      <c r="C14" s="13">
        <v>0</v>
      </c>
      <c r="D14" s="13">
        <v>0.02</v>
      </c>
      <c r="E14" s="13">
        <v>1.9E-2</v>
      </c>
      <c r="F14" s="13">
        <v>1.7999999999999999E-2</v>
      </c>
      <c r="G14" s="13">
        <v>1.7000000000000001E-2</v>
      </c>
      <c r="H14" s="13">
        <v>1.6E-2</v>
      </c>
      <c r="I14" s="13">
        <v>1.4999999999999999E-2</v>
      </c>
      <c r="J14" s="13">
        <v>1.4E-2</v>
      </c>
      <c r="K14" s="13">
        <v>1.2999999999999999E-2</v>
      </c>
      <c r="L14" s="13">
        <v>1.2E-2</v>
      </c>
      <c r="M14" s="13">
        <v>1.0999999999999999E-2</v>
      </c>
      <c r="N14" s="13">
        <v>0.01</v>
      </c>
      <c r="O14" s="13">
        <v>0.01</v>
      </c>
      <c r="P14" s="13">
        <v>0.01</v>
      </c>
      <c r="Q14" s="13">
        <v>0.01</v>
      </c>
      <c r="R14" s="13">
        <v>0.01</v>
      </c>
      <c r="S14" s="13">
        <v>0.01</v>
      </c>
      <c r="T14" s="13">
        <v>0.01</v>
      </c>
      <c r="U14" s="13">
        <v>0.01</v>
      </c>
      <c r="V14" s="13">
        <v>0.01</v>
      </c>
      <c r="W14" s="13">
        <v>0.01</v>
      </c>
      <c r="X14" s="13">
        <f t="shared" si="0"/>
        <v>7.3999999999999996E-2</v>
      </c>
      <c r="Y14" s="13">
        <f t="shared" si="1"/>
        <v>5.7999999999999996E-2</v>
      </c>
      <c r="Z14" s="13">
        <f t="shared" si="2"/>
        <v>4.3000000000000003E-2</v>
      </c>
      <c r="AA14" s="13">
        <f t="shared" si="3"/>
        <v>0.04</v>
      </c>
      <c r="AB14" s="13">
        <f t="shared" si="4"/>
        <v>0.04</v>
      </c>
    </row>
    <row r="15" spans="1:28" x14ac:dyDescent="0.3">
      <c r="A15" s="33" t="s">
        <v>216</v>
      </c>
      <c r="B15" s="33" t="s">
        <v>223</v>
      </c>
      <c r="C15" s="34">
        <f>'Cash Equity Schedule'!C12</f>
        <v>36000</v>
      </c>
      <c r="D15" s="34">
        <f>'Cash Equity Schedule'!D12</f>
        <v>36000</v>
      </c>
      <c r="E15" s="34">
        <f>'Cash Equity Schedule'!E12</f>
        <v>36000</v>
      </c>
      <c r="F15" s="34">
        <f>'Cash Equity Schedule'!F12</f>
        <v>36000</v>
      </c>
      <c r="G15" s="34">
        <f>'Cash Equity Schedule'!G12</f>
        <v>36000</v>
      </c>
      <c r="H15" s="34">
        <f>'Cash Equity Schedule'!H12</f>
        <v>36000</v>
      </c>
      <c r="I15" s="34">
        <f>'Cash Equity Schedule'!I12</f>
        <v>36000</v>
      </c>
      <c r="J15" s="34">
        <f>'Cash Equity Schedule'!J12</f>
        <v>36000</v>
      </c>
      <c r="K15" s="34">
        <f>'Cash Equity Schedule'!K12</f>
        <v>36000</v>
      </c>
      <c r="L15" s="34">
        <f>'Cash Equity Schedule'!L12</f>
        <v>36000</v>
      </c>
      <c r="M15" s="34">
        <f>'Cash Equity Schedule'!M12</f>
        <v>36000</v>
      </c>
      <c r="N15" s="34">
        <f>'Cash Equity Schedule'!N12</f>
        <v>36000</v>
      </c>
      <c r="O15" s="34">
        <f>'Cash Equity Schedule'!O12</f>
        <v>36000</v>
      </c>
      <c r="P15" s="34">
        <f>'Cash Equity Schedule'!P12</f>
        <v>36000</v>
      </c>
      <c r="Q15" s="34">
        <f>'Cash Equity Schedule'!Q12</f>
        <v>36000</v>
      </c>
      <c r="R15" s="34">
        <f>'Cash Equity Schedule'!R12</f>
        <v>36000</v>
      </c>
      <c r="S15" s="34">
        <f>'Cash Equity Schedule'!S12</f>
        <v>36000</v>
      </c>
      <c r="T15" s="34">
        <f>'Cash Equity Schedule'!T12</f>
        <v>36000</v>
      </c>
      <c r="U15" s="34">
        <f>'Cash Equity Schedule'!U12</f>
        <v>36000</v>
      </c>
      <c r="V15" s="34">
        <f>'Cash Equity Schedule'!V12</f>
        <v>36000</v>
      </c>
      <c r="W15" s="34">
        <f>'Cash Equity Schedule'!W12</f>
        <v>36000</v>
      </c>
      <c r="X15" s="34">
        <f t="shared" si="0"/>
        <v>144000</v>
      </c>
      <c r="Y15" s="34">
        <f t="shared" si="1"/>
        <v>144000</v>
      </c>
      <c r="Z15" s="34">
        <f t="shared" si="2"/>
        <v>144000</v>
      </c>
      <c r="AA15" s="34">
        <f t="shared" si="3"/>
        <v>144000</v>
      </c>
      <c r="AB15" s="34">
        <f t="shared" si="4"/>
        <v>144000</v>
      </c>
    </row>
    <row r="16" spans="1:28" x14ac:dyDescent="0.3">
      <c r="A16" s="33" t="s">
        <v>38</v>
      </c>
      <c r="B16" s="33" t="s">
        <v>224</v>
      </c>
      <c r="C16" s="34">
        <v>159384.375</v>
      </c>
      <c r="D16" s="34">
        <f>'Payroll Schedule'!D17</f>
        <v>388523.5</v>
      </c>
      <c r="E16" s="34">
        <f>'Payroll Schedule'!E17</f>
        <v>388523.5</v>
      </c>
      <c r="F16" s="34">
        <f>'Payroll Schedule'!F17</f>
        <v>388523.5</v>
      </c>
      <c r="G16" s="34">
        <f>'Payroll Schedule'!G17</f>
        <v>388523.5</v>
      </c>
      <c r="H16" s="34">
        <f>'Payroll Schedule'!H17</f>
        <v>400179.40500000003</v>
      </c>
      <c r="I16" s="34">
        <f>'Payroll Schedule'!I17</f>
        <v>400179.40500000003</v>
      </c>
      <c r="J16" s="34">
        <f>'Payroll Schedule'!J17</f>
        <v>400179.40500000003</v>
      </c>
      <c r="K16" s="34">
        <f>'Payroll Schedule'!K17</f>
        <v>400179.40500000003</v>
      </c>
      <c r="L16" s="34">
        <f>'Payroll Schedule'!L17</f>
        <v>412184.97499999998</v>
      </c>
      <c r="M16" s="34">
        <f>'Payroll Schedule'!M17</f>
        <v>412184.97499999998</v>
      </c>
      <c r="N16" s="34">
        <f>'Payroll Schedule'!N17</f>
        <v>412184.97499999998</v>
      </c>
      <c r="O16" s="34">
        <f>'Payroll Schedule'!O17</f>
        <v>412184.97499999998</v>
      </c>
      <c r="P16" s="34">
        <f>'Payroll Schedule'!P17</f>
        <v>424549.84499999997</v>
      </c>
      <c r="Q16" s="34">
        <f>'Payroll Schedule'!Q17</f>
        <v>424549.84499999997</v>
      </c>
      <c r="R16" s="34">
        <f>'Payroll Schedule'!R17</f>
        <v>424549.84499999997</v>
      </c>
      <c r="S16" s="34">
        <f>'Payroll Schedule'!S17</f>
        <v>424549.84499999997</v>
      </c>
      <c r="T16" s="34">
        <f>'Payroll Schedule'!T17</f>
        <v>437286.45500000002</v>
      </c>
      <c r="U16" s="34">
        <f>'Payroll Schedule'!U17</f>
        <v>437286.45500000002</v>
      </c>
      <c r="V16" s="34">
        <f>'Payroll Schedule'!V17</f>
        <v>437286.45500000002</v>
      </c>
      <c r="W16" s="34">
        <f>'Payroll Schedule'!W17</f>
        <v>437286.45500000002</v>
      </c>
      <c r="X16" s="34">
        <f t="shared" si="0"/>
        <v>1554094</v>
      </c>
      <c r="Y16" s="34">
        <f t="shared" si="1"/>
        <v>1600717.62</v>
      </c>
      <c r="Z16" s="34">
        <f t="shared" si="2"/>
        <v>1648739.9</v>
      </c>
      <c r="AA16" s="34">
        <f t="shared" si="3"/>
        <v>1698199.38</v>
      </c>
      <c r="AB16" s="34">
        <f t="shared" si="4"/>
        <v>1749145.82</v>
      </c>
    </row>
    <row r="17" spans="1:28" x14ac:dyDescent="0.3">
      <c r="A17" s="7" t="s">
        <v>39</v>
      </c>
      <c r="B17" s="7" t="s">
        <v>222</v>
      </c>
      <c r="C17" s="13">
        <v>1.0709999999999999E-3</v>
      </c>
      <c r="D17" s="13">
        <v>0.08</v>
      </c>
      <c r="E17" s="13">
        <v>7.9000000000000015E-2</v>
      </c>
      <c r="F17" s="13">
        <v>7.8E-2</v>
      </c>
      <c r="G17" s="13">
        <v>7.6999999999999999E-2</v>
      </c>
      <c r="H17" s="13">
        <v>7.6000000000000012E-2</v>
      </c>
      <c r="I17" s="13">
        <v>7.5000000000000011E-2</v>
      </c>
      <c r="J17" s="13">
        <v>7.400000000000001E-2</v>
      </c>
      <c r="K17" s="13">
        <v>7.3000000000000009E-2</v>
      </c>
      <c r="L17" s="13">
        <v>7.2000000000000008E-2</v>
      </c>
      <c r="M17" s="13">
        <v>7.1000000000000008E-2</v>
      </c>
      <c r="N17" s="13">
        <v>7.0000000000000007E-2</v>
      </c>
      <c r="O17" s="13">
        <v>6.8888888888888888E-2</v>
      </c>
      <c r="P17" s="13">
        <v>6.7777777777777784E-2</v>
      </c>
      <c r="Q17" s="13">
        <v>6.666666666666668E-2</v>
      </c>
      <c r="R17" s="13">
        <v>6.5555555555555561E-2</v>
      </c>
      <c r="S17" s="13">
        <v>6.4444444444444443E-2</v>
      </c>
      <c r="T17" s="13">
        <v>6.3333333333333325E-2</v>
      </c>
      <c r="U17" s="13">
        <v>6.2222222222222227E-2</v>
      </c>
      <c r="V17" s="13">
        <v>6.1111111111111109E-2</v>
      </c>
      <c r="W17" s="13">
        <v>0.06</v>
      </c>
      <c r="X17" s="13">
        <f t="shared" si="0"/>
        <v>0.31400000000000006</v>
      </c>
      <c r="Y17" s="13">
        <f t="shared" si="1"/>
        <v>0.29800000000000004</v>
      </c>
      <c r="Z17" s="13">
        <f t="shared" si="2"/>
        <v>0.28188888888888891</v>
      </c>
      <c r="AA17" s="13">
        <f t="shared" si="3"/>
        <v>0.26444444444444448</v>
      </c>
      <c r="AB17" s="13">
        <f t="shared" si="4"/>
        <v>0.24666666666666667</v>
      </c>
    </row>
    <row r="18" spans="1:28" x14ac:dyDescent="0.3">
      <c r="A18" s="33" t="s">
        <v>167</v>
      </c>
      <c r="B18" s="33" t="s">
        <v>225</v>
      </c>
      <c r="C18" s="35">
        <f>'Debt Schedule'!C12</f>
        <v>0</v>
      </c>
      <c r="D18" s="35">
        <f>'Debt Schedule'!D12</f>
        <v>2.5312999999999999E-2</v>
      </c>
      <c r="E18" s="35">
        <f>'Debt Schedule'!E12</f>
        <v>2.5312999999999999E-2</v>
      </c>
      <c r="F18" s="35">
        <f>'Debt Schedule'!F12</f>
        <v>2.5312999999999999E-2</v>
      </c>
      <c r="G18" s="35">
        <f>'Debt Schedule'!G12</f>
        <v>2.5312999999999999E-2</v>
      </c>
      <c r="H18" s="35">
        <f>'Debt Schedule'!H12</f>
        <v>2.5312999999999999E-2</v>
      </c>
      <c r="I18" s="35">
        <f>'Debt Schedule'!I12</f>
        <v>2.5312999999999999E-2</v>
      </c>
      <c r="J18" s="35">
        <f>'Debt Schedule'!J12</f>
        <v>2.5312999999999999E-2</v>
      </c>
      <c r="K18" s="35">
        <f>'Debt Schedule'!K12</f>
        <v>2.5312999999999999E-2</v>
      </c>
      <c r="L18" s="35">
        <f>'Debt Schedule'!L12</f>
        <v>2.5312999999999999E-2</v>
      </c>
      <c r="M18" s="35">
        <f>'Debt Schedule'!M12</f>
        <v>2.5312999999999999E-2</v>
      </c>
      <c r="N18" s="35">
        <f>'Debt Schedule'!N12</f>
        <v>2.5312999999999999E-2</v>
      </c>
      <c r="O18" s="35">
        <f>'Debt Schedule'!O12</f>
        <v>2.5312999999999999E-2</v>
      </c>
      <c r="P18" s="35">
        <f>'Debt Schedule'!P12</f>
        <v>2.5312999999999999E-2</v>
      </c>
      <c r="Q18" s="35">
        <f>'Debt Schedule'!Q12</f>
        <v>2.5312999999999999E-2</v>
      </c>
      <c r="R18" s="35">
        <f>'Debt Schedule'!R12</f>
        <v>2.5312999999999999E-2</v>
      </c>
      <c r="S18" s="35">
        <f>'Debt Schedule'!S12</f>
        <v>2.5312999999999999E-2</v>
      </c>
      <c r="T18" s="35">
        <f>'Debt Schedule'!T12</f>
        <v>2.5312999999999999E-2</v>
      </c>
      <c r="U18" s="35">
        <f>'Debt Schedule'!U12</f>
        <v>2.5312999999999999E-2</v>
      </c>
      <c r="V18" s="35">
        <f>'Debt Schedule'!V12</f>
        <v>2.5312999999999999E-2</v>
      </c>
      <c r="W18" s="35">
        <f>'Debt Schedule'!W12</f>
        <v>2.5312999999999999E-2</v>
      </c>
      <c r="X18" s="35">
        <f t="shared" si="0"/>
        <v>0.10125199999999999</v>
      </c>
      <c r="Y18" s="35">
        <f t="shared" si="1"/>
        <v>0.10125199999999999</v>
      </c>
      <c r="Z18" s="35">
        <f t="shared" si="2"/>
        <v>0.10125199999999999</v>
      </c>
      <c r="AA18" s="35">
        <f t="shared" si="3"/>
        <v>0.10125199999999999</v>
      </c>
      <c r="AB18" s="35">
        <f t="shared" si="4"/>
        <v>0.10125199999999999</v>
      </c>
    </row>
    <row r="19" spans="1:28" x14ac:dyDescent="0.3">
      <c r="A19" s="33" t="s">
        <v>169</v>
      </c>
      <c r="B19" s="33" t="s">
        <v>225</v>
      </c>
      <c r="C19" s="34">
        <v>0</v>
      </c>
      <c r="D19" s="34">
        <f>'Debt Schedule'!D13</f>
        <v>0</v>
      </c>
      <c r="E19" s="34">
        <f>'Debt Schedule'!E13</f>
        <v>0</v>
      </c>
      <c r="F19" s="34">
        <f>'Debt Schedule'!F13</f>
        <v>0</v>
      </c>
      <c r="G19" s="34">
        <f>'Debt Schedule'!G13</f>
        <v>0</v>
      </c>
      <c r="H19" s="34">
        <f>'Debt Schedule'!H13</f>
        <v>0</v>
      </c>
      <c r="I19" s="34">
        <f>'Debt Schedule'!I13</f>
        <v>0</v>
      </c>
      <c r="J19" s="34">
        <f>'Debt Schedule'!J13</f>
        <v>0</v>
      </c>
      <c r="K19" s="34">
        <f>'Debt Schedule'!K13</f>
        <v>0</v>
      </c>
      <c r="L19" s="34">
        <f>'Debt Schedule'!L13</f>
        <v>0</v>
      </c>
      <c r="M19" s="34">
        <f>'Debt Schedule'!M13</f>
        <v>0</v>
      </c>
      <c r="N19" s="34">
        <f>'Debt Schedule'!N13</f>
        <v>0</v>
      </c>
      <c r="O19" s="34">
        <f>'Debt Schedule'!O13</f>
        <v>0</v>
      </c>
      <c r="P19" s="34">
        <f>'Debt Schedule'!P13</f>
        <v>0</v>
      </c>
      <c r="Q19" s="34">
        <f>'Debt Schedule'!Q13</f>
        <v>0</v>
      </c>
      <c r="R19" s="34">
        <f>'Debt Schedule'!R13</f>
        <v>0</v>
      </c>
      <c r="S19" s="34">
        <f>'Debt Schedule'!S13</f>
        <v>0</v>
      </c>
      <c r="T19" s="34">
        <f>'Debt Schedule'!T13</f>
        <v>0</v>
      </c>
      <c r="U19" s="34">
        <f>'Debt Schedule'!U13</f>
        <v>0</v>
      </c>
      <c r="V19" s="34">
        <f>'Debt Schedule'!V13</f>
        <v>0</v>
      </c>
      <c r="W19" s="34">
        <f>'Debt Schedule'!W13</f>
        <v>0</v>
      </c>
      <c r="X19" s="34">
        <f t="shared" si="0"/>
        <v>0</v>
      </c>
      <c r="Y19" s="34">
        <f t="shared" si="1"/>
        <v>0</v>
      </c>
      <c r="Z19" s="34">
        <f t="shared" si="2"/>
        <v>0</v>
      </c>
      <c r="AA19" s="34">
        <f t="shared" si="3"/>
        <v>0</v>
      </c>
      <c r="AB19" s="34">
        <f t="shared" si="4"/>
        <v>0</v>
      </c>
    </row>
    <row r="20" spans="1:28" x14ac:dyDescent="0.3">
      <c r="A20" s="7" t="s">
        <v>42</v>
      </c>
      <c r="B20" s="7" t="s">
        <v>226</v>
      </c>
      <c r="C20" s="13">
        <f>'CapEx Depreciation'!C10</f>
        <v>0</v>
      </c>
      <c r="D20" s="13">
        <f>'CapEx Depreciation'!D10</f>
        <v>0</v>
      </c>
      <c r="E20" s="13">
        <f>'CapEx Depreciation'!E10</f>
        <v>0</v>
      </c>
      <c r="F20" s="13">
        <f>'CapEx Depreciation'!F10</f>
        <v>0</v>
      </c>
      <c r="G20" s="13">
        <f>'CapEx Depreciation'!G10</f>
        <v>0</v>
      </c>
      <c r="H20" s="13">
        <f>'CapEx Depreciation'!H10</f>
        <v>0</v>
      </c>
      <c r="I20" s="13">
        <f>'CapEx Depreciation'!I10</f>
        <v>0</v>
      </c>
      <c r="J20" s="13">
        <f>'CapEx Depreciation'!J10</f>
        <v>0</v>
      </c>
      <c r="K20" s="13">
        <f>'CapEx Depreciation'!K10</f>
        <v>0</v>
      </c>
      <c r="L20" s="13">
        <f>'CapEx Depreciation'!L10</f>
        <v>0</v>
      </c>
      <c r="M20" s="13">
        <f>'CapEx Depreciation'!M10</f>
        <v>0</v>
      </c>
      <c r="N20" s="13">
        <f>'CapEx Depreciation'!N10</f>
        <v>0</v>
      </c>
      <c r="O20" s="13">
        <f>'CapEx Depreciation'!O10</f>
        <v>0</v>
      </c>
      <c r="P20" s="13">
        <f>'CapEx Depreciation'!P10</f>
        <v>0</v>
      </c>
      <c r="Q20" s="13">
        <f>'CapEx Depreciation'!Q10</f>
        <v>0</v>
      </c>
      <c r="R20" s="13">
        <f>'CapEx Depreciation'!R10</f>
        <v>0</v>
      </c>
      <c r="S20" s="13">
        <f>'CapEx Depreciation'!S10</f>
        <v>0</v>
      </c>
      <c r="T20" s="13">
        <f>'CapEx Depreciation'!T10</f>
        <v>0</v>
      </c>
      <c r="U20" s="13">
        <f>'CapEx Depreciation'!U10</f>
        <v>0</v>
      </c>
      <c r="V20" s="13">
        <f>'CapEx Depreciation'!V10</f>
        <v>0</v>
      </c>
      <c r="W20" s="13">
        <f>'CapEx Depreciation'!W10</f>
        <v>0</v>
      </c>
      <c r="X20" s="13">
        <f t="shared" si="0"/>
        <v>0</v>
      </c>
      <c r="Y20" s="13">
        <f t="shared" si="1"/>
        <v>0</v>
      </c>
      <c r="Z20" s="13">
        <f t="shared" si="2"/>
        <v>0</v>
      </c>
      <c r="AA20" s="13">
        <f t="shared" si="3"/>
        <v>0</v>
      </c>
      <c r="AB20" s="13">
        <f t="shared" si="4"/>
        <v>0</v>
      </c>
    </row>
    <row r="21" spans="1:28" x14ac:dyDescent="0.3">
      <c r="A21" s="7" t="s">
        <v>191</v>
      </c>
      <c r="B21" s="7" t="s">
        <v>226</v>
      </c>
      <c r="C21" s="11">
        <f>'CapEx Depreciation'!C11</f>
        <v>0</v>
      </c>
      <c r="D21" s="11">
        <f>'CapEx Depreciation'!D11</f>
        <v>0</v>
      </c>
      <c r="E21" s="11">
        <f>'CapEx Depreciation'!E11</f>
        <v>0</v>
      </c>
      <c r="F21" s="11">
        <f>'CapEx Depreciation'!F11</f>
        <v>0</v>
      </c>
      <c r="G21" s="11">
        <f>'CapEx Depreciation'!G11</f>
        <v>0</v>
      </c>
      <c r="H21" s="11">
        <f>'CapEx Depreciation'!H11</f>
        <v>0</v>
      </c>
      <c r="I21" s="11">
        <f>'CapEx Depreciation'!I11</f>
        <v>0</v>
      </c>
      <c r="J21" s="11">
        <f>'CapEx Depreciation'!J11</f>
        <v>0</v>
      </c>
      <c r="K21" s="11">
        <f>'CapEx Depreciation'!K11</f>
        <v>0</v>
      </c>
      <c r="L21" s="11">
        <f>'CapEx Depreciation'!L11</f>
        <v>0</v>
      </c>
      <c r="M21" s="11">
        <f>'CapEx Depreciation'!M11</f>
        <v>0</v>
      </c>
      <c r="N21" s="11">
        <f>'CapEx Depreciation'!N11</f>
        <v>0</v>
      </c>
      <c r="O21" s="11">
        <f>'CapEx Depreciation'!O11</f>
        <v>0</v>
      </c>
      <c r="P21" s="11">
        <f>'CapEx Depreciation'!P11</f>
        <v>0</v>
      </c>
      <c r="Q21" s="11">
        <f>'CapEx Depreciation'!Q11</f>
        <v>0</v>
      </c>
      <c r="R21" s="11">
        <f>'CapEx Depreciation'!R11</f>
        <v>0</v>
      </c>
      <c r="S21" s="11">
        <f>'CapEx Depreciation'!S11</f>
        <v>0</v>
      </c>
      <c r="T21" s="11">
        <f>'CapEx Depreciation'!T11</f>
        <v>0</v>
      </c>
      <c r="U21" s="11">
        <f>'CapEx Depreciation'!U11</f>
        <v>0</v>
      </c>
      <c r="V21" s="11">
        <f>'CapEx Depreciation'!V11</f>
        <v>0</v>
      </c>
      <c r="W21" s="11">
        <f>'CapEx Depreciation'!W11</f>
        <v>0</v>
      </c>
      <c r="X21" s="11">
        <f t="shared" si="0"/>
        <v>0</v>
      </c>
      <c r="Y21" s="11">
        <f t="shared" si="1"/>
        <v>0</v>
      </c>
      <c r="Z21" s="11">
        <f t="shared" si="2"/>
        <v>0</v>
      </c>
      <c r="AA21" s="11">
        <f t="shared" si="3"/>
        <v>0</v>
      </c>
      <c r="AB21" s="11">
        <f t="shared" si="4"/>
        <v>0</v>
      </c>
    </row>
    <row r="22" spans="1:28" x14ac:dyDescent="0.3">
      <c r="A22" s="7" t="s">
        <v>43</v>
      </c>
      <c r="B22" s="7" t="s">
        <v>222</v>
      </c>
      <c r="C22" s="13">
        <v>0.205318</v>
      </c>
      <c r="D22" s="13">
        <v>0.205318</v>
      </c>
      <c r="E22" s="13">
        <v>0.205318</v>
      </c>
      <c r="F22" s="13">
        <v>0.205318</v>
      </c>
      <c r="G22" s="13">
        <v>0.205318</v>
      </c>
      <c r="H22" s="13">
        <v>0.205318</v>
      </c>
      <c r="I22" s="13">
        <v>0.205318</v>
      </c>
      <c r="J22" s="13">
        <v>0.205318</v>
      </c>
      <c r="K22" s="13">
        <v>0.205318</v>
      </c>
      <c r="L22" s="13">
        <v>0.205318</v>
      </c>
      <c r="M22" s="13">
        <v>0.205318</v>
      </c>
      <c r="N22" s="13">
        <v>0.205318</v>
      </c>
      <c r="O22" s="13">
        <v>0.205318</v>
      </c>
      <c r="P22" s="13">
        <v>0.205318</v>
      </c>
      <c r="Q22" s="13">
        <v>0.205318</v>
      </c>
      <c r="R22" s="13">
        <v>0.205318</v>
      </c>
      <c r="S22" s="13">
        <v>0.205318</v>
      </c>
      <c r="T22" s="13">
        <v>0.205318</v>
      </c>
      <c r="U22" s="13">
        <v>0.205318</v>
      </c>
      <c r="V22" s="13">
        <v>0.205318</v>
      </c>
      <c r="W22" s="13">
        <v>0.205318</v>
      </c>
      <c r="X22" s="13">
        <f t="shared" si="0"/>
        <v>0.821272</v>
      </c>
      <c r="Y22" s="13">
        <f t="shared" si="1"/>
        <v>0.821272</v>
      </c>
      <c r="Z22" s="13">
        <f t="shared" si="2"/>
        <v>0.821272</v>
      </c>
      <c r="AA22" s="13">
        <f t="shared" si="3"/>
        <v>0.821272</v>
      </c>
      <c r="AB22" s="13">
        <f t="shared" si="4"/>
        <v>0.821272</v>
      </c>
    </row>
    <row r="24" spans="1:28" x14ac:dyDescent="0.3">
      <c r="A24" s="51" t="s">
        <v>227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</row>
    <row r="25" spans="1:28" x14ac:dyDescent="0.3">
      <c r="A25" s="7" t="s">
        <v>197</v>
      </c>
      <c r="B25" s="7" t="s">
        <v>228</v>
      </c>
      <c r="C25" s="9">
        <f>'Working Capital'!C7</f>
        <v>0</v>
      </c>
      <c r="D25" s="9">
        <f>'Working Capital'!D7</f>
        <v>15</v>
      </c>
      <c r="E25" s="9">
        <f>'Working Capital'!E7</f>
        <v>15</v>
      </c>
      <c r="F25" s="9">
        <f>'Working Capital'!F7</f>
        <v>15</v>
      </c>
      <c r="G25" s="9">
        <f>'Working Capital'!G7</f>
        <v>15</v>
      </c>
      <c r="H25" s="9">
        <f>'Working Capital'!H7</f>
        <v>15</v>
      </c>
      <c r="I25" s="9">
        <f>'Working Capital'!I7</f>
        <v>15</v>
      </c>
      <c r="J25" s="9">
        <f>'Working Capital'!J7</f>
        <v>15</v>
      </c>
      <c r="K25" s="9">
        <f>'Working Capital'!K7</f>
        <v>15</v>
      </c>
      <c r="L25" s="9">
        <f>'Working Capital'!L7</f>
        <v>15</v>
      </c>
      <c r="M25" s="9">
        <f>'Working Capital'!M7</f>
        <v>15</v>
      </c>
      <c r="N25" s="9">
        <f>'Working Capital'!N7</f>
        <v>15</v>
      </c>
      <c r="O25" s="9">
        <f>'Working Capital'!O7</f>
        <v>15</v>
      </c>
      <c r="P25" s="9">
        <f>'Working Capital'!P7</f>
        <v>15</v>
      </c>
      <c r="Q25" s="9">
        <f>'Working Capital'!Q7</f>
        <v>15</v>
      </c>
      <c r="R25" s="9">
        <f>'Working Capital'!R7</f>
        <v>15</v>
      </c>
      <c r="S25" s="9">
        <f>'Working Capital'!S7</f>
        <v>15</v>
      </c>
      <c r="T25" s="9">
        <f>'Working Capital'!T7</f>
        <v>15</v>
      </c>
      <c r="U25" s="9">
        <f>'Working Capital'!U7</f>
        <v>15</v>
      </c>
      <c r="V25" s="9">
        <f>'Working Capital'!V7</f>
        <v>15</v>
      </c>
      <c r="W25" s="9">
        <f>'Working Capital'!W7</f>
        <v>15</v>
      </c>
      <c r="X25" s="9">
        <f t="shared" ref="X25:X30" si="5">SUM(D25:G25)</f>
        <v>60</v>
      </c>
      <c r="Y25" s="9">
        <f t="shared" ref="Y25:Y30" si="6">SUM(H25:K25)</f>
        <v>60</v>
      </c>
      <c r="Z25" s="9">
        <f t="shared" ref="Z25:Z30" si="7">SUM(L25:O25)</f>
        <v>60</v>
      </c>
      <c r="AA25" s="9">
        <f t="shared" ref="AA25:AA30" si="8">SUM(P25:S25)</f>
        <v>60</v>
      </c>
      <c r="AB25" s="9">
        <f t="shared" ref="AB25:AB30" si="9">SUM(T25:W25)</f>
        <v>60</v>
      </c>
    </row>
    <row r="26" spans="1:28" x14ac:dyDescent="0.3">
      <c r="A26" s="7" t="s">
        <v>199</v>
      </c>
      <c r="B26" s="7" t="s">
        <v>228</v>
      </c>
      <c r="C26" s="9">
        <f>'Working Capital'!C8</f>
        <v>0</v>
      </c>
      <c r="D26" s="9">
        <f>'Working Capital'!D8</f>
        <v>0</v>
      </c>
      <c r="E26" s="9">
        <f>'Working Capital'!E8</f>
        <v>0</v>
      </c>
      <c r="F26" s="9">
        <f>'Working Capital'!F8</f>
        <v>0</v>
      </c>
      <c r="G26" s="9">
        <f>'Working Capital'!G8</f>
        <v>0</v>
      </c>
      <c r="H26" s="9">
        <f>'Working Capital'!H8</f>
        <v>0</v>
      </c>
      <c r="I26" s="9">
        <f>'Working Capital'!I8</f>
        <v>0</v>
      </c>
      <c r="J26" s="9">
        <f>'Working Capital'!J8</f>
        <v>0</v>
      </c>
      <c r="K26" s="9">
        <f>'Working Capital'!K8</f>
        <v>0</v>
      </c>
      <c r="L26" s="9">
        <f>'Working Capital'!L8</f>
        <v>0</v>
      </c>
      <c r="M26" s="9">
        <f>'Working Capital'!M8</f>
        <v>0</v>
      </c>
      <c r="N26" s="9">
        <f>'Working Capital'!N8</f>
        <v>0</v>
      </c>
      <c r="O26" s="9">
        <f>'Working Capital'!O8</f>
        <v>0</v>
      </c>
      <c r="P26" s="9">
        <f>'Working Capital'!P8</f>
        <v>0</v>
      </c>
      <c r="Q26" s="9">
        <f>'Working Capital'!Q8</f>
        <v>0</v>
      </c>
      <c r="R26" s="9">
        <f>'Working Capital'!R8</f>
        <v>0</v>
      </c>
      <c r="S26" s="9">
        <f>'Working Capital'!S8</f>
        <v>0</v>
      </c>
      <c r="T26" s="9">
        <f>'Working Capital'!T8</f>
        <v>0</v>
      </c>
      <c r="U26" s="9">
        <f>'Working Capital'!U8</f>
        <v>0</v>
      </c>
      <c r="V26" s="9">
        <f>'Working Capital'!V8</f>
        <v>0</v>
      </c>
      <c r="W26" s="9">
        <f>'Working Capital'!W8</f>
        <v>0</v>
      </c>
      <c r="X26" s="9">
        <f t="shared" si="5"/>
        <v>0</v>
      </c>
      <c r="Y26" s="9">
        <f t="shared" si="6"/>
        <v>0</v>
      </c>
      <c r="Z26" s="9">
        <f t="shared" si="7"/>
        <v>0</v>
      </c>
      <c r="AA26" s="9">
        <f t="shared" si="8"/>
        <v>0</v>
      </c>
      <c r="AB26" s="9">
        <f t="shared" si="9"/>
        <v>0</v>
      </c>
    </row>
    <row r="27" spans="1:28" x14ac:dyDescent="0.3">
      <c r="A27" s="7" t="s">
        <v>200</v>
      </c>
      <c r="B27" s="7" t="s">
        <v>228</v>
      </c>
      <c r="C27" s="9">
        <f>'Working Capital'!C9</f>
        <v>0</v>
      </c>
      <c r="D27" s="9">
        <f>'Working Capital'!D9</f>
        <v>30</v>
      </c>
      <c r="E27" s="9">
        <f>'Working Capital'!E9</f>
        <v>30</v>
      </c>
      <c r="F27" s="9">
        <f>'Working Capital'!F9</f>
        <v>30</v>
      </c>
      <c r="G27" s="9">
        <f>'Working Capital'!G9</f>
        <v>30</v>
      </c>
      <c r="H27" s="9">
        <f>'Working Capital'!H9</f>
        <v>30</v>
      </c>
      <c r="I27" s="9">
        <f>'Working Capital'!I9</f>
        <v>30</v>
      </c>
      <c r="J27" s="9">
        <f>'Working Capital'!J9</f>
        <v>30</v>
      </c>
      <c r="K27" s="9">
        <f>'Working Capital'!K9</f>
        <v>30</v>
      </c>
      <c r="L27" s="9">
        <f>'Working Capital'!L9</f>
        <v>30</v>
      </c>
      <c r="M27" s="9">
        <f>'Working Capital'!M9</f>
        <v>30</v>
      </c>
      <c r="N27" s="9">
        <f>'Working Capital'!N9</f>
        <v>30</v>
      </c>
      <c r="O27" s="9">
        <f>'Working Capital'!O9</f>
        <v>30</v>
      </c>
      <c r="P27" s="9">
        <f>'Working Capital'!P9</f>
        <v>30</v>
      </c>
      <c r="Q27" s="9">
        <f>'Working Capital'!Q9</f>
        <v>30</v>
      </c>
      <c r="R27" s="9">
        <f>'Working Capital'!R9</f>
        <v>30</v>
      </c>
      <c r="S27" s="9">
        <f>'Working Capital'!S9</f>
        <v>30</v>
      </c>
      <c r="T27" s="9">
        <f>'Working Capital'!T9</f>
        <v>30</v>
      </c>
      <c r="U27" s="9">
        <f>'Working Capital'!U9</f>
        <v>30</v>
      </c>
      <c r="V27" s="9">
        <f>'Working Capital'!V9</f>
        <v>30</v>
      </c>
      <c r="W27" s="9">
        <f>'Working Capital'!W9</f>
        <v>30</v>
      </c>
      <c r="X27" s="9">
        <f t="shared" si="5"/>
        <v>120</v>
      </c>
      <c r="Y27" s="9">
        <f t="shared" si="6"/>
        <v>120</v>
      </c>
      <c r="Z27" s="9">
        <f t="shared" si="7"/>
        <v>120</v>
      </c>
      <c r="AA27" s="9">
        <f t="shared" si="8"/>
        <v>120</v>
      </c>
      <c r="AB27" s="9">
        <f t="shared" si="9"/>
        <v>120</v>
      </c>
    </row>
    <row r="28" spans="1:28" x14ac:dyDescent="0.3">
      <c r="A28" s="7" t="s">
        <v>201</v>
      </c>
      <c r="B28" s="7" t="s">
        <v>228</v>
      </c>
      <c r="C28" s="13">
        <f>'Working Capital'!C10</f>
        <v>0</v>
      </c>
      <c r="D28" s="13">
        <f>'Working Capital'!D10</f>
        <v>0.02</v>
      </c>
      <c r="E28" s="13">
        <f>'Working Capital'!E10</f>
        <v>0.02</v>
      </c>
      <c r="F28" s="13">
        <f>'Working Capital'!F10</f>
        <v>0.02</v>
      </c>
      <c r="G28" s="13">
        <f>'Working Capital'!G10</f>
        <v>0.02</v>
      </c>
      <c r="H28" s="13">
        <f>'Working Capital'!H10</f>
        <v>0.02</v>
      </c>
      <c r="I28" s="13">
        <f>'Working Capital'!I10</f>
        <v>0.02</v>
      </c>
      <c r="J28" s="13">
        <f>'Working Capital'!J10</f>
        <v>0.02</v>
      </c>
      <c r="K28" s="13">
        <f>'Working Capital'!K10</f>
        <v>0.02</v>
      </c>
      <c r="L28" s="13">
        <f>'Working Capital'!L10</f>
        <v>0.02</v>
      </c>
      <c r="M28" s="13">
        <f>'Working Capital'!M10</f>
        <v>0.02</v>
      </c>
      <c r="N28" s="13">
        <f>'Working Capital'!N10</f>
        <v>0.02</v>
      </c>
      <c r="O28" s="13">
        <f>'Working Capital'!O10</f>
        <v>0.02</v>
      </c>
      <c r="P28" s="13">
        <f>'Working Capital'!P10</f>
        <v>0.02</v>
      </c>
      <c r="Q28" s="13">
        <f>'Working Capital'!Q10</f>
        <v>0.02</v>
      </c>
      <c r="R28" s="13">
        <f>'Working Capital'!R10</f>
        <v>0.02</v>
      </c>
      <c r="S28" s="13">
        <f>'Working Capital'!S10</f>
        <v>0.02</v>
      </c>
      <c r="T28" s="13">
        <f>'Working Capital'!T10</f>
        <v>0.02</v>
      </c>
      <c r="U28" s="13">
        <f>'Working Capital'!U10</f>
        <v>0.02</v>
      </c>
      <c r="V28" s="13">
        <f>'Working Capital'!V10</f>
        <v>0.02</v>
      </c>
      <c r="W28" s="13">
        <f>'Working Capital'!W10</f>
        <v>0.02</v>
      </c>
      <c r="X28" s="13">
        <f t="shared" si="5"/>
        <v>0.08</v>
      </c>
      <c r="Y28" s="13">
        <f t="shared" si="6"/>
        <v>0.08</v>
      </c>
      <c r="Z28" s="13">
        <f t="shared" si="7"/>
        <v>0.08</v>
      </c>
      <c r="AA28" s="13">
        <f t="shared" si="8"/>
        <v>0.08</v>
      </c>
      <c r="AB28" s="13">
        <f t="shared" si="9"/>
        <v>0.08</v>
      </c>
    </row>
    <row r="29" spans="1:28" x14ac:dyDescent="0.3">
      <c r="A29" s="7" t="s">
        <v>202</v>
      </c>
      <c r="B29" s="7" t="s">
        <v>228</v>
      </c>
      <c r="C29" s="13">
        <f>'Working Capital'!C11</f>
        <v>0</v>
      </c>
      <c r="D29" s="13">
        <f>'Working Capital'!D11</f>
        <v>0.05</v>
      </c>
      <c r="E29" s="13">
        <f>'Working Capital'!E11</f>
        <v>0.05</v>
      </c>
      <c r="F29" s="13">
        <f>'Working Capital'!F11</f>
        <v>0.05</v>
      </c>
      <c r="G29" s="13">
        <f>'Working Capital'!G11</f>
        <v>0.05</v>
      </c>
      <c r="H29" s="13">
        <f>'Working Capital'!H11</f>
        <v>0.05</v>
      </c>
      <c r="I29" s="13">
        <f>'Working Capital'!I11</f>
        <v>0.05</v>
      </c>
      <c r="J29" s="13">
        <f>'Working Capital'!J11</f>
        <v>0.05</v>
      </c>
      <c r="K29" s="13">
        <f>'Working Capital'!K11</f>
        <v>0.05</v>
      </c>
      <c r="L29" s="13">
        <f>'Working Capital'!L11</f>
        <v>0.05</v>
      </c>
      <c r="M29" s="13">
        <f>'Working Capital'!M11</f>
        <v>0.05</v>
      </c>
      <c r="N29" s="13">
        <f>'Working Capital'!N11</f>
        <v>0.05</v>
      </c>
      <c r="O29" s="13">
        <f>'Working Capital'!O11</f>
        <v>0.05</v>
      </c>
      <c r="P29" s="13">
        <f>'Working Capital'!P11</f>
        <v>0.05</v>
      </c>
      <c r="Q29" s="13">
        <f>'Working Capital'!Q11</f>
        <v>0.05</v>
      </c>
      <c r="R29" s="13">
        <f>'Working Capital'!R11</f>
        <v>0.05</v>
      </c>
      <c r="S29" s="13">
        <f>'Working Capital'!S11</f>
        <v>0.05</v>
      </c>
      <c r="T29" s="13">
        <f>'Working Capital'!T11</f>
        <v>0.05</v>
      </c>
      <c r="U29" s="13">
        <f>'Working Capital'!U11</f>
        <v>0.05</v>
      </c>
      <c r="V29" s="13">
        <f>'Working Capital'!V11</f>
        <v>0.05</v>
      </c>
      <c r="W29" s="13">
        <f>'Working Capital'!W11</f>
        <v>0.05</v>
      </c>
      <c r="X29" s="13">
        <f t="shared" si="5"/>
        <v>0.2</v>
      </c>
      <c r="Y29" s="13">
        <f t="shared" si="6"/>
        <v>0.2</v>
      </c>
      <c r="Z29" s="13">
        <f t="shared" si="7"/>
        <v>0.2</v>
      </c>
      <c r="AA29" s="13">
        <f t="shared" si="8"/>
        <v>0.2</v>
      </c>
      <c r="AB29" s="13">
        <f t="shared" si="9"/>
        <v>0.2</v>
      </c>
    </row>
    <row r="30" spans="1:28" x14ac:dyDescent="0.3">
      <c r="A30" s="7" t="s">
        <v>203</v>
      </c>
      <c r="B30" s="7" t="s">
        <v>228</v>
      </c>
      <c r="C30" s="13">
        <f>'Working Capital'!C12</f>
        <v>0</v>
      </c>
      <c r="D30" s="13">
        <f>'Working Capital'!D12</f>
        <v>0</v>
      </c>
      <c r="E30" s="13">
        <f>'Working Capital'!E12</f>
        <v>0</v>
      </c>
      <c r="F30" s="13">
        <f>'Working Capital'!F12</f>
        <v>0</v>
      </c>
      <c r="G30" s="13">
        <f>'Working Capital'!G12</f>
        <v>0</v>
      </c>
      <c r="H30" s="13">
        <f>'Working Capital'!H12</f>
        <v>0</v>
      </c>
      <c r="I30" s="13">
        <f>'Working Capital'!I12</f>
        <v>0</v>
      </c>
      <c r="J30" s="13">
        <f>'Working Capital'!J12</f>
        <v>0</v>
      </c>
      <c r="K30" s="13">
        <f>'Working Capital'!K12</f>
        <v>0</v>
      </c>
      <c r="L30" s="13">
        <f>'Working Capital'!L12</f>
        <v>0</v>
      </c>
      <c r="M30" s="13">
        <f>'Working Capital'!M12</f>
        <v>0</v>
      </c>
      <c r="N30" s="13">
        <f>'Working Capital'!N12</f>
        <v>0</v>
      </c>
      <c r="O30" s="13">
        <f>'Working Capital'!O12</f>
        <v>0</v>
      </c>
      <c r="P30" s="13">
        <f>'Working Capital'!P12</f>
        <v>0</v>
      </c>
      <c r="Q30" s="13">
        <f>'Working Capital'!Q12</f>
        <v>0</v>
      </c>
      <c r="R30" s="13">
        <f>'Working Capital'!R12</f>
        <v>0</v>
      </c>
      <c r="S30" s="13">
        <f>'Working Capital'!S12</f>
        <v>0</v>
      </c>
      <c r="T30" s="13">
        <f>'Working Capital'!T12</f>
        <v>0</v>
      </c>
      <c r="U30" s="13">
        <f>'Working Capital'!U12</f>
        <v>0</v>
      </c>
      <c r="V30" s="13">
        <f>'Working Capital'!V12</f>
        <v>0</v>
      </c>
      <c r="W30" s="13">
        <f>'Working Capital'!W12</f>
        <v>0</v>
      </c>
      <c r="X30" s="13">
        <f t="shared" si="5"/>
        <v>0</v>
      </c>
      <c r="Y30" s="13">
        <f t="shared" si="6"/>
        <v>0</v>
      </c>
      <c r="Z30" s="13">
        <f t="shared" si="7"/>
        <v>0</v>
      </c>
      <c r="AA30" s="13">
        <f t="shared" si="8"/>
        <v>0</v>
      </c>
      <c r="AB30" s="13">
        <f t="shared" si="9"/>
        <v>0</v>
      </c>
    </row>
    <row r="31" spans="1:28" x14ac:dyDescent="0.3">
      <c r="A31" s="33" t="s">
        <v>62</v>
      </c>
      <c r="B31" s="33" t="s">
        <v>229</v>
      </c>
      <c r="C31" s="34">
        <f>'Cash Equity Schedule'!C7</f>
        <v>0</v>
      </c>
      <c r="D31" s="34">
        <f>'Cash Equity Schedule'!D7</f>
        <v>2447461</v>
      </c>
      <c r="E31" s="34">
        <f>'Cash Equity Schedule'!E7</f>
        <v>2447461</v>
      </c>
      <c r="F31" s="34">
        <f>'Cash Equity Schedule'!F7</f>
        <v>2447461</v>
      </c>
      <c r="G31" s="34">
        <f>'Cash Equity Schedule'!G7</f>
        <v>2447461</v>
      </c>
      <c r="H31" s="34">
        <f>'Cash Equity Schedule'!H7</f>
        <v>2447461</v>
      </c>
      <c r="I31" s="34">
        <f>'Cash Equity Schedule'!I7</f>
        <v>2447461</v>
      </c>
      <c r="J31" s="34">
        <f>'Cash Equity Schedule'!J7</f>
        <v>2447461</v>
      </c>
      <c r="K31" s="34">
        <f>'Cash Equity Schedule'!K7</f>
        <v>2447461</v>
      </c>
      <c r="L31" s="34">
        <f>'Cash Equity Schedule'!L7</f>
        <v>2447461</v>
      </c>
      <c r="M31" s="34">
        <f>'Cash Equity Schedule'!M7</f>
        <v>2447461</v>
      </c>
      <c r="N31" s="34">
        <f>'Cash Equity Schedule'!N7</f>
        <v>2447461</v>
      </c>
      <c r="O31" s="34">
        <f>'Cash Equity Schedule'!O7</f>
        <v>2447461</v>
      </c>
      <c r="P31" s="34">
        <f>'Cash Equity Schedule'!P7</f>
        <v>2447461</v>
      </c>
      <c r="Q31" s="34">
        <f>'Cash Equity Schedule'!Q7</f>
        <v>2447461</v>
      </c>
      <c r="R31" s="34">
        <f>'Cash Equity Schedule'!R7</f>
        <v>2447461</v>
      </c>
      <c r="S31" s="34">
        <f>'Cash Equity Schedule'!S7</f>
        <v>2447461</v>
      </c>
      <c r="T31" s="34">
        <f>'Cash Equity Schedule'!T7</f>
        <v>2447461</v>
      </c>
      <c r="U31" s="34">
        <f>'Cash Equity Schedule'!U7</f>
        <v>2447461</v>
      </c>
      <c r="V31" s="34">
        <f>'Cash Equity Schedule'!V7</f>
        <v>2447461</v>
      </c>
      <c r="W31" s="34">
        <f>'Cash Equity Schedule'!W7</f>
        <v>2447461</v>
      </c>
      <c r="X31" s="34">
        <f>G31</f>
        <v>2447461</v>
      </c>
      <c r="Y31" s="34">
        <f>K31</f>
        <v>2447461</v>
      </c>
      <c r="Z31" s="34">
        <f>O31</f>
        <v>2447461</v>
      </c>
      <c r="AA31" s="34">
        <f>S31</f>
        <v>2447461</v>
      </c>
      <c r="AB31" s="34">
        <f>W31</f>
        <v>2447461</v>
      </c>
    </row>
    <row r="32" spans="1:28" x14ac:dyDescent="0.3">
      <c r="A32" s="33" t="s">
        <v>64</v>
      </c>
      <c r="B32" s="33" t="s">
        <v>229</v>
      </c>
      <c r="C32" s="34">
        <f>'Cash Equity Schedule'!C8</f>
        <v>0</v>
      </c>
      <c r="D32" s="34">
        <f>'Cash Equity Schedule'!D8</f>
        <v>0</v>
      </c>
      <c r="E32" s="34">
        <f>'Cash Equity Schedule'!E8</f>
        <v>0</v>
      </c>
      <c r="F32" s="34">
        <f>'Cash Equity Schedule'!F8</f>
        <v>0</v>
      </c>
      <c r="G32" s="34">
        <f>'Cash Equity Schedule'!G8</f>
        <v>0</v>
      </c>
      <c r="H32" s="34">
        <f>'Cash Equity Schedule'!H8</f>
        <v>0</v>
      </c>
      <c r="I32" s="34">
        <f>'Cash Equity Schedule'!I8</f>
        <v>0</v>
      </c>
      <c r="J32" s="34">
        <f>'Cash Equity Schedule'!J8</f>
        <v>0</v>
      </c>
      <c r="K32" s="34">
        <f>'Cash Equity Schedule'!K8</f>
        <v>0</v>
      </c>
      <c r="L32" s="34">
        <f>'Cash Equity Schedule'!L8</f>
        <v>0</v>
      </c>
      <c r="M32" s="34">
        <f>'Cash Equity Schedule'!M8</f>
        <v>0</v>
      </c>
      <c r="N32" s="34">
        <f>'Cash Equity Schedule'!N8</f>
        <v>0</v>
      </c>
      <c r="O32" s="34">
        <f>'Cash Equity Schedule'!O8</f>
        <v>0</v>
      </c>
      <c r="P32" s="34">
        <f>'Cash Equity Schedule'!P8</f>
        <v>0</v>
      </c>
      <c r="Q32" s="34">
        <f>'Cash Equity Schedule'!Q8</f>
        <v>0</v>
      </c>
      <c r="R32" s="34">
        <f>'Cash Equity Schedule'!R8</f>
        <v>0</v>
      </c>
      <c r="S32" s="34">
        <f>'Cash Equity Schedule'!S8</f>
        <v>0</v>
      </c>
      <c r="T32" s="34">
        <f>'Cash Equity Schedule'!T8</f>
        <v>0</v>
      </c>
      <c r="U32" s="34">
        <f>'Cash Equity Schedule'!U8</f>
        <v>0</v>
      </c>
      <c r="V32" s="34">
        <f>'Cash Equity Schedule'!V8</f>
        <v>0</v>
      </c>
      <c r="W32" s="34">
        <f>'Cash Equity Schedule'!W8</f>
        <v>0</v>
      </c>
      <c r="X32" s="34">
        <f>G32</f>
        <v>0</v>
      </c>
      <c r="Y32" s="34">
        <f>K32</f>
        <v>0</v>
      </c>
      <c r="Z32" s="34">
        <f>O32</f>
        <v>0</v>
      </c>
      <c r="AA32" s="34">
        <f>S32</f>
        <v>0</v>
      </c>
      <c r="AB32" s="34">
        <f>W32</f>
        <v>0</v>
      </c>
    </row>
    <row r="33" spans="1:28" x14ac:dyDescent="0.3">
      <c r="A33" s="33" t="s">
        <v>77</v>
      </c>
      <c r="B33" s="33" t="s">
        <v>229</v>
      </c>
      <c r="C33" s="34">
        <f>'Cash Equity Schedule'!C9</f>
        <v>0</v>
      </c>
      <c r="D33" s="34">
        <f>'Cash Equity Schedule'!D9</f>
        <v>0</v>
      </c>
      <c r="E33" s="34">
        <f>'Cash Equity Schedule'!E9</f>
        <v>0</v>
      </c>
      <c r="F33" s="34">
        <f>'Cash Equity Schedule'!F9</f>
        <v>0</v>
      </c>
      <c r="G33" s="34">
        <f>'Cash Equity Schedule'!G9</f>
        <v>0</v>
      </c>
      <c r="H33" s="34">
        <f>'Cash Equity Schedule'!H9</f>
        <v>49064</v>
      </c>
      <c r="I33" s="34">
        <f>'Cash Equity Schedule'!I9</f>
        <v>315401</v>
      </c>
      <c r="J33" s="34">
        <f>'Cash Equity Schedule'!J9</f>
        <v>357886</v>
      </c>
      <c r="K33" s="34">
        <f>'Cash Equity Schedule'!K9</f>
        <v>411189</v>
      </c>
      <c r="L33" s="34">
        <f>'Cash Equity Schedule'!L9</f>
        <v>452460</v>
      </c>
      <c r="M33" s="34">
        <f>'Cash Equity Schedule'!M9</f>
        <v>502177</v>
      </c>
      <c r="N33" s="34">
        <f>'Cash Equity Schedule'!N9</f>
        <v>542766</v>
      </c>
      <c r="O33" s="34">
        <f>'Cash Equity Schedule'!O9</f>
        <v>615013</v>
      </c>
      <c r="P33" s="34">
        <f>'Cash Equity Schedule'!P9</f>
        <v>645570</v>
      </c>
      <c r="Q33" s="34">
        <f>'Cash Equity Schedule'!Q9</f>
        <v>689287</v>
      </c>
      <c r="R33" s="34">
        <f>'Cash Equity Schedule'!R9</f>
        <v>723067</v>
      </c>
      <c r="S33" s="34">
        <f>'Cash Equity Schedule'!S9</f>
        <v>787790</v>
      </c>
      <c r="T33" s="34">
        <f>'Cash Equity Schedule'!T9</f>
        <v>820737</v>
      </c>
      <c r="U33" s="34">
        <f>'Cash Equity Schedule'!U9</f>
        <v>867001</v>
      </c>
      <c r="V33" s="34">
        <f>'Cash Equity Schedule'!V9</f>
        <v>902768</v>
      </c>
      <c r="W33" s="34">
        <f>'Cash Equity Schedule'!W9</f>
        <v>971656</v>
      </c>
      <c r="X33" s="34">
        <f>G33</f>
        <v>0</v>
      </c>
      <c r="Y33" s="34">
        <f>K33</f>
        <v>411189</v>
      </c>
      <c r="Z33" s="34">
        <f>O33</f>
        <v>615013</v>
      </c>
      <c r="AA33" s="34">
        <f>S33</f>
        <v>787790</v>
      </c>
      <c r="AB33" s="34">
        <f>W33</f>
        <v>971656</v>
      </c>
    </row>
    <row r="35" spans="1:28" x14ac:dyDescent="0.3">
      <c r="A35" s="51" t="s">
        <v>230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</row>
    <row r="36" spans="1:28" x14ac:dyDescent="0.3">
      <c r="A36" s="7" t="s">
        <v>205</v>
      </c>
      <c r="B36" s="7" t="s">
        <v>228</v>
      </c>
      <c r="C36" s="11">
        <f>'Working Capital'!C15</f>
        <v>0</v>
      </c>
      <c r="D36" s="11">
        <f>'Working Capital'!D15</f>
        <v>0</v>
      </c>
      <c r="E36" s="11">
        <f>'Working Capital'!E15</f>
        <v>0</v>
      </c>
      <c r="F36" s="11">
        <f>'Working Capital'!F15</f>
        <v>0</v>
      </c>
      <c r="G36" s="11">
        <f>'Working Capital'!G15</f>
        <v>0</v>
      </c>
      <c r="H36" s="11">
        <f>'Working Capital'!H15</f>
        <v>0</v>
      </c>
      <c r="I36" s="11">
        <f>'Working Capital'!I15</f>
        <v>0</v>
      </c>
      <c r="J36" s="11">
        <f>'Working Capital'!J15</f>
        <v>0</v>
      </c>
      <c r="K36" s="11">
        <f>'Working Capital'!K15</f>
        <v>0</v>
      </c>
      <c r="L36" s="11">
        <f>'Working Capital'!L15</f>
        <v>0</v>
      </c>
      <c r="M36" s="11">
        <f>'Working Capital'!M15</f>
        <v>0</v>
      </c>
      <c r="N36" s="11">
        <f>'Working Capital'!N15</f>
        <v>0</v>
      </c>
      <c r="O36" s="11">
        <f>'Working Capital'!O15</f>
        <v>0</v>
      </c>
      <c r="P36" s="11">
        <f>'Working Capital'!P15</f>
        <v>0</v>
      </c>
      <c r="Q36" s="11">
        <f>'Working Capital'!Q15</f>
        <v>0</v>
      </c>
      <c r="R36" s="11">
        <f>'Working Capital'!R15</f>
        <v>0</v>
      </c>
      <c r="S36" s="11">
        <f>'Working Capital'!S15</f>
        <v>0</v>
      </c>
      <c r="T36" s="11">
        <f>'Working Capital'!T15</f>
        <v>0</v>
      </c>
      <c r="U36" s="11">
        <f>'Working Capital'!U15</f>
        <v>0</v>
      </c>
      <c r="V36" s="11">
        <f>'Working Capital'!V15</f>
        <v>0</v>
      </c>
      <c r="W36" s="11">
        <f>'Working Capital'!W15</f>
        <v>0</v>
      </c>
      <c r="X36" s="11">
        <f t="shared" ref="X36:X41" si="10">G36</f>
        <v>0</v>
      </c>
      <c r="Y36" s="11">
        <f t="shared" ref="Y36:Y41" si="11">K36</f>
        <v>0</v>
      </c>
      <c r="Z36" s="11">
        <f t="shared" ref="Z36:Z41" si="12">O36</f>
        <v>0</v>
      </c>
      <c r="AA36" s="11">
        <f t="shared" ref="AA36:AA41" si="13">S36</f>
        <v>0</v>
      </c>
      <c r="AB36" s="11">
        <f t="shared" ref="AB36:AB41" si="14">W36</f>
        <v>0</v>
      </c>
    </row>
    <row r="37" spans="1:28" x14ac:dyDescent="0.3">
      <c r="A37" s="7" t="s">
        <v>207</v>
      </c>
      <c r="B37" s="7" t="s">
        <v>228</v>
      </c>
      <c r="C37" s="11">
        <f>'Working Capital'!C16</f>
        <v>0</v>
      </c>
      <c r="D37" s="11">
        <f>'Working Capital'!D16</f>
        <v>0</v>
      </c>
      <c r="E37" s="11">
        <f>'Working Capital'!E16</f>
        <v>0</v>
      </c>
      <c r="F37" s="11">
        <f>'Working Capital'!F16</f>
        <v>0</v>
      </c>
      <c r="G37" s="11">
        <f>'Working Capital'!G16</f>
        <v>0</v>
      </c>
      <c r="H37" s="11">
        <f>'Working Capital'!H16</f>
        <v>0</v>
      </c>
      <c r="I37" s="11">
        <f>'Working Capital'!I16</f>
        <v>0</v>
      </c>
      <c r="J37" s="11">
        <f>'Working Capital'!J16</f>
        <v>0</v>
      </c>
      <c r="K37" s="11">
        <f>'Working Capital'!K16</f>
        <v>0</v>
      </c>
      <c r="L37" s="11">
        <f>'Working Capital'!L16</f>
        <v>0</v>
      </c>
      <c r="M37" s="11">
        <f>'Working Capital'!M16</f>
        <v>0</v>
      </c>
      <c r="N37" s="11">
        <f>'Working Capital'!N16</f>
        <v>0</v>
      </c>
      <c r="O37" s="11">
        <f>'Working Capital'!O16</f>
        <v>0</v>
      </c>
      <c r="P37" s="11">
        <f>'Working Capital'!P16</f>
        <v>0</v>
      </c>
      <c r="Q37" s="11">
        <f>'Working Capital'!Q16</f>
        <v>0</v>
      </c>
      <c r="R37" s="11">
        <f>'Working Capital'!R16</f>
        <v>0</v>
      </c>
      <c r="S37" s="11">
        <f>'Working Capital'!S16</f>
        <v>0</v>
      </c>
      <c r="T37" s="11">
        <f>'Working Capital'!T16</f>
        <v>0</v>
      </c>
      <c r="U37" s="11">
        <f>'Working Capital'!U16</f>
        <v>0</v>
      </c>
      <c r="V37" s="11">
        <f>'Working Capital'!V16</f>
        <v>0</v>
      </c>
      <c r="W37" s="11">
        <f>'Working Capital'!W16</f>
        <v>0</v>
      </c>
      <c r="X37" s="11">
        <f t="shared" si="10"/>
        <v>0</v>
      </c>
      <c r="Y37" s="11">
        <f t="shared" si="11"/>
        <v>0</v>
      </c>
      <c r="Z37" s="11">
        <f t="shared" si="12"/>
        <v>0</v>
      </c>
      <c r="AA37" s="11">
        <f t="shared" si="13"/>
        <v>0</v>
      </c>
      <c r="AB37" s="11">
        <f t="shared" si="14"/>
        <v>0</v>
      </c>
    </row>
    <row r="38" spans="1:28" x14ac:dyDescent="0.3">
      <c r="A38" s="7" t="s">
        <v>208</v>
      </c>
      <c r="B38" s="7" t="s">
        <v>228</v>
      </c>
      <c r="C38" s="11">
        <f>'Working Capital'!C17</f>
        <v>0</v>
      </c>
      <c r="D38" s="11">
        <f>'Working Capital'!D17</f>
        <v>0</v>
      </c>
      <c r="E38" s="11">
        <f>'Working Capital'!E17</f>
        <v>0</v>
      </c>
      <c r="F38" s="11">
        <f>'Working Capital'!F17</f>
        <v>0</v>
      </c>
      <c r="G38" s="11">
        <f>'Working Capital'!G17</f>
        <v>0</v>
      </c>
      <c r="H38" s="11">
        <f>'Working Capital'!H17</f>
        <v>0</v>
      </c>
      <c r="I38" s="11">
        <f>'Working Capital'!I17</f>
        <v>0</v>
      </c>
      <c r="J38" s="11">
        <f>'Working Capital'!J17</f>
        <v>0</v>
      </c>
      <c r="K38" s="11">
        <f>'Working Capital'!K17</f>
        <v>0</v>
      </c>
      <c r="L38" s="11">
        <f>'Working Capital'!L17</f>
        <v>0</v>
      </c>
      <c r="M38" s="11">
        <f>'Working Capital'!M17</f>
        <v>0</v>
      </c>
      <c r="N38" s="11">
        <f>'Working Capital'!N17</f>
        <v>0</v>
      </c>
      <c r="O38" s="11">
        <f>'Working Capital'!O17</f>
        <v>0</v>
      </c>
      <c r="P38" s="11">
        <f>'Working Capital'!P17</f>
        <v>0</v>
      </c>
      <c r="Q38" s="11">
        <f>'Working Capital'!Q17</f>
        <v>0</v>
      </c>
      <c r="R38" s="11">
        <f>'Working Capital'!R17</f>
        <v>0</v>
      </c>
      <c r="S38" s="11">
        <f>'Working Capital'!S17</f>
        <v>0</v>
      </c>
      <c r="T38" s="11">
        <f>'Working Capital'!T17</f>
        <v>0</v>
      </c>
      <c r="U38" s="11">
        <f>'Working Capital'!U17</f>
        <v>0</v>
      </c>
      <c r="V38" s="11">
        <f>'Working Capital'!V17</f>
        <v>0</v>
      </c>
      <c r="W38" s="11">
        <f>'Working Capital'!W17</f>
        <v>0</v>
      </c>
      <c r="X38" s="11">
        <f t="shared" si="10"/>
        <v>0</v>
      </c>
      <c r="Y38" s="11">
        <f t="shared" si="11"/>
        <v>0</v>
      </c>
      <c r="Z38" s="11">
        <f t="shared" si="12"/>
        <v>0</v>
      </c>
      <c r="AA38" s="11">
        <f t="shared" si="13"/>
        <v>0</v>
      </c>
      <c r="AB38" s="11">
        <f t="shared" si="14"/>
        <v>0</v>
      </c>
    </row>
    <row r="39" spans="1:28" x14ac:dyDescent="0.3">
      <c r="A39" s="7" t="s">
        <v>209</v>
      </c>
      <c r="B39" s="7" t="s">
        <v>228</v>
      </c>
      <c r="C39" s="11">
        <f>'Working Capital'!C18</f>
        <v>0</v>
      </c>
      <c r="D39" s="11">
        <f>'Working Capital'!D18</f>
        <v>0</v>
      </c>
      <c r="E39" s="11">
        <f>'Working Capital'!E18</f>
        <v>0</v>
      </c>
      <c r="F39" s="11">
        <f>'Working Capital'!F18</f>
        <v>0</v>
      </c>
      <c r="G39" s="11">
        <f>'Working Capital'!G18</f>
        <v>0</v>
      </c>
      <c r="H39" s="11">
        <f>'Working Capital'!H18</f>
        <v>0</v>
      </c>
      <c r="I39" s="11">
        <f>'Working Capital'!I18</f>
        <v>0</v>
      </c>
      <c r="J39" s="11">
        <f>'Working Capital'!J18</f>
        <v>0</v>
      </c>
      <c r="K39" s="11">
        <f>'Working Capital'!K18</f>
        <v>0</v>
      </c>
      <c r="L39" s="11">
        <f>'Working Capital'!L18</f>
        <v>0</v>
      </c>
      <c r="M39" s="11">
        <f>'Working Capital'!M18</f>
        <v>0</v>
      </c>
      <c r="N39" s="11">
        <f>'Working Capital'!N18</f>
        <v>0</v>
      </c>
      <c r="O39" s="11">
        <f>'Working Capital'!O18</f>
        <v>0</v>
      </c>
      <c r="P39" s="11">
        <f>'Working Capital'!P18</f>
        <v>0</v>
      </c>
      <c r="Q39" s="11">
        <f>'Working Capital'!Q18</f>
        <v>0</v>
      </c>
      <c r="R39" s="11">
        <f>'Working Capital'!R18</f>
        <v>0</v>
      </c>
      <c r="S39" s="11">
        <f>'Working Capital'!S18</f>
        <v>0</v>
      </c>
      <c r="T39" s="11">
        <f>'Working Capital'!T18</f>
        <v>0</v>
      </c>
      <c r="U39" s="11">
        <f>'Working Capital'!U18</f>
        <v>0</v>
      </c>
      <c r="V39" s="11">
        <f>'Working Capital'!V18</f>
        <v>0</v>
      </c>
      <c r="W39" s="11">
        <f>'Working Capital'!W18</f>
        <v>0</v>
      </c>
      <c r="X39" s="11">
        <f t="shared" si="10"/>
        <v>0</v>
      </c>
      <c r="Y39" s="11">
        <f t="shared" si="11"/>
        <v>0</v>
      </c>
      <c r="Z39" s="11">
        <f t="shared" si="12"/>
        <v>0</v>
      </c>
      <c r="AA39" s="11">
        <f t="shared" si="13"/>
        <v>0</v>
      </c>
      <c r="AB39" s="11">
        <f t="shared" si="14"/>
        <v>0</v>
      </c>
    </row>
    <row r="40" spans="1:28" x14ac:dyDescent="0.3">
      <c r="A40" s="7" t="s">
        <v>210</v>
      </c>
      <c r="B40" s="7" t="s">
        <v>228</v>
      </c>
      <c r="C40" s="11">
        <f>'Working Capital'!C19</f>
        <v>0</v>
      </c>
      <c r="D40" s="11">
        <f>'Working Capital'!D19</f>
        <v>0</v>
      </c>
      <c r="E40" s="11">
        <f>'Working Capital'!E19</f>
        <v>0</v>
      </c>
      <c r="F40" s="11">
        <f>'Working Capital'!F19</f>
        <v>0</v>
      </c>
      <c r="G40" s="11">
        <f>'Working Capital'!G19</f>
        <v>0</v>
      </c>
      <c r="H40" s="11">
        <f>'Working Capital'!H19</f>
        <v>0</v>
      </c>
      <c r="I40" s="11">
        <f>'Working Capital'!I19</f>
        <v>0</v>
      </c>
      <c r="J40" s="11">
        <f>'Working Capital'!J19</f>
        <v>0</v>
      </c>
      <c r="K40" s="11">
        <f>'Working Capital'!K19</f>
        <v>0</v>
      </c>
      <c r="L40" s="11">
        <f>'Working Capital'!L19</f>
        <v>0</v>
      </c>
      <c r="M40" s="11">
        <f>'Working Capital'!M19</f>
        <v>0</v>
      </c>
      <c r="N40" s="11">
        <f>'Working Capital'!N19</f>
        <v>0</v>
      </c>
      <c r="O40" s="11">
        <f>'Working Capital'!O19</f>
        <v>0</v>
      </c>
      <c r="P40" s="11">
        <f>'Working Capital'!P19</f>
        <v>0</v>
      </c>
      <c r="Q40" s="11">
        <f>'Working Capital'!Q19</f>
        <v>0</v>
      </c>
      <c r="R40" s="11">
        <f>'Working Capital'!R19</f>
        <v>0</v>
      </c>
      <c r="S40" s="11">
        <f>'Working Capital'!S19</f>
        <v>0</v>
      </c>
      <c r="T40" s="11">
        <f>'Working Capital'!T19</f>
        <v>0</v>
      </c>
      <c r="U40" s="11">
        <f>'Working Capital'!U19</f>
        <v>0</v>
      </c>
      <c r="V40" s="11">
        <f>'Working Capital'!V19</f>
        <v>0</v>
      </c>
      <c r="W40" s="11">
        <f>'Working Capital'!W19</f>
        <v>0</v>
      </c>
      <c r="X40" s="11">
        <f t="shared" si="10"/>
        <v>0</v>
      </c>
      <c r="Y40" s="11">
        <f t="shared" si="11"/>
        <v>0</v>
      </c>
      <c r="Z40" s="11">
        <f t="shared" si="12"/>
        <v>0</v>
      </c>
      <c r="AA40" s="11">
        <f t="shared" si="13"/>
        <v>0</v>
      </c>
      <c r="AB40" s="11">
        <f t="shared" si="14"/>
        <v>0</v>
      </c>
    </row>
    <row r="41" spans="1:28" x14ac:dyDescent="0.3">
      <c r="A41" s="33" t="s">
        <v>231</v>
      </c>
      <c r="B41" s="33" t="s">
        <v>232</v>
      </c>
      <c r="C41" s="34">
        <f>'Debt Schedule'!C7</f>
        <v>0</v>
      </c>
      <c r="D41" s="34">
        <f>'Debt Schedule'!D7</f>
        <v>0</v>
      </c>
      <c r="E41" s="34">
        <f>'Debt Schedule'!E7</f>
        <v>0</v>
      </c>
      <c r="F41" s="34">
        <f>'Debt Schedule'!F7</f>
        <v>0</v>
      </c>
      <c r="G41" s="34">
        <f>'Debt Schedule'!G7</f>
        <v>0</v>
      </c>
      <c r="H41" s="34">
        <f>'Debt Schedule'!H7</f>
        <v>0</v>
      </c>
      <c r="I41" s="34">
        <f>'Debt Schedule'!I7</f>
        <v>0</v>
      </c>
      <c r="J41" s="34">
        <f>'Debt Schedule'!J7</f>
        <v>0</v>
      </c>
      <c r="K41" s="34">
        <f>'Debt Schedule'!K7</f>
        <v>0</v>
      </c>
      <c r="L41" s="34">
        <f>'Debt Schedule'!L7</f>
        <v>0</v>
      </c>
      <c r="M41" s="34">
        <f>'Debt Schedule'!M7</f>
        <v>0</v>
      </c>
      <c r="N41" s="34">
        <f>'Debt Schedule'!N7</f>
        <v>0</v>
      </c>
      <c r="O41" s="34">
        <f>'Debt Schedule'!O7</f>
        <v>0</v>
      </c>
      <c r="P41" s="34">
        <f>'Debt Schedule'!P7</f>
        <v>0</v>
      </c>
      <c r="Q41" s="34">
        <f>'Debt Schedule'!Q7</f>
        <v>0</v>
      </c>
      <c r="R41" s="34">
        <f>'Debt Schedule'!R7</f>
        <v>0</v>
      </c>
      <c r="S41" s="34">
        <f>'Debt Schedule'!S7</f>
        <v>0</v>
      </c>
      <c r="T41" s="34">
        <f>'Debt Schedule'!T7</f>
        <v>0</v>
      </c>
      <c r="U41" s="34">
        <f>'Debt Schedule'!U7</f>
        <v>0</v>
      </c>
      <c r="V41" s="34">
        <f>'Debt Schedule'!V7</f>
        <v>0</v>
      </c>
      <c r="W41" s="34">
        <f>'Debt Schedule'!W7</f>
        <v>0</v>
      </c>
      <c r="X41" s="34">
        <f t="shared" si="10"/>
        <v>0</v>
      </c>
      <c r="Y41" s="34">
        <f t="shared" si="11"/>
        <v>0</v>
      </c>
      <c r="Z41" s="34">
        <f t="shared" si="12"/>
        <v>0</v>
      </c>
      <c r="AA41" s="34">
        <f t="shared" si="13"/>
        <v>0</v>
      </c>
      <c r="AB41" s="34">
        <f t="shared" si="14"/>
        <v>0</v>
      </c>
    </row>
    <row r="42" spans="1:28" x14ac:dyDescent="0.3">
      <c r="A42" s="33" t="s">
        <v>160</v>
      </c>
      <c r="B42" s="33" t="s">
        <v>232</v>
      </c>
      <c r="C42" s="34">
        <f>'Debt Schedule'!C8</f>
        <v>0</v>
      </c>
      <c r="D42" s="34">
        <f>'Debt Schedule'!D8</f>
        <v>0</v>
      </c>
      <c r="E42" s="34">
        <f>'Debt Schedule'!E8</f>
        <v>0</v>
      </c>
      <c r="F42" s="34">
        <f>'Debt Schedule'!F8</f>
        <v>0</v>
      </c>
      <c r="G42" s="34">
        <f>'Debt Schedule'!G8</f>
        <v>0</v>
      </c>
      <c r="H42" s="34">
        <f>'Debt Schedule'!H8</f>
        <v>0</v>
      </c>
      <c r="I42" s="34">
        <f>'Debt Schedule'!I8</f>
        <v>0</v>
      </c>
      <c r="J42" s="34">
        <f>'Debt Schedule'!J8</f>
        <v>0</v>
      </c>
      <c r="K42" s="34">
        <f>'Debt Schedule'!K8</f>
        <v>0</v>
      </c>
      <c r="L42" s="34">
        <f>'Debt Schedule'!L8</f>
        <v>0</v>
      </c>
      <c r="M42" s="34">
        <f>'Debt Schedule'!M8</f>
        <v>0</v>
      </c>
      <c r="N42" s="34">
        <f>'Debt Schedule'!N8</f>
        <v>0</v>
      </c>
      <c r="O42" s="34">
        <f>'Debt Schedule'!O8</f>
        <v>0</v>
      </c>
      <c r="P42" s="34">
        <f>'Debt Schedule'!P8</f>
        <v>0</v>
      </c>
      <c r="Q42" s="34">
        <f>'Debt Schedule'!Q8</f>
        <v>0</v>
      </c>
      <c r="R42" s="34">
        <f>'Debt Schedule'!R8</f>
        <v>0</v>
      </c>
      <c r="S42" s="34">
        <f>'Debt Schedule'!S8</f>
        <v>0</v>
      </c>
      <c r="T42" s="34">
        <f>'Debt Schedule'!T8</f>
        <v>0</v>
      </c>
      <c r="U42" s="34">
        <f>'Debt Schedule'!U8</f>
        <v>0</v>
      </c>
      <c r="V42" s="34">
        <f>'Debt Schedule'!V8</f>
        <v>0</v>
      </c>
      <c r="W42" s="34">
        <f>'Debt Schedule'!W8</f>
        <v>0</v>
      </c>
      <c r="X42" s="34">
        <f>SUM(D42:G42)</f>
        <v>0</v>
      </c>
      <c r="Y42" s="34">
        <f>SUM(H42:K42)</f>
        <v>0</v>
      </c>
      <c r="Z42" s="34">
        <f>SUM(L42:O42)</f>
        <v>0</v>
      </c>
      <c r="AA42" s="34">
        <f>SUM(P42:S42)</f>
        <v>0</v>
      </c>
      <c r="AB42" s="34">
        <f>SUM(T42:W42)</f>
        <v>0</v>
      </c>
    </row>
    <row r="43" spans="1:28" x14ac:dyDescent="0.3">
      <c r="A43" s="33" t="s">
        <v>75</v>
      </c>
      <c r="B43" s="33" t="s">
        <v>232</v>
      </c>
      <c r="C43" s="34">
        <f>'Debt Schedule'!C10</f>
        <v>0</v>
      </c>
      <c r="D43" s="34">
        <f>'Debt Schedule'!D10</f>
        <v>0</v>
      </c>
      <c r="E43" s="34">
        <f>'Debt Schedule'!E10</f>
        <v>0</v>
      </c>
      <c r="F43" s="34">
        <f>'Debt Schedule'!F10</f>
        <v>0</v>
      </c>
      <c r="G43" s="34">
        <f>'Debt Schedule'!G10</f>
        <v>0</v>
      </c>
      <c r="H43" s="34">
        <f>'Debt Schedule'!H10</f>
        <v>0</v>
      </c>
      <c r="I43" s="34">
        <f>'Debt Schedule'!I10</f>
        <v>0</v>
      </c>
      <c r="J43" s="34">
        <f>'Debt Schedule'!J10</f>
        <v>0</v>
      </c>
      <c r="K43" s="34">
        <f>'Debt Schedule'!K10</f>
        <v>0</v>
      </c>
      <c r="L43" s="34">
        <f>'Debt Schedule'!L10</f>
        <v>0</v>
      </c>
      <c r="M43" s="34">
        <f>'Debt Schedule'!M10</f>
        <v>0</v>
      </c>
      <c r="N43" s="34">
        <f>'Debt Schedule'!N10</f>
        <v>0</v>
      </c>
      <c r="O43" s="34">
        <f>'Debt Schedule'!O10</f>
        <v>0</v>
      </c>
      <c r="P43" s="34">
        <f>'Debt Schedule'!P10</f>
        <v>0</v>
      </c>
      <c r="Q43" s="34">
        <f>'Debt Schedule'!Q10</f>
        <v>0</v>
      </c>
      <c r="R43" s="34">
        <f>'Debt Schedule'!R10</f>
        <v>0</v>
      </c>
      <c r="S43" s="34">
        <f>'Debt Schedule'!S10</f>
        <v>0</v>
      </c>
      <c r="T43" s="34">
        <f>'Debt Schedule'!T10</f>
        <v>0</v>
      </c>
      <c r="U43" s="34">
        <f>'Debt Schedule'!U10</f>
        <v>0</v>
      </c>
      <c r="V43" s="34">
        <f>'Debt Schedule'!V10</f>
        <v>0</v>
      </c>
      <c r="W43" s="34">
        <f>'Debt Schedule'!W10</f>
        <v>0</v>
      </c>
      <c r="X43" s="34">
        <f>SUM(D43:G43)</f>
        <v>0</v>
      </c>
      <c r="Y43" s="34">
        <f>SUM(H43:K43)</f>
        <v>0</v>
      </c>
      <c r="Z43" s="34">
        <f>SUM(L43:O43)</f>
        <v>0</v>
      </c>
      <c r="AA43" s="34">
        <f>SUM(P43:S43)</f>
        <v>0</v>
      </c>
      <c r="AB43" s="34">
        <f>SUM(T43:W43)</f>
        <v>0</v>
      </c>
    </row>
    <row r="44" spans="1:28" x14ac:dyDescent="0.3">
      <c r="A44" s="33" t="s">
        <v>233</v>
      </c>
      <c r="B44" s="33" t="s">
        <v>232</v>
      </c>
      <c r="C44" s="34">
        <f>'Debt Schedule'!C11</f>
        <v>0</v>
      </c>
      <c r="D44" s="34">
        <f>'Debt Schedule'!D11</f>
        <v>0</v>
      </c>
      <c r="E44" s="34">
        <f>'Debt Schedule'!E11</f>
        <v>0</v>
      </c>
      <c r="F44" s="34">
        <f>'Debt Schedule'!F11</f>
        <v>0</v>
      </c>
      <c r="G44" s="34">
        <f>'Debt Schedule'!G11</f>
        <v>0</v>
      </c>
      <c r="H44" s="34">
        <f>'Debt Schedule'!H11</f>
        <v>0</v>
      </c>
      <c r="I44" s="34">
        <f>'Debt Schedule'!I11</f>
        <v>0</v>
      </c>
      <c r="J44" s="34">
        <f>'Debt Schedule'!J11</f>
        <v>0</v>
      </c>
      <c r="K44" s="34">
        <f>'Debt Schedule'!K11</f>
        <v>0</v>
      </c>
      <c r="L44" s="34">
        <f>'Debt Schedule'!L11</f>
        <v>0</v>
      </c>
      <c r="M44" s="34">
        <f>'Debt Schedule'!M11</f>
        <v>0</v>
      </c>
      <c r="N44" s="34">
        <f>'Debt Schedule'!N11</f>
        <v>0</v>
      </c>
      <c r="O44" s="34">
        <f>'Debt Schedule'!O11</f>
        <v>0</v>
      </c>
      <c r="P44" s="34">
        <f>'Debt Schedule'!P11</f>
        <v>0</v>
      </c>
      <c r="Q44" s="34">
        <f>'Debt Schedule'!Q11</f>
        <v>0</v>
      </c>
      <c r="R44" s="34">
        <f>'Debt Schedule'!R11</f>
        <v>0</v>
      </c>
      <c r="S44" s="34">
        <f>'Debt Schedule'!S11</f>
        <v>0</v>
      </c>
      <c r="T44" s="34">
        <f>'Debt Schedule'!T11</f>
        <v>0</v>
      </c>
      <c r="U44" s="34">
        <f>'Debt Schedule'!U11</f>
        <v>0</v>
      </c>
      <c r="V44" s="34">
        <f>'Debt Schedule'!V11</f>
        <v>0</v>
      </c>
      <c r="W44" s="34">
        <f>'Debt Schedule'!W11</f>
        <v>0</v>
      </c>
      <c r="X44" s="34">
        <f>G44</f>
        <v>0</v>
      </c>
      <c r="Y44" s="34">
        <f>K44</f>
        <v>0</v>
      </c>
      <c r="Z44" s="34">
        <f>O44</f>
        <v>0</v>
      </c>
      <c r="AA44" s="34">
        <f>S44</f>
        <v>0</v>
      </c>
      <c r="AB44" s="34">
        <f>W44</f>
        <v>0</v>
      </c>
    </row>
    <row r="45" spans="1:28" x14ac:dyDescent="0.3">
      <c r="A45" s="33" t="s">
        <v>174</v>
      </c>
      <c r="B45" s="33" t="s">
        <v>232</v>
      </c>
      <c r="C45" s="34">
        <f>'Debt Schedule'!C18</f>
        <v>0</v>
      </c>
      <c r="D45" s="34">
        <f>'Debt Schedule'!D18</f>
        <v>0</v>
      </c>
      <c r="E45" s="34">
        <f>'Debt Schedule'!E18</f>
        <v>0</v>
      </c>
      <c r="F45" s="34">
        <f>'Debt Schedule'!F18</f>
        <v>0</v>
      </c>
      <c r="G45" s="34">
        <f>'Debt Schedule'!G18</f>
        <v>0</v>
      </c>
      <c r="H45" s="34">
        <f>'Debt Schedule'!H18</f>
        <v>0</v>
      </c>
      <c r="I45" s="34">
        <f>'Debt Schedule'!I18</f>
        <v>0</v>
      </c>
      <c r="J45" s="34">
        <f>'Debt Schedule'!J18</f>
        <v>0</v>
      </c>
      <c r="K45" s="34">
        <f>'Debt Schedule'!K18</f>
        <v>0</v>
      </c>
      <c r="L45" s="34">
        <f>'Debt Schedule'!L18</f>
        <v>0</v>
      </c>
      <c r="M45" s="34">
        <f>'Debt Schedule'!M18</f>
        <v>0</v>
      </c>
      <c r="N45" s="34">
        <f>'Debt Schedule'!N18</f>
        <v>0</v>
      </c>
      <c r="O45" s="34">
        <f>'Debt Schedule'!O18</f>
        <v>0</v>
      </c>
      <c r="P45" s="34">
        <f>'Debt Schedule'!P18</f>
        <v>0</v>
      </c>
      <c r="Q45" s="34">
        <f>'Debt Schedule'!Q18</f>
        <v>0</v>
      </c>
      <c r="R45" s="34">
        <f>'Debt Schedule'!R18</f>
        <v>0</v>
      </c>
      <c r="S45" s="34">
        <f>'Debt Schedule'!S18</f>
        <v>0</v>
      </c>
      <c r="T45" s="34">
        <f>'Debt Schedule'!T18</f>
        <v>0</v>
      </c>
      <c r="U45" s="34">
        <f>'Debt Schedule'!U18</f>
        <v>0</v>
      </c>
      <c r="V45" s="34">
        <f>'Debt Schedule'!V18</f>
        <v>0</v>
      </c>
      <c r="W45" s="34">
        <f>'Debt Schedule'!W18</f>
        <v>0</v>
      </c>
      <c r="X45" s="34">
        <f>G45</f>
        <v>0</v>
      </c>
      <c r="Y45" s="34">
        <f>K45</f>
        <v>0</v>
      </c>
      <c r="Z45" s="34">
        <f>O45</f>
        <v>0</v>
      </c>
      <c r="AA45" s="34">
        <f>S45</f>
        <v>0</v>
      </c>
      <c r="AB45" s="34">
        <f>W45</f>
        <v>0</v>
      </c>
    </row>
    <row r="46" spans="1:28" x14ac:dyDescent="0.3">
      <c r="A46" s="33" t="s">
        <v>177</v>
      </c>
      <c r="B46" s="33" t="s">
        <v>232</v>
      </c>
      <c r="C46" s="34">
        <f>'Debt Schedule'!C20</f>
        <v>0</v>
      </c>
      <c r="D46" s="34">
        <f>'Debt Schedule'!D20</f>
        <v>0</v>
      </c>
      <c r="E46" s="34">
        <f>'Debt Schedule'!E20</f>
        <v>0</v>
      </c>
      <c r="F46" s="34">
        <f>'Debt Schedule'!F20</f>
        <v>0</v>
      </c>
      <c r="G46" s="34">
        <f>'Debt Schedule'!G20</f>
        <v>0</v>
      </c>
      <c r="H46" s="34">
        <f>'Debt Schedule'!H20</f>
        <v>0</v>
      </c>
      <c r="I46" s="34">
        <f>'Debt Schedule'!I20</f>
        <v>0</v>
      </c>
      <c r="J46" s="34">
        <f>'Debt Schedule'!J20</f>
        <v>0</v>
      </c>
      <c r="K46" s="34">
        <f>'Debt Schedule'!K20</f>
        <v>0</v>
      </c>
      <c r="L46" s="34">
        <f>'Debt Schedule'!L20</f>
        <v>0</v>
      </c>
      <c r="M46" s="34">
        <f>'Debt Schedule'!M20</f>
        <v>0</v>
      </c>
      <c r="N46" s="34">
        <f>'Debt Schedule'!N20</f>
        <v>0</v>
      </c>
      <c r="O46" s="34">
        <f>'Debt Schedule'!O20</f>
        <v>0</v>
      </c>
      <c r="P46" s="34">
        <f>'Debt Schedule'!P20</f>
        <v>0</v>
      </c>
      <c r="Q46" s="34">
        <f>'Debt Schedule'!Q20</f>
        <v>0</v>
      </c>
      <c r="R46" s="34">
        <f>'Debt Schedule'!R20</f>
        <v>0</v>
      </c>
      <c r="S46" s="34">
        <f>'Debt Schedule'!S20</f>
        <v>0</v>
      </c>
      <c r="T46" s="34">
        <f>'Debt Schedule'!T20</f>
        <v>0</v>
      </c>
      <c r="U46" s="34">
        <f>'Debt Schedule'!U20</f>
        <v>0</v>
      </c>
      <c r="V46" s="34">
        <f>'Debt Schedule'!V20</f>
        <v>0</v>
      </c>
      <c r="W46" s="34">
        <f>'Debt Schedule'!W20</f>
        <v>0</v>
      </c>
      <c r="X46" s="34">
        <f>SUM(D46:G46)</f>
        <v>0</v>
      </c>
      <c r="Y46" s="34">
        <f>SUM(H46:K46)</f>
        <v>0</v>
      </c>
      <c r="Z46" s="34">
        <f>SUM(L46:O46)</f>
        <v>0</v>
      </c>
      <c r="AA46" s="34">
        <f>SUM(P46:S46)</f>
        <v>0</v>
      </c>
      <c r="AB46" s="34">
        <f>SUM(T46:W46)</f>
        <v>0</v>
      </c>
    </row>
    <row r="47" spans="1:28" x14ac:dyDescent="0.3">
      <c r="A47" s="33" t="s">
        <v>178</v>
      </c>
      <c r="B47" s="33" t="s">
        <v>232</v>
      </c>
      <c r="C47" s="34">
        <f>'Debt Schedule'!C21</f>
        <v>0</v>
      </c>
      <c r="D47" s="34">
        <f>'Debt Schedule'!D21</f>
        <v>0</v>
      </c>
      <c r="E47" s="34">
        <f>'Debt Schedule'!E21</f>
        <v>0</v>
      </c>
      <c r="F47" s="34">
        <f>'Debt Schedule'!F21</f>
        <v>0</v>
      </c>
      <c r="G47" s="34">
        <f>'Debt Schedule'!G21</f>
        <v>0</v>
      </c>
      <c r="H47" s="34">
        <f>'Debt Schedule'!H21</f>
        <v>0</v>
      </c>
      <c r="I47" s="34">
        <f>'Debt Schedule'!I21</f>
        <v>0</v>
      </c>
      <c r="J47" s="34">
        <f>'Debt Schedule'!J21</f>
        <v>0</v>
      </c>
      <c r="K47" s="34">
        <f>'Debt Schedule'!K21</f>
        <v>0</v>
      </c>
      <c r="L47" s="34">
        <f>'Debt Schedule'!L21</f>
        <v>0</v>
      </c>
      <c r="M47" s="34">
        <f>'Debt Schedule'!M21</f>
        <v>0</v>
      </c>
      <c r="N47" s="34">
        <f>'Debt Schedule'!N21</f>
        <v>0</v>
      </c>
      <c r="O47" s="34">
        <f>'Debt Schedule'!O21</f>
        <v>0</v>
      </c>
      <c r="P47" s="34">
        <f>'Debt Schedule'!P21</f>
        <v>0</v>
      </c>
      <c r="Q47" s="34">
        <f>'Debt Schedule'!Q21</f>
        <v>0</v>
      </c>
      <c r="R47" s="34">
        <f>'Debt Schedule'!R21</f>
        <v>0</v>
      </c>
      <c r="S47" s="34">
        <f>'Debt Schedule'!S21</f>
        <v>0</v>
      </c>
      <c r="T47" s="34">
        <f>'Debt Schedule'!T21</f>
        <v>0</v>
      </c>
      <c r="U47" s="34">
        <f>'Debt Schedule'!U21</f>
        <v>0</v>
      </c>
      <c r="V47" s="34">
        <f>'Debt Schedule'!V21</f>
        <v>0</v>
      </c>
      <c r="W47" s="34">
        <f>'Debt Schedule'!W21</f>
        <v>0</v>
      </c>
      <c r="X47" s="34">
        <f>SUM(D47:G47)</f>
        <v>0</v>
      </c>
      <c r="Y47" s="34">
        <f>SUM(H47:K47)</f>
        <v>0</v>
      </c>
      <c r="Z47" s="34">
        <f>SUM(L47:O47)</f>
        <v>0</v>
      </c>
      <c r="AA47" s="34">
        <f>SUM(P47:S47)</f>
        <v>0</v>
      </c>
      <c r="AB47" s="34">
        <f>SUM(T47:W47)</f>
        <v>0</v>
      </c>
    </row>
    <row r="48" spans="1:28" x14ac:dyDescent="0.3">
      <c r="A48" s="33" t="s">
        <v>179</v>
      </c>
      <c r="B48" s="33" t="s">
        <v>232</v>
      </c>
      <c r="C48" s="34">
        <f>'Debt Schedule'!C22</f>
        <v>0</v>
      </c>
      <c r="D48" s="34">
        <f>'Debt Schedule'!D22</f>
        <v>0</v>
      </c>
      <c r="E48" s="34">
        <f>'Debt Schedule'!E22</f>
        <v>0</v>
      </c>
      <c r="F48" s="34">
        <f>'Debt Schedule'!F22</f>
        <v>0</v>
      </c>
      <c r="G48" s="34">
        <f>'Debt Schedule'!G22</f>
        <v>0</v>
      </c>
      <c r="H48" s="34">
        <f>'Debt Schedule'!H22</f>
        <v>0</v>
      </c>
      <c r="I48" s="34">
        <f>'Debt Schedule'!I22</f>
        <v>0</v>
      </c>
      <c r="J48" s="34">
        <f>'Debt Schedule'!J22</f>
        <v>0</v>
      </c>
      <c r="K48" s="34">
        <f>'Debt Schedule'!K22</f>
        <v>0</v>
      </c>
      <c r="L48" s="34">
        <f>'Debt Schedule'!L22</f>
        <v>0</v>
      </c>
      <c r="M48" s="34">
        <f>'Debt Schedule'!M22</f>
        <v>0</v>
      </c>
      <c r="N48" s="34">
        <f>'Debt Schedule'!N22</f>
        <v>0</v>
      </c>
      <c r="O48" s="34">
        <f>'Debt Schedule'!O22</f>
        <v>0</v>
      </c>
      <c r="P48" s="34">
        <f>'Debt Schedule'!P22</f>
        <v>0</v>
      </c>
      <c r="Q48" s="34">
        <f>'Debt Schedule'!Q22</f>
        <v>0</v>
      </c>
      <c r="R48" s="34">
        <f>'Debt Schedule'!R22</f>
        <v>0</v>
      </c>
      <c r="S48" s="34">
        <f>'Debt Schedule'!S22</f>
        <v>0</v>
      </c>
      <c r="T48" s="34">
        <f>'Debt Schedule'!T22</f>
        <v>0</v>
      </c>
      <c r="U48" s="34">
        <f>'Debt Schedule'!U22</f>
        <v>0</v>
      </c>
      <c r="V48" s="34">
        <f>'Debt Schedule'!V22</f>
        <v>0</v>
      </c>
      <c r="W48" s="34">
        <f>'Debt Schedule'!W22</f>
        <v>0</v>
      </c>
      <c r="X48" s="34">
        <f>SUM(D48:G48)</f>
        <v>0</v>
      </c>
      <c r="Y48" s="34">
        <f>SUM(H48:K48)</f>
        <v>0</v>
      </c>
      <c r="Z48" s="34">
        <f>SUM(L48:O48)</f>
        <v>0</v>
      </c>
      <c r="AA48" s="34">
        <f>SUM(P48:S48)</f>
        <v>0</v>
      </c>
      <c r="AB48" s="34">
        <f>SUM(T48:W48)</f>
        <v>0</v>
      </c>
    </row>
    <row r="49" spans="1:28" x14ac:dyDescent="0.3">
      <c r="A49" s="33" t="s">
        <v>180</v>
      </c>
      <c r="B49" s="33" t="s">
        <v>232</v>
      </c>
      <c r="C49" s="34">
        <f>'Debt Schedule'!C23</f>
        <v>0</v>
      </c>
      <c r="D49" s="34">
        <f>'Debt Schedule'!D23</f>
        <v>0</v>
      </c>
      <c r="E49" s="34">
        <f>'Debt Schedule'!E23</f>
        <v>0</v>
      </c>
      <c r="F49" s="34">
        <f>'Debt Schedule'!F23</f>
        <v>0</v>
      </c>
      <c r="G49" s="34">
        <f>'Debt Schedule'!G23</f>
        <v>0</v>
      </c>
      <c r="H49" s="34">
        <f>'Debt Schedule'!H23</f>
        <v>0</v>
      </c>
      <c r="I49" s="34">
        <f>'Debt Schedule'!I23</f>
        <v>0</v>
      </c>
      <c r="J49" s="34">
        <f>'Debt Schedule'!J23</f>
        <v>0</v>
      </c>
      <c r="K49" s="34">
        <f>'Debt Schedule'!K23</f>
        <v>0</v>
      </c>
      <c r="L49" s="34">
        <f>'Debt Schedule'!L23</f>
        <v>0</v>
      </c>
      <c r="M49" s="34">
        <f>'Debt Schedule'!M23</f>
        <v>0</v>
      </c>
      <c r="N49" s="34">
        <f>'Debt Schedule'!N23</f>
        <v>0</v>
      </c>
      <c r="O49" s="34">
        <f>'Debt Schedule'!O23</f>
        <v>0</v>
      </c>
      <c r="P49" s="34">
        <f>'Debt Schedule'!P23</f>
        <v>0</v>
      </c>
      <c r="Q49" s="34">
        <f>'Debt Schedule'!Q23</f>
        <v>0</v>
      </c>
      <c r="R49" s="34">
        <f>'Debt Schedule'!R23</f>
        <v>0</v>
      </c>
      <c r="S49" s="34">
        <f>'Debt Schedule'!S23</f>
        <v>0</v>
      </c>
      <c r="T49" s="34">
        <f>'Debt Schedule'!T23</f>
        <v>0</v>
      </c>
      <c r="U49" s="34">
        <f>'Debt Schedule'!U23</f>
        <v>0</v>
      </c>
      <c r="V49" s="34">
        <f>'Debt Schedule'!V23</f>
        <v>0</v>
      </c>
      <c r="W49" s="34">
        <f>'Debt Schedule'!W23</f>
        <v>0</v>
      </c>
      <c r="X49" s="34">
        <f>G49</f>
        <v>0</v>
      </c>
      <c r="Y49" s="34">
        <f>K49</f>
        <v>0</v>
      </c>
      <c r="Z49" s="34">
        <f>O49</f>
        <v>0</v>
      </c>
      <c r="AA49" s="34">
        <f>S49</f>
        <v>0</v>
      </c>
      <c r="AB49" s="34">
        <f>W49</f>
        <v>0</v>
      </c>
    </row>
    <row r="50" spans="1:28" x14ac:dyDescent="0.3">
      <c r="A50" s="33" t="s">
        <v>234</v>
      </c>
      <c r="B50" s="33" t="s">
        <v>232</v>
      </c>
      <c r="C50" s="34">
        <f>'Debt Schedule'!C26</f>
        <v>0</v>
      </c>
      <c r="D50" s="34">
        <f>'Debt Schedule'!D26</f>
        <v>0</v>
      </c>
      <c r="E50" s="34">
        <f>'Debt Schedule'!E26</f>
        <v>0</v>
      </c>
      <c r="F50" s="34">
        <f>'Debt Schedule'!F26</f>
        <v>0</v>
      </c>
      <c r="G50" s="34">
        <f>'Debt Schedule'!G26</f>
        <v>0</v>
      </c>
      <c r="H50" s="34">
        <f>'Debt Schedule'!H26</f>
        <v>0</v>
      </c>
      <c r="I50" s="34">
        <f>'Debt Schedule'!I26</f>
        <v>0</v>
      </c>
      <c r="J50" s="34">
        <f>'Debt Schedule'!J26</f>
        <v>0</v>
      </c>
      <c r="K50" s="34">
        <f>'Debt Schedule'!K26</f>
        <v>0</v>
      </c>
      <c r="L50" s="34">
        <f>'Debt Schedule'!L26</f>
        <v>0</v>
      </c>
      <c r="M50" s="34">
        <f>'Debt Schedule'!M26</f>
        <v>0</v>
      </c>
      <c r="N50" s="34">
        <f>'Debt Schedule'!N26</f>
        <v>0</v>
      </c>
      <c r="O50" s="34">
        <f>'Debt Schedule'!O26</f>
        <v>0</v>
      </c>
      <c r="P50" s="34">
        <f>'Debt Schedule'!P26</f>
        <v>0</v>
      </c>
      <c r="Q50" s="34">
        <f>'Debt Schedule'!Q26</f>
        <v>0</v>
      </c>
      <c r="R50" s="34">
        <f>'Debt Schedule'!R26</f>
        <v>0</v>
      </c>
      <c r="S50" s="34">
        <f>'Debt Schedule'!S26</f>
        <v>0</v>
      </c>
      <c r="T50" s="34">
        <f>'Debt Schedule'!T26</f>
        <v>0</v>
      </c>
      <c r="U50" s="34">
        <f>'Debt Schedule'!U26</f>
        <v>0</v>
      </c>
      <c r="V50" s="34">
        <f>'Debt Schedule'!V26</f>
        <v>0</v>
      </c>
      <c r="W50" s="34">
        <f>'Debt Schedule'!W26</f>
        <v>0</v>
      </c>
      <c r="X50" s="34">
        <f>G50</f>
        <v>0</v>
      </c>
      <c r="Y50" s="34">
        <f>K50</f>
        <v>0</v>
      </c>
      <c r="Z50" s="34">
        <f>O50</f>
        <v>0</v>
      </c>
      <c r="AA50" s="34">
        <f>S50</f>
        <v>0</v>
      </c>
      <c r="AB50" s="34">
        <f>W50</f>
        <v>0</v>
      </c>
    </row>
    <row r="51" spans="1:28" x14ac:dyDescent="0.3">
      <c r="A51" s="33" t="s">
        <v>182</v>
      </c>
      <c r="B51" s="33" t="s">
        <v>232</v>
      </c>
      <c r="C51" s="34">
        <f>'Debt Schedule'!C25</f>
        <v>0</v>
      </c>
      <c r="D51" s="34">
        <f>'Debt Schedule'!D25</f>
        <v>0</v>
      </c>
      <c r="E51" s="34">
        <f>'Debt Schedule'!E25</f>
        <v>0</v>
      </c>
      <c r="F51" s="34">
        <f>'Debt Schedule'!F25</f>
        <v>0</v>
      </c>
      <c r="G51" s="34">
        <f>'Debt Schedule'!G25</f>
        <v>0</v>
      </c>
      <c r="H51" s="34">
        <f>'Debt Schedule'!H25</f>
        <v>0</v>
      </c>
      <c r="I51" s="34">
        <f>'Debt Schedule'!I25</f>
        <v>0</v>
      </c>
      <c r="J51" s="34">
        <f>'Debt Schedule'!J25</f>
        <v>0</v>
      </c>
      <c r="K51" s="34">
        <f>'Debt Schedule'!K25</f>
        <v>0</v>
      </c>
      <c r="L51" s="34">
        <f>'Debt Schedule'!L25</f>
        <v>0</v>
      </c>
      <c r="M51" s="34">
        <f>'Debt Schedule'!M25</f>
        <v>0</v>
      </c>
      <c r="N51" s="34">
        <f>'Debt Schedule'!N25</f>
        <v>0</v>
      </c>
      <c r="O51" s="34">
        <f>'Debt Schedule'!O25</f>
        <v>0</v>
      </c>
      <c r="P51" s="34">
        <f>'Debt Schedule'!P25</f>
        <v>0</v>
      </c>
      <c r="Q51" s="34">
        <f>'Debt Schedule'!Q25</f>
        <v>0</v>
      </c>
      <c r="R51" s="34">
        <f>'Debt Schedule'!R25</f>
        <v>0</v>
      </c>
      <c r="S51" s="34">
        <f>'Debt Schedule'!S25</f>
        <v>0</v>
      </c>
      <c r="T51" s="34">
        <f>'Debt Schedule'!T25</f>
        <v>0</v>
      </c>
      <c r="U51" s="34">
        <f>'Debt Schedule'!U25</f>
        <v>0</v>
      </c>
      <c r="V51" s="34">
        <f>'Debt Schedule'!V25</f>
        <v>0</v>
      </c>
      <c r="W51" s="34">
        <f>'Debt Schedule'!W25</f>
        <v>0</v>
      </c>
      <c r="X51" s="34">
        <f>SUM(D51:G51)</f>
        <v>0</v>
      </c>
      <c r="Y51" s="34">
        <f>SUM(H51:K51)</f>
        <v>0</v>
      </c>
      <c r="Z51" s="34">
        <f>SUM(L51:O51)</f>
        <v>0</v>
      </c>
      <c r="AA51" s="34">
        <f>SUM(P51:S51)</f>
        <v>0</v>
      </c>
      <c r="AB51" s="34">
        <f>SUM(T51:W51)</f>
        <v>0</v>
      </c>
    </row>
    <row r="52" spans="1:28" x14ac:dyDescent="0.3">
      <c r="A52" s="7" t="s">
        <v>72</v>
      </c>
      <c r="B52" s="7" t="s">
        <v>235</v>
      </c>
      <c r="C52" s="11">
        <f>'CapEx Depreciation'!C8</f>
        <v>0</v>
      </c>
      <c r="D52" s="11">
        <f>'CapEx Depreciation'!D8</f>
        <v>0</v>
      </c>
      <c r="E52" s="11">
        <f>'CapEx Depreciation'!E8</f>
        <v>0</v>
      </c>
      <c r="F52" s="11">
        <f>'CapEx Depreciation'!F8</f>
        <v>0</v>
      </c>
      <c r="G52" s="11">
        <f>'CapEx Depreciation'!G8</f>
        <v>0</v>
      </c>
      <c r="H52" s="11">
        <f>'CapEx Depreciation'!H8</f>
        <v>0</v>
      </c>
      <c r="I52" s="11">
        <f>'CapEx Depreciation'!I8</f>
        <v>0</v>
      </c>
      <c r="J52" s="11">
        <f>'CapEx Depreciation'!J8</f>
        <v>0</v>
      </c>
      <c r="K52" s="11">
        <f>'CapEx Depreciation'!K8</f>
        <v>0</v>
      </c>
      <c r="L52" s="11">
        <f>'CapEx Depreciation'!L8</f>
        <v>0</v>
      </c>
      <c r="M52" s="11">
        <f>'CapEx Depreciation'!M8</f>
        <v>0</v>
      </c>
      <c r="N52" s="11">
        <f>'CapEx Depreciation'!N8</f>
        <v>0</v>
      </c>
      <c r="O52" s="11">
        <f>'CapEx Depreciation'!O8</f>
        <v>0</v>
      </c>
      <c r="P52" s="11">
        <f>'CapEx Depreciation'!P8</f>
        <v>0</v>
      </c>
      <c r="Q52" s="11">
        <f>'CapEx Depreciation'!Q8</f>
        <v>0</v>
      </c>
      <c r="R52" s="11">
        <f>'CapEx Depreciation'!R8</f>
        <v>0</v>
      </c>
      <c r="S52" s="11">
        <f>'CapEx Depreciation'!S8</f>
        <v>0</v>
      </c>
      <c r="T52" s="11">
        <f>'CapEx Depreciation'!T8</f>
        <v>0</v>
      </c>
      <c r="U52" s="11">
        <f>'CapEx Depreciation'!U8</f>
        <v>0</v>
      </c>
      <c r="V52" s="11">
        <f>'CapEx Depreciation'!V8</f>
        <v>0</v>
      </c>
      <c r="W52" s="11">
        <f>'CapEx Depreciation'!W8</f>
        <v>0</v>
      </c>
      <c r="X52" s="11">
        <f>SUM(D52:G52)</f>
        <v>0</v>
      </c>
      <c r="Y52" s="11">
        <f>SUM(H52:K52)</f>
        <v>0</v>
      </c>
      <c r="Z52" s="11">
        <f>SUM(L52:O52)</f>
        <v>0</v>
      </c>
      <c r="AA52" s="11">
        <f>SUM(P52:S52)</f>
        <v>0</v>
      </c>
      <c r="AB52" s="11">
        <f>SUM(T52:W52)</f>
        <v>0</v>
      </c>
    </row>
    <row r="53" spans="1:28" x14ac:dyDescent="0.3">
      <c r="A53" s="7" t="s">
        <v>236</v>
      </c>
      <c r="B53" s="7" t="s">
        <v>235</v>
      </c>
      <c r="C53" s="11">
        <f>'CapEx Depreciation'!C12</f>
        <v>0</v>
      </c>
      <c r="D53" s="11">
        <f>'CapEx Depreciation'!D12</f>
        <v>0</v>
      </c>
      <c r="E53" s="11">
        <f>'CapEx Depreciation'!E12</f>
        <v>0</v>
      </c>
      <c r="F53" s="11">
        <f>'CapEx Depreciation'!F12</f>
        <v>0</v>
      </c>
      <c r="G53" s="11">
        <f>'CapEx Depreciation'!G12</f>
        <v>0</v>
      </c>
      <c r="H53" s="11">
        <f>'CapEx Depreciation'!H12</f>
        <v>0</v>
      </c>
      <c r="I53" s="11">
        <f>'CapEx Depreciation'!I12</f>
        <v>0</v>
      </c>
      <c r="J53" s="11">
        <f>'CapEx Depreciation'!J12</f>
        <v>0</v>
      </c>
      <c r="K53" s="11">
        <f>'CapEx Depreciation'!K12</f>
        <v>0</v>
      </c>
      <c r="L53" s="11">
        <f>'CapEx Depreciation'!L12</f>
        <v>0</v>
      </c>
      <c r="M53" s="11">
        <f>'CapEx Depreciation'!M12</f>
        <v>0</v>
      </c>
      <c r="N53" s="11">
        <f>'CapEx Depreciation'!N12</f>
        <v>0</v>
      </c>
      <c r="O53" s="11">
        <f>'CapEx Depreciation'!O12</f>
        <v>0</v>
      </c>
      <c r="P53" s="11">
        <f>'CapEx Depreciation'!P12</f>
        <v>0</v>
      </c>
      <c r="Q53" s="11">
        <f>'CapEx Depreciation'!Q12</f>
        <v>0</v>
      </c>
      <c r="R53" s="11">
        <f>'CapEx Depreciation'!R12</f>
        <v>0</v>
      </c>
      <c r="S53" s="11">
        <f>'CapEx Depreciation'!S12</f>
        <v>0</v>
      </c>
      <c r="T53" s="11">
        <f>'CapEx Depreciation'!T12</f>
        <v>0</v>
      </c>
      <c r="U53" s="11">
        <f>'CapEx Depreciation'!U12</f>
        <v>0</v>
      </c>
      <c r="V53" s="11">
        <f>'CapEx Depreciation'!V12</f>
        <v>0</v>
      </c>
      <c r="W53" s="11">
        <f>'CapEx Depreciation'!W12</f>
        <v>0</v>
      </c>
      <c r="X53" s="11">
        <f>G53</f>
        <v>0</v>
      </c>
      <c r="Y53" s="11">
        <f>K53</f>
        <v>0</v>
      </c>
      <c r="Z53" s="11">
        <f>O53</f>
        <v>0</v>
      </c>
      <c r="AA53" s="11">
        <f>S53</f>
        <v>0</v>
      </c>
      <c r="AB53" s="11">
        <f>W53</f>
        <v>0</v>
      </c>
    </row>
    <row r="54" spans="1:28" x14ac:dyDescent="0.3">
      <c r="A54" s="7" t="s">
        <v>53</v>
      </c>
      <c r="B54" s="7" t="s">
        <v>235</v>
      </c>
      <c r="C54" s="11">
        <f>'CapEx Depreciation'!C14</f>
        <v>0</v>
      </c>
      <c r="D54" s="11">
        <f>'CapEx Depreciation'!D14</f>
        <v>0</v>
      </c>
      <c r="E54" s="11">
        <f>'CapEx Depreciation'!E14</f>
        <v>0</v>
      </c>
      <c r="F54" s="11">
        <f>'CapEx Depreciation'!F14</f>
        <v>0</v>
      </c>
      <c r="G54" s="11">
        <f>'CapEx Depreciation'!G14</f>
        <v>0</v>
      </c>
      <c r="H54" s="11">
        <f>'CapEx Depreciation'!H14</f>
        <v>0</v>
      </c>
      <c r="I54" s="11">
        <f>'CapEx Depreciation'!I14</f>
        <v>0</v>
      </c>
      <c r="J54" s="11">
        <f>'CapEx Depreciation'!J14</f>
        <v>0</v>
      </c>
      <c r="K54" s="11">
        <f>'CapEx Depreciation'!K14</f>
        <v>0</v>
      </c>
      <c r="L54" s="11">
        <f>'CapEx Depreciation'!L14</f>
        <v>0</v>
      </c>
      <c r="M54" s="11">
        <f>'CapEx Depreciation'!M14</f>
        <v>0</v>
      </c>
      <c r="N54" s="11">
        <f>'CapEx Depreciation'!N14</f>
        <v>0</v>
      </c>
      <c r="O54" s="11">
        <f>'CapEx Depreciation'!O14</f>
        <v>0</v>
      </c>
      <c r="P54" s="11">
        <f>'CapEx Depreciation'!P14</f>
        <v>0</v>
      </c>
      <c r="Q54" s="11">
        <f>'CapEx Depreciation'!Q14</f>
        <v>0</v>
      </c>
      <c r="R54" s="11">
        <f>'CapEx Depreciation'!R14</f>
        <v>0</v>
      </c>
      <c r="S54" s="11">
        <f>'CapEx Depreciation'!S14</f>
        <v>0</v>
      </c>
      <c r="T54" s="11">
        <f>'CapEx Depreciation'!T14</f>
        <v>0</v>
      </c>
      <c r="U54" s="11">
        <f>'CapEx Depreciation'!U14</f>
        <v>0</v>
      </c>
      <c r="V54" s="11">
        <f>'CapEx Depreciation'!V14</f>
        <v>0</v>
      </c>
      <c r="W54" s="11">
        <f>'CapEx Depreciation'!W14</f>
        <v>0</v>
      </c>
      <c r="X54" s="11">
        <f>G54</f>
        <v>0</v>
      </c>
      <c r="Y54" s="11">
        <f>K54</f>
        <v>0</v>
      </c>
      <c r="Z54" s="11">
        <f>O54</f>
        <v>0</v>
      </c>
      <c r="AA54" s="11">
        <f>S54</f>
        <v>0</v>
      </c>
      <c r="AB54" s="11">
        <f>W54</f>
        <v>0</v>
      </c>
    </row>
  </sheetData>
  <mergeCells count="3">
    <mergeCell ref="A24:AB24"/>
    <mergeCell ref="A6:AB6"/>
    <mergeCell ref="A35:AB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4E79"/>
  </sheetPr>
  <dimension ref="A1:AB61"/>
  <sheetViews>
    <sheetView showGridLines="0"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0</v>
      </c>
    </row>
    <row r="2" spans="1:28" x14ac:dyDescent="0.3">
      <c r="A2" s="2" t="s">
        <v>1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46163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t="s">
        <v>29</v>
      </c>
      <c r="C6">
        <v>0</v>
      </c>
      <c r="D6">
        <v>92</v>
      </c>
      <c r="E6">
        <v>92</v>
      </c>
      <c r="F6">
        <v>90</v>
      </c>
      <c r="G6">
        <v>91</v>
      </c>
      <c r="H6">
        <v>92</v>
      </c>
      <c r="I6">
        <v>92</v>
      </c>
      <c r="J6">
        <v>91</v>
      </c>
      <c r="K6">
        <v>91</v>
      </c>
      <c r="L6">
        <v>92</v>
      </c>
      <c r="M6">
        <v>92</v>
      </c>
      <c r="N6">
        <v>90</v>
      </c>
      <c r="O6">
        <v>91</v>
      </c>
      <c r="P6">
        <v>92</v>
      </c>
      <c r="Q6">
        <v>92</v>
      </c>
      <c r="R6">
        <v>90</v>
      </c>
      <c r="S6">
        <v>91</v>
      </c>
      <c r="T6">
        <v>92</v>
      </c>
      <c r="U6">
        <v>92</v>
      </c>
      <c r="V6">
        <v>90</v>
      </c>
      <c r="W6">
        <v>91</v>
      </c>
    </row>
    <row r="7" spans="1:28" x14ac:dyDescent="0.3">
      <c r="A7" s="51" t="s">
        <v>30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 spans="1:28" x14ac:dyDescent="0.3">
      <c r="A8" s="18" t="s">
        <v>31</v>
      </c>
      <c r="B8" s="18" t="s">
        <v>32</v>
      </c>
      <c r="C8" s="19">
        <f>'Model Inputs'!C11</f>
        <v>22113000</v>
      </c>
      <c r="D8" s="19">
        <f>'Model Inputs'!D11</f>
        <v>4860000</v>
      </c>
      <c r="E8" s="19">
        <f>'Model Inputs'!E11</f>
        <v>4928640</v>
      </c>
      <c r="F8" s="19">
        <f>'Model Inputs'!F11</f>
        <v>4997760</v>
      </c>
      <c r="G8" s="19">
        <f>'Model Inputs'!G11</f>
        <v>5067360</v>
      </c>
      <c r="H8" s="19">
        <f>'Model Inputs'!H11</f>
        <v>5137440</v>
      </c>
      <c r="I8" s="19">
        <f>'Model Inputs'!I11</f>
        <v>5208000</v>
      </c>
      <c r="J8" s="19">
        <f>'Model Inputs'!J11</f>
        <v>5279040</v>
      </c>
      <c r="K8" s="19">
        <f>'Model Inputs'!K11</f>
        <v>5350560</v>
      </c>
      <c r="L8" s="19">
        <f>'Model Inputs'!L11</f>
        <v>5422560</v>
      </c>
      <c r="M8" s="19">
        <f>'Model Inputs'!M11</f>
        <v>5495040</v>
      </c>
      <c r="N8" s="19">
        <f>'Model Inputs'!N11</f>
        <v>5568000</v>
      </c>
      <c r="O8" s="19">
        <f>'Model Inputs'!O11</f>
        <v>5620382.0971614728</v>
      </c>
      <c r="P8" s="19">
        <f>'Model Inputs'!P11</f>
        <v>5673008.1823525913</v>
      </c>
      <c r="Q8" s="19">
        <f>'Model Inputs'!Q11</f>
        <v>5725864.3330133278</v>
      </c>
      <c r="R8" s="19">
        <f>'Model Inputs'!R11</f>
        <v>5778964.5246103676</v>
      </c>
      <c r="S8" s="19">
        <f>'Model Inputs'!S11</f>
        <v>5832294.7287703687</v>
      </c>
      <c r="T8" s="19">
        <f>'Model Inputs'!T11</f>
        <v>5885869.0267733289</v>
      </c>
      <c r="U8" s="19">
        <f>'Model Inputs'!U11</f>
        <v>5939673.2844325928</v>
      </c>
      <c r="V8" s="19">
        <f>'Model Inputs'!V11</f>
        <v>5993721.6888414714</v>
      </c>
      <c r="W8" s="19">
        <f>'Model Inputs'!W11</f>
        <v>6048000</v>
      </c>
      <c r="X8" s="19">
        <f t="shared" ref="X8:X20" si="0">SUM(D8:G8)</f>
        <v>19853760</v>
      </c>
      <c r="Y8" s="19">
        <f t="shared" ref="Y8:Y20" si="1">SUM(H8:K8)</f>
        <v>20975040</v>
      </c>
      <c r="Z8" s="19">
        <f t="shared" ref="Z8:Z20" si="2">SUM(L8:O8)</f>
        <v>22105982.097161472</v>
      </c>
      <c r="AA8" s="19">
        <f t="shared" ref="AA8:AA20" si="3">SUM(P8:S8)</f>
        <v>23010131.768746655</v>
      </c>
      <c r="AB8" s="19">
        <f t="shared" ref="AB8:AB20" si="4">SUM(T8:W8)</f>
        <v>23867264.000047393</v>
      </c>
    </row>
    <row r="9" spans="1:28" x14ac:dyDescent="0.3">
      <c r="A9" s="7" t="s">
        <v>33</v>
      </c>
      <c r="B9" s="7" t="s">
        <v>32</v>
      </c>
      <c r="C9" s="11">
        <f>C8*'Model Inputs'!C12</f>
        <v>17550491.048999999</v>
      </c>
      <c r="D9" s="11">
        <f>D8*'Model Inputs'!D12</f>
        <v>3402000</v>
      </c>
      <c r="E9" s="11">
        <f>E8*'Model Inputs'!E12</f>
        <v>3425404.8000000003</v>
      </c>
      <c r="F9" s="11">
        <f>F8*'Model Inputs'!F12</f>
        <v>3448454.4</v>
      </c>
      <c r="G9" s="11">
        <f>G8*'Model Inputs'!G12</f>
        <v>3471141.5999999996</v>
      </c>
      <c r="H9" s="11">
        <f>H8*'Model Inputs'!H12</f>
        <v>3493459.1999999997</v>
      </c>
      <c r="I9" s="11">
        <f>I8*'Model Inputs'!I12</f>
        <v>3515400</v>
      </c>
      <c r="J9" s="11">
        <f>J8*'Model Inputs'!J12</f>
        <v>3536956.8</v>
      </c>
      <c r="K9" s="11">
        <f>K8*'Model Inputs'!K12</f>
        <v>3558122.4000000004</v>
      </c>
      <c r="L9" s="11">
        <f>L8*'Model Inputs'!L12</f>
        <v>3578889.5999999996</v>
      </c>
      <c r="M9" s="11">
        <f>M8*'Model Inputs'!M12</f>
        <v>3599251.2</v>
      </c>
      <c r="N9" s="11">
        <f>N8*'Model Inputs'!N12</f>
        <v>3619200</v>
      </c>
      <c r="O9" s="11">
        <f>O8*'Model Inputs'!O12</f>
        <v>3622024.0181707265</v>
      </c>
      <c r="P9" s="11">
        <f>P8*'Model Inputs'!P12</f>
        <v>3624421.894280822</v>
      </c>
      <c r="Q9" s="11">
        <f>Q8*'Model Inputs'!Q12</f>
        <v>3626380.7442417745</v>
      </c>
      <c r="R9" s="11">
        <f>R8*'Model Inputs'!R12</f>
        <v>3627905.5071165087</v>
      </c>
      <c r="S9" s="11">
        <f>S8*'Model Inputs'!S12</f>
        <v>3628983.3867904516</v>
      </c>
      <c r="T9" s="11">
        <f>T8*'Model Inputs'!T12</f>
        <v>3629619.2331768861</v>
      </c>
      <c r="U9" s="11">
        <f>U8*'Model Inputs'!U12</f>
        <v>3629800.3404865847</v>
      </c>
      <c r="V9" s="11">
        <f>V8*'Model Inputs'!V12</f>
        <v>3629531.4671317805</v>
      </c>
      <c r="W9" s="11">
        <f>W8*'Model Inputs'!W12</f>
        <v>3628800</v>
      </c>
      <c r="X9" s="11">
        <f t="shared" si="0"/>
        <v>13747000.800000001</v>
      </c>
      <c r="Y9" s="11">
        <f t="shared" si="1"/>
        <v>14103938.4</v>
      </c>
      <c r="Z9" s="11">
        <f t="shared" si="2"/>
        <v>14419364.818170726</v>
      </c>
      <c r="AA9" s="11">
        <f t="shared" si="3"/>
        <v>14507691.532429557</v>
      </c>
      <c r="AB9" s="11">
        <f t="shared" si="4"/>
        <v>14517751.040795252</v>
      </c>
    </row>
    <row r="10" spans="1:28" x14ac:dyDescent="0.3">
      <c r="A10" s="18" t="s">
        <v>34</v>
      </c>
      <c r="B10" s="18" t="s">
        <v>32</v>
      </c>
      <c r="C10" s="19">
        <f t="shared" ref="C10:W10" si="5">C8-C9</f>
        <v>4562508.9510000013</v>
      </c>
      <c r="D10" s="19">
        <f t="shared" si="5"/>
        <v>1458000</v>
      </c>
      <c r="E10" s="19">
        <f t="shared" si="5"/>
        <v>1503235.1999999997</v>
      </c>
      <c r="F10" s="19">
        <f t="shared" si="5"/>
        <v>1549305.6</v>
      </c>
      <c r="G10" s="19">
        <f t="shared" si="5"/>
        <v>1596218.4000000004</v>
      </c>
      <c r="H10" s="19">
        <f t="shared" si="5"/>
        <v>1643980.8000000003</v>
      </c>
      <c r="I10" s="19">
        <f t="shared" si="5"/>
        <v>1692600</v>
      </c>
      <c r="J10" s="19">
        <f t="shared" si="5"/>
        <v>1742083.2000000002</v>
      </c>
      <c r="K10" s="19">
        <f t="shared" si="5"/>
        <v>1792437.5999999996</v>
      </c>
      <c r="L10" s="19">
        <f t="shared" si="5"/>
        <v>1843670.4000000004</v>
      </c>
      <c r="M10" s="19">
        <f t="shared" si="5"/>
        <v>1895788.7999999998</v>
      </c>
      <c r="N10" s="19">
        <f t="shared" si="5"/>
        <v>1948800</v>
      </c>
      <c r="O10" s="19">
        <f t="shared" si="5"/>
        <v>1998358.0789907463</v>
      </c>
      <c r="P10" s="19">
        <f t="shared" si="5"/>
        <v>2048586.2880717693</v>
      </c>
      <c r="Q10" s="19">
        <f t="shared" si="5"/>
        <v>2099483.5887715532</v>
      </c>
      <c r="R10" s="19">
        <f t="shared" si="5"/>
        <v>2151059.0174938589</v>
      </c>
      <c r="S10" s="19">
        <f t="shared" si="5"/>
        <v>2203311.3419799171</v>
      </c>
      <c r="T10" s="19">
        <f t="shared" si="5"/>
        <v>2256249.7935964428</v>
      </c>
      <c r="U10" s="19">
        <f t="shared" si="5"/>
        <v>2309872.9439460081</v>
      </c>
      <c r="V10" s="19">
        <f t="shared" si="5"/>
        <v>2364190.221709691</v>
      </c>
      <c r="W10" s="19">
        <f t="shared" si="5"/>
        <v>2419200</v>
      </c>
      <c r="X10" s="19">
        <f t="shared" si="0"/>
        <v>6106759.2000000002</v>
      </c>
      <c r="Y10" s="19">
        <f t="shared" si="1"/>
        <v>6871101.5999999996</v>
      </c>
      <c r="Z10" s="19">
        <f t="shared" si="2"/>
        <v>7686617.2789907465</v>
      </c>
      <c r="AA10" s="19">
        <f t="shared" si="3"/>
        <v>8502440.2363170981</v>
      </c>
      <c r="AB10" s="19">
        <f t="shared" si="4"/>
        <v>9349512.9592521414</v>
      </c>
    </row>
    <row r="11" spans="1:28" x14ac:dyDescent="0.3">
      <c r="A11" s="7" t="s">
        <v>35</v>
      </c>
      <c r="B11" s="7" t="s">
        <v>32</v>
      </c>
      <c r="C11" s="11">
        <f>C8*'Model Inputs'!C13</f>
        <v>1326780</v>
      </c>
      <c r="D11" s="11">
        <f>D8*'Model Inputs'!D13</f>
        <v>388800</v>
      </c>
      <c r="E11" s="11">
        <f>E8*'Model Inputs'!E13</f>
        <v>384433.92000000004</v>
      </c>
      <c r="F11" s="11">
        <f>F8*'Model Inputs'!F13</f>
        <v>379829.76000000001</v>
      </c>
      <c r="G11" s="11">
        <f>G8*'Model Inputs'!G13</f>
        <v>374984.63999999996</v>
      </c>
      <c r="H11" s="11">
        <f>H8*'Model Inputs'!H13</f>
        <v>369895.68000000005</v>
      </c>
      <c r="I11" s="11">
        <f>I8*'Model Inputs'!I13</f>
        <v>364560.00000000006</v>
      </c>
      <c r="J11" s="11">
        <f>J8*'Model Inputs'!J13</f>
        <v>358974.72000000003</v>
      </c>
      <c r="K11" s="11">
        <f>K8*'Model Inputs'!K13</f>
        <v>353136.96</v>
      </c>
      <c r="L11" s="11">
        <f>L8*'Model Inputs'!L13</f>
        <v>347043.84000000003</v>
      </c>
      <c r="M11" s="11">
        <f>M8*'Model Inputs'!M13</f>
        <v>340692.47999999998</v>
      </c>
      <c r="N11" s="11">
        <f>N8*'Model Inputs'!N13</f>
        <v>334080</v>
      </c>
      <c r="O11" s="11">
        <f>O8*'Model Inputs'!O13</f>
        <v>330978.0568328423</v>
      </c>
      <c r="P11" s="11">
        <f>P8*'Model Inputs'!P13</f>
        <v>327773.8060914831</v>
      </c>
      <c r="Q11" s="11">
        <f>Q8*'Model Inputs'!Q13</f>
        <v>324465.64553742192</v>
      </c>
      <c r="R11" s="11">
        <f>R8*'Model Inputs'!R13</f>
        <v>321053.58470057597</v>
      </c>
      <c r="S11" s="11">
        <f>S8*'Model Inputs'!S13</f>
        <v>317536.04634416453</v>
      </c>
      <c r="T11" s="11">
        <f>T8*'Model Inputs'!T13</f>
        <v>313913.01476124418</v>
      </c>
      <c r="U11" s="11">
        <f>U8*'Model Inputs'!U13</f>
        <v>310182.93818703544</v>
      </c>
      <c r="V11" s="11">
        <f>V8*'Model Inputs'!V13</f>
        <v>306345.77520745294</v>
      </c>
      <c r="W11" s="11">
        <f>W8*'Model Inputs'!W13</f>
        <v>302400</v>
      </c>
      <c r="X11" s="11">
        <f t="shared" si="0"/>
        <v>1528048.32</v>
      </c>
      <c r="Y11" s="11">
        <f t="shared" si="1"/>
        <v>1446567.36</v>
      </c>
      <c r="Z11" s="11">
        <f t="shared" si="2"/>
        <v>1352794.3768328424</v>
      </c>
      <c r="AA11" s="11">
        <f t="shared" si="3"/>
        <v>1290829.0826736456</v>
      </c>
      <c r="AB11" s="11">
        <f t="shared" si="4"/>
        <v>1232841.7281557326</v>
      </c>
    </row>
    <row r="12" spans="1:28" x14ac:dyDescent="0.3">
      <c r="A12" s="7" t="s">
        <v>36</v>
      </c>
      <c r="B12" s="7" t="s">
        <v>32</v>
      </c>
      <c r="C12" s="11">
        <f>C8*'Model Inputs'!C14</f>
        <v>0</v>
      </c>
      <c r="D12" s="11">
        <f>D8*'Model Inputs'!D14</f>
        <v>97200</v>
      </c>
      <c r="E12" s="11">
        <f>E8*'Model Inputs'!E14</f>
        <v>93644.160000000003</v>
      </c>
      <c r="F12" s="11">
        <f>F8*'Model Inputs'!F14</f>
        <v>89959.679999999993</v>
      </c>
      <c r="G12" s="11">
        <f>G8*'Model Inputs'!G14</f>
        <v>86145.12000000001</v>
      </c>
      <c r="H12" s="11">
        <f>H8*'Model Inputs'!H14</f>
        <v>82199.040000000008</v>
      </c>
      <c r="I12" s="11">
        <f>I8*'Model Inputs'!I14</f>
        <v>78120</v>
      </c>
      <c r="J12" s="11">
        <f>J8*'Model Inputs'!J14</f>
        <v>73906.559999999998</v>
      </c>
      <c r="K12" s="11">
        <f>K8*'Model Inputs'!K14</f>
        <v>69557.279999999999</v>
      </c>
      <c r="L12" s="11">
        <f>L8*'Model Inputs'!L14</f>
        <v>65070.720000000001</v>
      </c>
      <c r="M12" s="11">
        <f>M8*'Model Inputs'!M14</f>
        <v>60445.439999999995</v>
      </c>
      <c r="N12" s="11">
        <f>N8*'Model Inputs'!N14</f>
        <v>55680</v>
      </c>
      <c r="O12" s="11">
        <f>O8*'Model Inputs'!O14</f>
        <v>56203.820971614732</v>
      </c>
      <c r="P12" s="11">
        <f>P8*'Model Inputs'!P14</f>
        <v>56730.081823525914</v>
      </c>
      <c r="Q12" s="11">
        <f>Q8*'Model Inputs'!Q14</f>
        <v>57258.64333013328</v>
      </c>
      <c r="R12" s="11">
        <f>R8*'Model Inputs'!R14</f>
        <v>57789.645246103675</v>
      </c>
      <c r="S12" s="11">
        <f>S8*'Model Inputs'!S14</f>
        <v>58322.94728770369</v>
      </c>
      <c r="T12" s="11">
        <f>T8*'Model Inputs'!T14</f>
        <v>58858.690267733291</v>
      </c>
      <c r="U12" s="11">
        <f>U8*'Model Inputs'!U14</f>
        <v>59396.732844325932</v>
      </c>
      <c r="V12" s="11">
        <f>V8*'Model Inputs'!V14</f>
        <v>59937.216888414718</v>
      </c>
      <c r="W12" s="11">
        <f>W8*'Model Inputs'!W14</f>
        <v>60480</v>
      </c>
      <c r="X12" s="11">
        <f t="shared" si="0"/>
        <v>366948.95999999996</v>
      </c>
      <c r="Y12" s="11">
        <f t="shared" si="1"/>
        <v>303782.88</v>
      </c>
      <c r="Z12" s="11">
        <f t="shared" si="2"/>
        <v>237399.98097161474</v>
      </c>
      <c r="AA12" s="11">
        <f t="shared" si="3"/>
        <v>230101.31768746657</v>
      </c>
      <c r="AB12" s="11">
        <f t="shared" si="4"/>
        <v>238672.64000047394</v>
      </c>
    </row>
    <row r="13" spans="1:28" x14ac:dyDescent="0.3">
      <c r="A13" s="7" t="s">
        <v>37</v>
      </c>
      <c r="B13" s="7" t="s">
        <v>32</v>
      </c>
      <c r="C13" s="11">
        <f>'Model Inputs'!C15</f>
        <v>36000</v>
      </c>
      <c r="D13" s="11">
        <f>'Model Inputs'!D15</f>
        <v>36000</v>
      </c>
      <c r="E13" s="11">
        <f>'Model Inputs'!E15</f>
        <v>36000</v>
      </c>
      <c r="F13" s="11">
        <f>'Model Inputs'!F15</f>
        <v>36000</v>
      </c>
      <c r="G13" s="11">
        <f>'Model Inputs'!G15</f>
        <v>36000</v>
      </c>
      <c r="H13" s="11">
        <f>'Model Inputs'!H15</f>
        <v>36000</v>
      </c>
      <c r="I13" s="11">
        <f>'Model Inputs'!I15</f>
        <v>36000</v>
      </c>
      <c r="J13" s="11">
        <f>'Model Inputs'!J15</f>
        <v>36000</v>
      </c>
      <c r="K13" s="11">
        <f>'Model Inputs'!K15</f>
        <v>36000</v>
      </c>
      <c r="L13" s="11">
        <f>'Model Inputs'!L15</f>
        <v>36000</v>
      </c>
      <c r="M13" s="11">
        <f>'Model Inputs'!M15</f>
        <v>36000</v>
      </c>
      <c r="N13" s="11">
        <f>'Model Inputs'!N15</f>
        <v>36000</v>
      </c>
      <c r="O13" s="11">
        <f>'Model Inputs'!O15</f>
        <v>36000</v>
      </c>
      <c r="P13" s="11">
        <f>'Model Inputs'!P15</f>
        <v>36000</v>
      </c>
      <c r="Q13" s="11">
        <f>'Model Inputs'!Q15</f>
        <v>36000</v>
      </c>
      <c r="R13" s="11">
        <f>'Model Inputs'!R15</f>
        <v>36000</v>
      </c>
      <c r="S13" s="11">
        <f>'Model Inputs'!S15</f>
        <v>36000</v>
      </c>
      <c r="T13" s="11">
        <f>'Model Inputs'!T15</f>
        <v>36000</v>
      </c>
      <c r="U13" s="11">
        <f>'Model Inputs'!U15</f>
        <v>36000</v>
      </c>
      <c r="V13" s="11">
        <f>'Model Inputs'!V15</f>
        <v>36000</v>
      </c>
      <c r="W13" s="11">
        <f>'Model Inputs'!W15</f>
        <v>36000</v>
      </c>
      <c r="X13" s="11">
        <f t="shared" si="0"/>
        <v>144000</v>
      </c>
      <c r="Y13" s="11">
        <f t="shared" si="1"/>
        <v>144000</v>
      </c>
      <c r="Z13" s="11">
        <f t="shared" si="2"/>
        <v>144000</v>
      </c>
      <c r="AA13" s="11">
        <f t="shared" si="3"/>
        <v>144000</v>
      </c>
      <c r="AB13" s="11">
        <f t="shared" si="4"/>
        <v>144000</v>
      </c>
    </row>
    <row r="14" spans="1:28" x14ac:dyDescent="0.3">
      <c r="A14" s="7" t="s">
        <v>38</v>
      </c>
      <c r="B14" s="7" t="s">
        <v>32</v>
      </c>
      <c r="C14" s="11">
        <f>'Model Inputs'!C16</f>
        <v>159384.375</v>
      </c>
      <c r="D14" s="11">
        <f>'Model Inputs'!D16</f>
        <v>388523.5</v>
      </c>
      <c r="E14" s="11">
        <f>'Model Inputs'!E16</f>
        <v>388523.5</v>
      </c>
      <c r="F14" s="11">
        <f>'Model Inputs'!F16</f>
        <v>388523.5</v>
      </c>
      <c r="G14" s="11">
        <f>'Model Inputs'!G16</f>
        <v>388523.5</v>
      </c>
      <c r="H14" s="11">
        <f>'Model Inputs'!H16</f>
        <v>400179.40500000003</v>
      </c>
      <c r="I14" s="11">
        <f>'Model Inputs'!I16</f>
        <v>400179.40500000003</v>
      </c>
      <c r="J14" s="11">
        <f>'Model Inputs'!J16</f>
        <v>400179.40500000003</v>
      </c>
      <c r="K14" s="11">
        <f>'Model Inputs'!K16</f>
        <v>400179.40500000003</v>
      </c>
      <c r="L14" s="11">
        <f>'Model Inputs'!L16</f>
        <v>412184.97499999998</v>
      </c>
      <c r="M14" s="11">
        <f>'Model Inputs'!M16</f>
        <v>412184.97499999998</v>
      </c>
      <c r="N14" s="11">
        <f>'Model Inputs'!N16</f>
        <v>412184.97499999998</v>
      </c>
      <c r="O14" s="11">
        <f>'Model Inputs'!O16</f>
        <v>412184.97499999998</v>
      </c>
      <c r="P14" s="11">
        <f>'Model Inputs'!P16</f>
        <v>424549.84499999997</v>
      </c>
      <c r="Q14" s="11">
        <f>'Model Inputs'!Q16</f>
        <v>424549.84499999997</v>
      </c>
      <c r="R14" s="11">
        <f>'Model Inputs'!R16</f>
        <v>424549.84499999997</v>
      </c>
      <c r="S14" s="11">
        <f>'Model Inputs'!S16</f>
        <v>424549.84499999997</v>
      </c>
      <c r="T14" s="11">
        <f>'Model Inputs'!T16</f>
        <v>437286.45500000002</v>
      </c>
      <c r="U14" s="11">
        <f>'Model Inputs'!U16</f>
        <v>437286.45500000002</v>
      </c>
      <c r="V14" s="11">
        <f>'Model Inputs'!V16</f>
        <v>437286.45500000002</v>
      </c>
      <c r="W14" s="11">
        <f>'Model Inputs'!W16</f>
        <v>437286.45500000002</v>
      </c>
      <c r="X14" s="11">
        <f t="shared" si="0"/>
        <v>1554094</v>
      </c>
      <c r="Y14" s="11">
        <f t="shared" si="1"/>
        <v>1600717.62</v>
      </c>
      <c r="Z14" s="11">
        <f t="shared" si="2"/>
        <v>1648739.9</v>
      </c>
      <c r="AA14" s="11">
        <f t="shared" si="3"/>
        <v>1698199.38</v>
      </c>
      <c r="AB14" s="11">
        <f t="shared" si="4"/>
        <v>1749145.82</v>
      </c>
    </row>
    <row r="15" spans="1:28" x14ac:dyDescent="0.3">
      <c r="A15" s="7" t="s">
        <v>39</v>
      </c>
      <c r="B15" s="7" t="s">
        <v>32</v>
      </c>
      <c r="C15" s="11">
        <f>C8*'Model Inputs'!C17</f>
        <v>23683.022999999997</v>
      </c>
      <c r="D15" s="11">
        <f>D8*'Model Inputs'!D17</f>
        <v>388800</v>
      </c>
      <c r="E15" s="11">
        <f>E8*'Model Inputs'!E17</f>
        <v>389362.56000000006</v>
      </c>
      <c r="F15" s="11">
        <f>F8*'Model Inputs'!F17</f>
        <v>389825.28000000003</v>
      </c>
      <c r="G15" s="11">
        <f>G8*'Model Inputs'!G17</f>
        <v>390186.72</v>
      </c>
      <c r="H15" s="11">
        <f>H8*'Model Inputs'!H17</f>
        <v>390445.44000000006</v>
      </c>
      <c r="I15" s="11">
        <f>I8*'Model Inputs'!I17</f>
        <v>390600.00000000006</v>
      </c>
      <c r="J15" s="11">
        <f>J8*'Model Inputs'!J17</f>
        <v>390648.96000000008</v>
      </c>
      <c r="K15" s="11">
        <f>K8*'Model Inputs'!K17</f>
        <v>390590.88000000006</v>
      </c>
      <c r="L15" s="11">
        <f>L8*'Model Inputs'!L17</f>
        <v>390424.32000000007</v>
      </c>
      <c r="M15" s="11">
        <f>M8*'Model Inputs'!M17</f>
        <v>390147.84000000003</v>
      </c>
      <c r="N15" s="11">
        <f>N8*'Model Inputs'!N17</f>
        <v>389760.00000000006</v>
      </c>
      <c r="O15" s="11">
        <f>O8*'Model Inputs'!O17</f>
        <v>387181.87780445704</v>
      </c>
      <c r="P15" s="11">
        <f>P8*'Model Inputs'!P17</f>
        <v>384503.88791500899</v>
      </c>
      <c r="Q15" s="11">
        <f>Q8*'Model Inputs'!Q17</f>
        <v>381724.28886755527</v>
      </c>
      <c r="R15" s="11">
        <f>R8*'Model Inputs'!R17</f>
        <v>378843.22994667967</v>
      </c>
      <c r="S15" s="11">
        <f>S8*'Model Inputs'!S17</f>
        <v>375858.99363186822</v>
      </c>
      <c r="T15" s="11">
        <f>T8*'Model Inputs'!T17</f>
        <v>372771.70502897742</v>
      </c>
      <c r="U15" s="11">
        <f>U8*'Model Inputs'!U17</f>
        <v>369579.67103136139</v>
      </c>
      <c r="V15" s="11">
        <f>V8*'Model Inputs'!V17</f>
        <v>366282.9920958677</v>
      </c>
      <c r="W15" s="11">
        <f>W8*'Model Inputs'!W17</f>
        <v>362880</v>
      </c>
      <c r="X15" s="11">
        <f t="shared" si="0"/>
        <v>1558174.56</v>
      </c>
      <c r="Y15" s="11">
        <f t="shared" si="1"/>
        <v>1562285.2800000005</v>
      </c>
      <c r="Z15" s="11">
        <f t="shared" si="2"/>
        <v>1557514.0378044571</v>
      </c>
      <c r="AA15" s="11">
        <f t="shared" si="3"/>
        <v>1520930.4003611121</v>
      </c>
      <c r="AB15" s="11">
        <f t="shared" si="4"/>
        <v>1471514.3681562066</v>
      </c>
    </row>
    <row r="16" spans="1:28" x14ac:dyDescent="0.3">
      <c r="A16" s="18" t="s">
        <v>40</v>
      </c>
      <c r="B16" s="18" t="s">
        <v>32</v>
      </c>
      <c r="C16" s="19">
        <f t="shared" ref="C16:W16" si="6">C10-SUM(C11:C15)</f>
        <v>3016661.5530000012</v>
      </c>
      <c r="D16" s="19">
        <f t="shared" si="6"/>
        <v>158676.5</v>
      </c>
      <c r="E16" s="19">
        <f t="shared" si="6"/>
        <v>211271.05999999959</v>
      </c>
      <c r="F16" s="19">
        <f t="shared" si="6"/>
        <v>265167.38000000012</v>
      </c>
      <c r="G16" s="19">
        <f t="shared" si="6"/>
        <v>320378.42000000039</v>
      </c>
      <c r="H16" s="19">
        <f t="shared" si="6"/>
        <v>365261.2350000001</v>
      </c>
      <c r="I16" s="19">
        <f t="shared" si="6"/>
        <v>423140.59499999997</v>
      </c>
      <c r="J16" s="19">
        <f t="shared" si="6"/>
        <v>482373.55500000017</v>
      </c>
      <c r="K16" s="19">
        <f t="shared" si="6"/>
        <v>542973.07499999949</v>
      </c>
      <c r="L16" s="19">
        <f t="shared" si="6"/>
        <v>592946.54500000039</v>
      </c>
      <c r="M16" s="19">
        <f t="shared" si="6"/>
        <v>656318.06499999971</v>
      </c>
      <c r="N16" s="19">
        <f t="shared" si="6"/>
        <v>721095.02499999991</v>
      </c>
      <c r="O16" s="19">
        <f t="shared" si="6"/>
        <v>775809.34838183224</v>
      </c>
      <c r="P16" s="19">
        <f t="shared" si="6"/>
        <v>819028.66724175145</v>
      </c>
      <c r="Q16" s="19">
        <f t="shared" si="6"/>
        <v>875485.16603644285</v>
      </c>
      <c r="R16" s="19">
        <f t="shared" si="6"/>
        <v>932822.71260049962</v>
      </c>
      <c r="S16" s="19">
        <f t="shared" si="6"/>
        <v>991043.50971618085</v>
      </c>
      <c r="T16" s="19">
        <f t="shared" si="6"/>
        <v>1037419.9285384878</v>
      </c>
      <c r="U16" s="19">
        <f t="shared" si="6"/>
        <v>1097427.1468832854</v>
      </c>
      <c r="V16" s="19">
        <f t="shared" si="6"/>
        <v>1158337.7825179556</v>
      </c>
      <c r="W16" s="19">
        <f t="shared" si="6"/>
        <v>1220153.5449999999</v>
      </c>
      <c r="X16" s="19">
        <f t="shared" si="0"/>
        <v>955493.3600000001</v>
      </c>
      <c r="Y16" s="19">
        <f t="shared" si="1"/>
        <v>1813748.4599999997</v>
      </c>
      <c r="Z16" s="19">
        <f t="shared" si="2"/>
        <v>2746168.983381832</v>
      </c>
      <c r="AA16" s="19">
        <f t="shared" si="3"/>
        <v>3618380.0555948745</v>
      </c>
      <c r="AB16" s="19">
        <f t="shared" si="4"/>
        <v>4513338.4029397285</v>
      </c>
    </row>
    <row r="17" spans="1:28" x14ac:dyDescent="0.3">
      <c r="A17" s="7" t="s">
        <v>41</v>
      </c>
      <c r="B17" s="7" t="s">
        <v>32</v>
      </c>
      <c r="C17" s="11">
        <f>'Model Inputs'!C19+'Model Inputs'!C48</f>
        <v>0</v>
      </c>
      <c r="D17" s="11">
        <f>'Model Inputs'!D19+'Model Inputs'!D48</f>
        <v>0</v>
      </c>
      <c r="E17" s="11">
        <f>'Model Inputs'!E19+'Model Inputs'!E48</f>
        <v>0</v>
      </c>
      <c r="F17" s="11">
        <f>'Model Inputs'!F19+'Model Inputs'!F48</f>
        <v>0</v>
      </c>
      <c r="G17" s="11">
        <f>'Model Inputs'!G19+'Model Inputs'!G48</f>
        <v>0</v>
      </c>
      <c r="H17" s="11">
        <f>'Model Inputs'!H19+'Model Inputs'!H48</f>
        <v>0</v>
      </c>
      <c r="I17" s="11">
        <f>'Model Inputs'!I19+'Model Inputs'!I48</f>
        <v>0</v>
      </c>
      <c r="J17" s="11">
        <f>'Model Inputs'!J19+'Model Inputs'!J48</f>
        <v>0</v>
      </c>
      <c r="K17" s="11">
        <f>'Model Inputs'!K19+'Model Inputs'!K48</f>
        <v>0</v>
      </c>
      <c r="L17" s="11">
        <f>'Model Inputs'!L19+'Model Inputs'!L48</f>
        <v>0</v>
      </c>
      <c r="M17" s="11">
        <f>'Model Inputs'!M19+'Model Inputs'!M48</f>
        <v>0</v>
      </c>
      <c r="N17" s="11">
        <f>'Model Inputs'!N19+'Model Inputs'!N48</f>
        <v>0</v>
      </c>
      <c r="O17" s="11">
        <f>'Model Inputs'!O19+'Model Inputs'!O48</f>
        <v>0</v>
      </c>
      <c r="P17" s="11">
        <f>'Model Inputs'!P19+'Model Inputs'!P48</f>
        <v>0</v>
      </c>
      <c r="Q17" s="11">
        <f>'Model Inputs'!Q19+'Model Inputs'!Q48</f>
        <v>0</v>
      </c>
      <c r="R17" s="11">
        <f>'Model Inputs'!R19+'Model Inputs'!R48</f>
        <v>0</v>
      </c>
      <c r="S17" s="11">
        <f>'Model Inputs'!S19+'Model Inputs'!S48</f>
        <v>0</v>
      </c>
      <c r="T17" s="11">
        <f>'Model Inputs'!T19+'Model Inputs'!T48</f>
        <v>0</v>
      </c>
      <c r="U17" s="11">
        <f>'Model Inputs'!U19+'Model Inputs'!U48</f>
        <v>0</v>
      </c>
      <c r="V17" s="11">
        <f>'Model Inputs'!V19+'Model Inputs'!V48</f>
        <v>0</v>
      </c>
      <c r="W17" s="11">
        <f>'Model Inputs'!W19+'Model Inputs'!W48</f>
        <v>0</v>
      </c>
      <c r="X17" s="11">
        <f t="shared" si="0"/>
        <v>0</v>
      </c>
      <c r="Y17" s="11">
        <f t="shared" si="1"/>
        <v>0</v>
      </c>
      <c r="Z17" s="11">
        <f t="shared" si="2"/>
        <v>0</v>
      </c>
      <c r="AA17" s="11">
        <f t="shared" si="3"/>
        <v>0</v>
      </c>
      <c r="AB17" s="11">
        <f t="shared" si="4"/>
        <v>0</v>
      </c>
    </row>
    <row r="18" spans="1:28" x14ac:dyDescent="0.3">
      <c r="A18" s="7" t="s">
        <v>42</v>
      </c>
      <c r="B18" s="7" t="s">
        <v>32</v>
      </c>
      <c r="C18" s="11">
        <f>'Model Inputs'!C21+'Model Inputs'!C51</f>
        <v>0</v>
      </c>
      <c r="D18" s="11">
        <f>'Model Inputs'!D21+'Model Inputs'!D51</f>
        <v>0</v>
      </c>
      <c r="E18" s="11">
        <f>'Model Inputs'!E21+'Model Inputs'!E51</f>
        <v>0</v>
      </c>
      <c r="F18" s="11">
        <f>'Model Inputs'!F21+'Model Inputs'!F51</f>
        <v>0</v>
      </c>
      <c r="G18" s="11">
        <f>'Model Inputs'!G21+'Model Inputs'!G51</f>
        <v>0</v>
      </c>
      <c r="H18" s="11">
        <f>'Model Inputs'!H21+'Model Inputs'!H51</f>
        <v>0</v>
      </c>
      <c r="I18" s="11">
        <f>'Model Inputs'!I21+'Model Inputs'!I51</f>
        <v>0</v>
      </c>
      <c r="J18" s="11">
        <f>'Model Inputs'!J21+'Model Inputs'!J51</f>
        <v>0</v>
      </c>
      <c r="K18" s="11">
        <f>'Model Inputs'!K21+'Model Inputs'!K51</f>
        <v>0</v>
      </c>
      <c r="L18" s="11">
        <f>'Model Inputs'!L21+'Model Inputs'!L51</f>
        <v>0</v>
      </c>
      <c r="M18" s="11">
        <f>'Model Inputs'!M21+'Model Inputs'!M51</f>
        <v>0</v>
      </c>
      <c r="N18" s="11">
        <f>'Model Inputs'!N21+'Model Inputs'!N51</f>
        <v>0</v>
      </c>
      <c r="O18" s="11">
        <f>'Model Inputs'!O21+'Model Inputs'!O51</f>
        <v>0</v>
      </c>
      <c r="P18" s="11">
        <f>'Model Inputs'!P21+'Model Inputs'!P51</f>
        <v>0</v>
      </c>
      <c r="Q18" s="11">
        <f>'Model Inputs'!Q21+'Model Inputs'!Q51</f>
        <v>0</v>
      </c>
      <c r="R18" s="11">
        <f>'Model Inputs'!R21+'Model Inputs'!R51</f>
        <v>0</v>
      </c>
      <c r="S18" s="11">
        <f>'Model Inputs'!S21+'Model Inputs'!S51</f>
        <v>0</v>
      </c>
      <c r="T18" s="11">
        <f>'Model Inputs'!T21+'Model Inputs'!T51</f>
        <v>0</v>
      </c>
      <c r="U18" s="11">
        <f>'Model Inputs'!U21+'Model Inputs'!U51</f>
        <v>0</v>
      </c>
      <c r="V18" s="11">
        <f>'Model Inputs'!V21+'Model Inputs'!V51</f>
        <v>0</v>
      </c>
      <c r="W18" s="11">
        <f>'Model Inputs'!W21+'Model Inputs'!W51</f>
        <v>0</v>
      </c>
      <c r="X18" s="11">
        <f t="shared" si="0"/>
        <v>0</v>
      </c>
      <c r="Y18" s="11">
        <f t="shared" si="1"/>
        <v>0</v>
      </c>
      <c r="Z18" s="11">
        <f t="shared" si="2"/>
        <v>0</v>
      </c>
      <c r="AA18" s="11">
        <f t="shared" si="3"/>
        <v>0</v>
      </c>
      <c r="AB18" s="11">
        <f t="shared" si="4"/>
        <v>0</v>
      </c>
    </row>
    <row r="19" spans="1:28" x14ac:dyDescent="0.3">
      <c r="A19" s="7" t="s">
        <v>43</v>
      </c>
      <c r="B19" s="7" t="s">
        <v>32</v>
      </c>
      <c r="C19" s="11">
        <f>MAX(0,C16-C17-C18)*'Model Inputs'!C22</f>
        <v>619374.91673885426</v>
      </c>
      <c r="D19" s="11">
        <f>MAX(0,D16-D17-D18)*'Model Inputs'!D22</f>
        <v>32579.141627000001</v>
      </c>
      <c r="E19" s="11">
        <f>MAX(0,E16-E17-E18)*'Model Inputs'!E22</f>
        <v>43377.751497079917</v>
      </c>
      <c r="F19" s="11">
        <f>MAX(0,F16-F17-F18)*'Model Inputs'!F22</f>
        <v>54443.636126840021</v>
      </c>
      <c r="G19" s="11">
        <f>MAX(0,G16-G17-G18)*'Model Inputs'!G22</f>
        <v>65779.456437560075</v>
      </c>
      <c r="H19" s="11">
        <f>MAX(0,H16-H17-H18)*'Model Inputs'!H22</f>
        <v>74994.706247730021</v>
      </c>
      <c r="I19" s="11">
        <f>MAX(0,I16-I17-I18)*'Model Inputs'!I22</f>
        <v>86878.380684209988</v>
      </c>
      <c r="J19" s="11">
        <f>MAX(0,J16-J17-J18)*'Model Inputs'!J22</f>
        <v>99039.973565490029</v>
      </c>
      <c r="K19" s="11">
        <f>MAX(0,K16-K17-K18)*'Model Inputs'!K22</f>
        <v>111482.14581284989</v>
      </c>
      <c r="L19" s="11">
        <f>MAX(0,L16-L17-L18)*'Model Inputs'!L22</f>
        <v>121742.59872631008</v>
      </c>
      <c r="M19" s="11">
        <f>MAX(0,M16-M17-M18)*'Model Inputs'!M22</f>
        <v>134753.91246966994</v>
      </c>
      <c r="N19" s="11">
        <f>MAX(0,N16-N17-N18)*'Model Inputs'!N22</f>
        <v>148053.78834294999</v>
      </c>
      <c r="O19" s="11">
        <f>MAX(0,O16-O17-O18)*'Model Inputs'!O22</f>
        <v>159287.62379106102</v>
      </c>
      <c r="P19" s="11">
        <f>MAX(0,P16-P17-P18)*'Model Inputs'!P22</f>
        <v>168161.32790074192</v>
      </c>
      <c r="Q19" s="11">
        <f>MAX(0,Q16-Q17-Q18)*'Model Inputs'!Q22</f>
        <v>179752.86332027038</v>
      </c>
      <c r="R19" s="11">
        <f>MAX(0,R16-R17-R18)*'Model Inputs'!R22</f>
        <v>191525.29370570939</v>
      </c>
      <c r="S19" s="11">
        <f>MAX(0,S16-S17-S18)*'Model Inputs'!S22</f>
        <v>203479.07132790683</v>
      </c>
      <c r="T19" s="11">
        <f>MAX(0,T16-T17-T18)*'Model Inputs'!T22</f>
        <v>213000.98488766522</v>
      </c>
      <c r="U19" s="11">
        <f>MAX(0,U16-U17-U18)*'Model Inputs'!U22</f>
        <v>225321.54694378239</v>
      </c>
      <c r="V19" s="11">
        <f>MAX(0,V16-V17-V18)*'Model Inputs'!V22</f>
        <v>237827.59683102163</v>
      </c>
      <c r="W19" s="11">
        <f>MAX(0,W16-W17-W18)*'Model Inputs'!W22</f>
        <v>250519.48555230998</v>
      </c>
      <c r="X19" s="11">
        <f t="shared" si="0"/>
        <v>196179.98568848002</v>
      </c>
      <c r="Y19" s="11">
        <f t="shared" si="1"/>
        <v>372395.2063102799</v>
      </c>
      <c r="Z19" s="11">
        <f t="shared" si="2"/>
        <v>563837.92332999106</v>
      </c>
      <c r="AA19" s="11">
        <f t="shared" si="3"/>
        <v>742918.55625462846</v>
      </c>
      <c r="AB19" s="11">
        <f t="shared" si="4"/>
        <v>926669.61421477923</v>
      </c>
    </row>
    <row r="20" spans="1:28" x14ac:dyDescent="0.3">
      <c r="A20" s="18" t="s">
        <v>44</v>
      </c>
      <c r="B20" s="18" t="s">
        <v>32</v>
      </c>
      <c r="C20" s="19">
        <f t="shared" ref="C20:W20" si="7">C16-SUM(C17:C19)</f>
        <v>2397286.636261147</v>
      </c>
      <c r="D20" s="19">
        <f t="shared" si="7"/>
        <v>126097.358373</v>
      </c>
      <c r="E20" s="19">
        <f t="shared" si="7"/>
        <v>167893.30850291968</v>
      </c>
      <c r="F20" s="19">
        <f t="shared" si="7"/>
        <v>210723.7438731601</v>
      </c>
      <c r="G20" s="19">
        <f t="shared" si="7"/>
        <v>254598.9635624403</v>
      </c>
      <c r="H20" s="19">
        <f t="shared" si="7"/>
        <v>290266.5287522701</v>
      </c>
      <c r="I20" s="19">
        <f t="shared" si="7"/>
        <v>336262.21431578998</v>
      </c>
      <c r="J20" s="19">
        <f t="shared" si="7"/>
        <v>383333.58143451012</v>
      </c>
      <c r="K20" s="19">
        <f t="shared" si="7"/>
        <v>431490.92918714962</v>
      </c>
      <c r="L20" s="19">
        <f t="shared" si="7"/>
        <v>471203.94627369032</v>
      </c>
      <c r="M20" s="19">
        <f t="shared" si="7"/>
        <v>521564.15253032977</v>
      </c>
      <c r="N20" s="19">
        <f t="shared" si="7"/>
        <v>573041.23665704997</v>
      </c>
      <c r="O20" s="19">
        <f t="shared" si="7"/>
        <v>616521.72459077125</v>
      </c>
      <c r="P20" s="19">
        <f t="shared" si="7"/>
        <v>650867.3393410095</v>
      </c>
      <c r="Q20" s="19">
        <f t="shared" si="7"/>
        <v>695732.30271617253</v>
      </c>
      <c r="R20" s="19">
        <f t="shared" si="7"/>
        <v>741297.41889479023</v>
      </c>
      <c r="S20" s="19">
        <f t="shared" si="7"/>
        <v>787564.43838827405</v>
      </c>
      <c r="T20" s="19">
        <f t="shared" si="7"/>
        <v>824418.9436508225</v>
      </c>
      <c r="U20" s="19">
        <f t="shared" si="7"/>
        <v>872105.59993950301</v>
      </c>
      <c r="V20" s="19">
        <f t="shared" si="7"/>
        <v>920510.18568693404</v>
      </c>
      <c r="W20" s="19">
        <f t="shared" si="7"/>
        <v>969634.05944768991</v>
      </c>
      <c r="X20" s="19">
        <f t="shared" si="0"/>
        <v>759313.37431152002</v>
      </c>
      <c r="Y20" s="19">
        <f t="shared" si="1"/>
        <v>1441353.2536897198</v>
      </c>
      <c r="Z20" s="19">
        <f t="shared" si="2"/>
        <v>2182331.0600518412</v>
      </c>
      <c r="AA20" s="19">
        <f t="shared" si="3"/>
        <v>2875461.4993402464</v>
      </c>
      <c r="AB20" s="19">
        <f t="shared" si="4"/>
        <v>3586668.7887249496</v>
      </c>
    </row>
    <row r="22" spans="1:28" x14ac:dyDescent="0.3">
      <c r="A22" s="51" t="s">
        <v>45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 spans="1:28" x14ac:dyDescent="0.3">
      <c r="A23" s="7" t="s">
        <v>46</v>
      </c>
      <c r="B23" s="7" t="s">
        <v>32</v>
      </c>
      <c r="C23" s="11">
        <f t="shared" ref="C23:W23" si="8">C61</f>
        <v>0</v>
      </c>
      <c r="D23" s="11">
        <f t="shared" si="8"/>
        <v>2350659.499677348</v>
      </c>
      <c r="E23" s="11">
        <f t="shared" si="8"/>
        <v>2507020.9125280939</v>
      </c>
      <c r="F23" s="11">
        <f t="shared" si="8"/>
        <v>2697194.2840824137</v>
      </c>
      <c r="G23" s="11">
        <f t="shared" si="8"/>
        <v>2944122.6402455866</v>
      </c>
      <c r="H23" s="11">
        <f t="shared" si="8"/>
        <v>3181447.7873029211</v>
      </c>
      <c r="I23" s="11">
        <f t="shared" si="8"/>
        <v>3189901.8364013196</v>
      </c>
      <c r="J23" s="11">
        <f t="shared" si="8"/>
        <v>3197774.3641987061</v>
      </c>
      <c r="K23" s="11">
        <f t="shared" si="8"/>
        <v>3205055.3703089328</v>
      </c>
      <c r="L23" s="11">
        <f t="shared" si="8"/>
        <v>3219740.0661227568</v>
      </c>
      <c r="M23" s="11">
        <f t="shared" si="8"/>
        <v>3225814.7316965647</v>
      </c>
      <c r="N23" s="11">
        <f t="shared" si="8"/>
        <v>3231268.9551289771</v>
      </c>
      <c r="O23" s="11">
        <f t="shared" si="8"/>
        <v>3229715.584603589</v>
      </c>
      <c r="P23" s="11">
        <f t="shared" si="8"/>
        <v>3235985.9890561001</v>
      </c>
      <c r="Q23" s="11">
        <f t="shared" si="8"/>
        <v>3233586.3436534181</v>
      </c>
      <c r="R23" s="11">
        <f t="shared" si="8"/>
        <v>3230762.698939424</v>
      </c>
      <c r="S23" s="11">
        <f t="shared" si="8"/>
        <v>3227500.5021834346</v>
      </c>
      <c r="T23" s="11">
        <f t="shared" si="8"/>
        <v>3232300.1643488584</v>
      </c>
      <c r="U23" s="11">
        <f t="shared" si="8"/>
        <v>3228164.6974013359</v>
      </c>
      <c r="V23" s="11">
        <f t="shared" si="8"/>
        <v>3223587.7655928321</v>
      </c>
      <c r="W23" s="11">
        <f t="shared" si="8"/>
        <v>3218563.9393050913</v>
      </c>
      <c r="X23" s="11">
        <f t="shared" ref="X23:X43" si="9">G23</f>
        <v>2944122.6402455866</v>
      </c>
      <c r="Y23" s="11">
        <f t="shared" ref="Y23:Y43" si="10">K23</f>
        <v>3205055.3703089328</v>
      </c>
      <c r="Z23" s="11">
        <f t="shared" ref="Z23:Z43" si="11">O23</f>
        <v>3229715.584603589</v>
      </c>
      <c r="AA23" s="11">
        <f t="shared" ref="AA23:AA43" si="12">S23</f>
        <v>3227500.5021834346</v>
      </c>
      <c r="AB23" s="11">
        <f t="shared" ref="AB23:AB43" si="13">W23</f>
        <v>3218563.9393050913</v>
      </c>
    </row>
    <row r="24" spans="1:28" x14ac:dyDescent="0.3">
      <c r="A24" s="7" t="s">
        <v>47</v>
      </c>
      <c r="B24" s="7" t="s">
        <v>32</v>
      </c>
      <c r="C24" s="11">
        <f>'Model Inputs'!C37</f>
        <v>0</v>
      </c>
      <c r="D24" s="11">
        <f>('Model Inputs'!D25/D6)*D8</f>
        <v>792391.30434782605</v>
      </c>
      <c r="E24" s="11">
        <f>('Model Inputs'!E25/E6)*E8</f>
        <v>803582.60869565222</v>
      </c>
      <c r="F24" s="11">
        <f>('Model Inputs'!F25/F6)*F8</f>
        <v>832960</v>
      </c>
      <c r="G24" s="11">
        <f>('Model Inputs'!G25/G6)*G8</f>
        <v>835279.12087912089</v>
      </c>
      <c r="H24" s="11">
        <f>('Model Inputs'!H25/H6)*H8</f>
        <v>837626.08695652173</v>
      </c>
      <c r="I24" s="11">
        <f>('Model Inputs'!I25/I6)*I8</f>
        <v>849130.43478260876</v>
      </c>
      <c r="J24" s="11">
        <f>('Model Inputs'!J25/J6)*J8</f>
        <v>870171.42857142852</v>
      </c>
      <c r="K24" s="11">
        <f>('Model Inputs'!K25/K6)*K8</f>
        <v>881960.43956043955</v>
      </c>
      <c r="L24" s="11">
        <f>('Model Inputs'!L25/L6)*L8</f>
        <v>884113.04347826086</v>
      </c>
      <c r="M24" s="11">
        <f>('Model Inputs'!M25/M6)*M8</f>
        <v>895930.43478260876</v>
      </c>
      <c r="N24" s="11">
        <f>('Model Inputs'!N25/N6)*N8</f>
        <v>928000</v>
      </c>
      <c r="O24" s="11">
        <f>('Model Inputs'!O25/O6)*O8</f>
        <v>926436.60942222073</v>
      </c>
      <c r="P24" s="11">
        <f>('Model Inputs'!P25/P6)*P8</f>
        <v>924946.98625313991</v>
      </c>
      <c r="Q24" s="11">
        <f>('Model Inputs'!Q25/Q6)*Q8</f>
        <v>933564.83690434694</v>
      </c>
      <c r="R24" s="11">
        <f>('Model Inputs'!R25/R6)*R8</f>
        <v>963160.75410172786</v>
      </c>
      <c r="S24" s="11">
        <f>('Model Inputs'!S25/S6)*S8</f>
        <v>961367.26298412669</v>
      </c>
      <c r="T24" s="11">
        <f>('Model Inputs'!T25/T6)*T8</f>
        <v>959652.55871304276</v>
      </c>
      <c r="U24" s="11">
        <f>('Model Inputs'!U25/U6)*U8</f>
        <v>968424.99202705314</v>
      </c>
      <c r="V24" s="11">
        <f>('Model Inputs'!V25/V6)*V8</f>
        <v>998953.61480691191</v>
      </c>
      <c r="W24" s="11">
        <f>('Model Inputs'!W25/W6)*W8</f>
        <v>996923.07692307688</v>
      </c>
      <c r="X24" s="11">
        <f t="shared" si="9"/>
        <v>835279.12087912089</v>
      </c>
      <c r="Y24" s="11">
        <f t="shared" si="10"/>
        <v>881960.43956043955</v>
      </c>
      <c r="Z24" s="11">
        <f t="shared" si="11"/>
        <v>926436.60942222073</v>
      </c>
      <c r="AA24" s="11">
        <f t="shared" si="12"/>
        <v>961367.26298412669</v>
      </c>
      <c r="AB24" s="11">
        <f t="shared" si="13"/>
        <v>996923.07692307688</v>
      </c>
    </row>
    <row r="25" spans="1:28" x14ac:dyDescent="0.3">
      <c r="A25" s="7" t="s">
        <v>48</v>
      </c>
      <c r="B25" s="7" t="s">
        <v>32</v>
      </c>
      <c r="C25" s="11">
        <f>'Model Inputs'!C38</f>
        <v>0</v>
      </c>
      <c r="D25" s="11">
        <f>('Model Inputs'!D26/D6)*D9</f>
        <v>0</v>
      </c>
      <c r="E25" s="11">
        <f>('Model Inputs'!E26/E6)*E9</f>
        <v>0</v>
      </c>
      <c r="F25" s="11">
        <f>('Model Inputs'!F26/F6)*F9</f>
        <v>0</v>
      </c>
      <c r="G25" s="11">
        <f>('Model Inputs'!G26/G6)*G9</f>
        <v>0</v>
      </c>
      <c r="H25" s="11">
        <f>('Model Inputs'!H26/H6)*H9</f>
        <v>0</v>
      </c>
      <c r="I25" s="11">
        <f>('Model Inputs'!I26/I6)*I9</f>
        <v>0</v>
      </c>
      <c r="J25" s="11">
        <f>('Model Inputs'!J26/J6)*J9</f>
        <v>0</v>
      </c>
      <c r="K25" s="11">
        <f>('Model Inputs'!K26/K6)*K9</f>
        <v>0</v>
      </c>
      <c r="L25" s="11">
        <f>('Model Inputs'!L26/L6)*L9</f>
        <v>0</v>
      </c>
      <c r="M25" s="11">
        <f>('Model Inputs'!M26/M6)*M9</f>
        <v>0</v>
      </c>
      <c r="N25" s="11">
        <f>('Model Inputs'!N26/N6)*N9</f>
        <v>0</v>
      </c>
      <c r="O25" s="11">
        <f>('Model Inputs'!O26/O6)*O9</f>
        <v>0</v>
      </c>
      <c r="P25" s="11">
        <f>('Model Inputs'!P26/P6)*P9</f>
        <v>0</v>
      </c>
      <c r="Q25" s="11">
        <f>('Model Inputs'!Q26/Q6)*Q9</f>
        <v>0</v>
      </c>
      <c r="R25" s="11">
        <f>('Model Inputs'!R26/R6)*R9</f>
        <v>0</v>
      </c>
      <c r="S25" s="11">
        <f>('Model Inputs'!S26/S6)*S9</f>
        <v>0</v>
      </c>
      <c r="T25" s="11">
        <f>('Model Inputs'!T26/T6)*T9</f>
        <v>0</v>
      </c>
      <c r="U25" s="11">
        <f>('Model Inputs'!U26/U6)*U9</f>
        <v>0</v>
      </c>
      <c r="V25" s="11">
        <f>('Model Inputs'!V26/V6)*V9</f>
        <v>0</v>
      </c>
      <c r="W25" s="11">
        <f>('Model Inputs'!W26/W6)*W9</f>
        <v>0</v>
      </c>
      <c r="X25" s="11">
        <f t="shared" si="9"/>
        <v>0</v>
      </c>
      <c r="Y25" s="11">
        <f t="shared" si="10"/>
        <v>0</v>
      </c>
      <c r="Z25" s="11">
        <f t="shared" si="11"/>
        <v>0</v>
      </c>
      <c r="AA25" s="11">
        <f t="shared" si="12"/>
        <v>0</v>
      </c>
      <c r="AB25" s="11">
        <f t="shared" si="13"/>
        <v>0</v>
      </c>
    </row>
    <row r="26" spans="1:28" x14ac:dyDescent="0.3">
      <c r="A26" s="7" t="s">
        <v>49</v>
      </c>
      <c r="B26" s="7" t="s">
        <v>32</v>
      </c>
      <c r="C26" s="11">
        <f>0</f>
        <v>0</v>
      </c>
      <c r="D26" s="11">
        <f>D8*'Model Inputs'!D28</f>
        <v>97200</v>
      </c>
      <c r="E26" s="11">
        <f>E8*'Model Inputs'!E28</f>
        <v>98572.800000000003</v>
      </c>
      <c r="F26" s="11">
        <f>F8*'Model Inputs'!F28</f>
        <v>99955.199999999997</v>
      </c>
      <c r="G26" s="11">
        <f>G8*'Model Inputs'!G28</f>
        <v>101347.2</v>
      </c>
      <c r="H26" s="11">
        <f>H8*'Model Inputs'!H28</f>
        <v>102748.8</v>
      </c>
      <c r="I26" s="11">
        <f>I8*'Model Inputs'!I28</f>
        <v>104160</v>
      </c>
      <c r="J26" s="11">
        <f>J8*'Model Inputs'!J28</f>
        <v>105580.8</v>
      </c>
      <c r="K26" s="11">
        <f>K8*'Model Inputs'!K28</f>
        <v>107011.2</v>
      </c>
      <c r="L26" s="11">
        <f>L8*'Model Inputs'!L28</f>
        <v>108451.2</v>
      </c>
      <c r="M26" s="11">
        <f>M8*'Model Inputs'!M28</f>
        <v>109900.8</v>
      </c>
      <c r="N26" s="11">
        <f>N8*'Model Inputs'!N28</f>
        <v>111360</v>
      </c>
      <c r="O26" s="11">
        <f>O8*'Model Inputs'!O28</f>
        <v>112407.64194322946</v>
      </c>
      <c r="P26" s="11">
        <f>P8*'Model Inputs'!P28</f>
        <v>113460.16364705183</v>
      </c>
      <c r="Q26" s="11">
        <f>Q8*'Model Inputs'!Q28</f>
        <v>114517.28666026656</v>
      </c>
      <c r="R26" s="11">
        <f>R8*'Model Inputs'!R28</f>
        <v>115579.29049220735</v>
      </c>
      <c r="S26" s="11">
        <f>S8*'Model Inputs'!S28</f>
        <v>116645.89457540738</v>
      </c>
      <c r="T26" s="11">
        <f>T8*'Model Inputs'!T28</f>
        <v>117717.38053546658</v>
      </c>
      <c r="U26" s="11">
        <f>U8*'Model Inputs'!U28</f>
        <v>118793.46568865186</v>
      </c>
      <c r="V26" s="11">
        <f>V8*'Model Inputs'!V28</f>
        <v>119874.43377682944</v>
      </c>
      <c r="W26" s="11">
        <f>W8*'Model Inputs'!W28</f>
        <v>120960</v>
      </c>
      <c r="X26" s="11">
        <f t="shared" si="9"/>
        <v>101347.2</v>
      </c>
      <c r="Y26" s="11">
        <f t="shared" si="10"/>
        <v>107011.2</v>
      </c>
      <c r="Z26" s="11">
        <f t="shared" si="11"/>
        <v>112407.64194322946</v>
      </c>
      <c r="AA26" s="11">
        <f t="shared" si="12"/>
        <v>116645.89457540738</v>
      </c>
      <c r="AB26" s="11">
        <f t="shared" si="13"/>
        <v>120960</v>
      </c>
    </row>
    <row r="27" spans="1:28" x14ac:dyDescent="0.3">
      <c r="A27" s="18" t="s">
        <v>50</v>
      </c>
      <c r="B27" s="18" t="s">
        <v>32</v>
      </c>
      <c r="C27" s="19">
        <f t="shared" ref="C27:W27" si="14">SUM(C23:C26)</f>
        <v>0</v>
      </c>
      <c r="D27" s="19">
        <f t="shared" si="14"/>
        <v>3240250.8040251741</v>
      </c>
      <c r="E27" s="19">
        <f t="shared" si="14"/>
        <v>3409176.3212237461</v>
      </c>
      <c r="F27" s="19">
        <f t="shared" si="14"/>
        <v>3630109.4840824138</v>
      </c>
      <c r="G27" s="19">
        <f t="shared" si="14"/>
        <v>3880748.9611247079</v>
      </c>
      <c r="H27" s="19">
        <f t="shared" si="14"/>
        <v>4121822.6742594428</v>
      </c>
      <c r="I27" s="19">
        <f t="shared" si="14"/>
        <v>4143192.2711839285</v>
      </c>
      <c r="J27" s="19">
        <f t="shared" si="14"/>
        <v>4173526.5927701346</v>
      </c>
      <c r="K27" s="19">
        <f t="shared" si="14"/>
        <v>4194027.0098693725</v>
      </c>
      <c r="L27" s="19">
        <f t="shared" si="14"/>
        <v>4212304.3096010173</v>
      </c>
      <c r="M27" s="19">
        <f t="shared" si="14"/>
        <v>4231645.9664791739</v>
      </c>
      <c r="N27" s="19">
        <f t="shared" si="14"/>
        <v>4270628.9551289771</v>
      </c>
      <c r="O27" s="19">
        <f t="shared" si="14"/>
        <v>4268559.8359690392</v>
      </c>
      <c r="P27" s="19">
        <f t="shared" si="14"/>
        <v>4274393.1389562916</v>
      </c>
      <c r="Q27" s="19">
        <f t="shared" si="14"/>
        <v>4281668.4672180312</v>
      </c>
      <c r="R27" s="19">
        <f t="shared" si="14"/>
        <v>4309502.7435333598</v>
      </c>
      <c r="S27" s="19">
        <f t="shared" si="14"/>
        <v>4305513.6597429691</v>
      </c>
      <c r="T27" s="19">
        <f t="shared" si="14"/>
        <v>4309670.1035973672</v>
      </c>
      <c r="U27" s="19">
        <f t="shared" si="14"/>
        <v>4315383.1551170405</v>
      </c>
      <c r="V27" s="19">
        <f t="shared" si="14"/>
        <v>4342415.8141765734</v>
      </c>
      <c r="W27" s="19">
        <f t="shared" si="14"/>
        <v>4336447.0162281683</v>
      </c>
      <c r="X27" s="19">
        <f t="shared" si="9"/>
        <v>3880748.9611247079</v>
      </c>
      <c r="Y27" s="19">
        <f t="shared" si="10"/>
        <v>4194027.0098693725</v>
      </c>
      <c r="Z27" s="19">
        <f t="shared" si="11"/>
        <v>4268559.8359690392</v>
      </c>
      <c r="AA27" s="19">
        <f t="shared" si="12"/>
        <v>4305513.6597429691</v>
      </c>
      <c r="AB27" s="19">
        <f t="shared" si="13"/>
        <v>4336447.0162281683</v>
      </c>
    </row>
    <row r="28" spans="1:28" x14ac:dyDescent="0.3">
      <c r="A28" s="7" t="s">
        <v>51</v>
      </c>
      <c r="B28" s="7" t="s">
        <v>32</v>
      </c>
      <c r="C28" s="11">
        <f>'Model Inputs'!C53</f>
        <v>0</v>
      </c>
      <c r="D28" s="11">
        <f>'Model Inputs'!D53</f>
        <v>0</v>
      </c>
      <c r="E28" s="11">
        <f>'Model Inputs'!E53</f>
        <v>0</v>
      </c>
      <c r="F28" s="11">
        <f>'Model Inputs'!F53</f>
        <v>0</v>
      </c>
      <c r="G28" s="11">
        <f>'Model Inputs'!G53</f>
        <v>0</v>
      </c>
      <c r="H28" s="11">
        <f>'Model Inputs'!H53</f>
        <v>0</v>
      </c>
      <c r="I28" s="11">
        <f>'Model Inputs'!I53</f>
        <v>0</v>
      </c>
      <c r="J28" s="11">
        <f>'Model Inputs'!J53</f>
        <v>0</v>
      </c>
      <c r="K28" s="11">
        <f>'Model Inputs'!K53</f>
        <v>0</v>
      </c>
      <c r="L28" s="11">
        <f>'Model Inputs'!L53</f>
        <v>0</v>
      </c>
      <c r="M28" s="11">
        <f>'Model Inputs'!M53</f>
        <v>0</v>
      </c>
      <c r="N28" s="11">
        <f>'Model Inputs'!N53</f>
        <v>0</v>
      </c>
      <c r="O28" s="11">
        <f>'Model Inputs'!O53</f>
        <v>0</v>
      </c>
      <c r="P28" s="11">
        <f>'Model Inputs'!P53</f>
        <v>0</v>
      </c>
      <c r="Q28" s="11">
        <f>'Model Inputs'!Q53</f>
        <v>0</v>
      </c>
      <c r="R28" s="11">
        <f>'Model Inputs'!R53</f>
        <v>0</v>
      </c>
      <c r="S28" s="11">
        <f>'Model Inputs'!S53</f>
        <v>0</v>
      </c>
      <c r="T28" s="11">
        <f>'Model Inputs'!T53</f>
        <v>0</v>
      </c>
      <c r="U28" s="11">
        <f>'Model Inputs'!U53</f>
        <v>0</v>
      </c>
      <c r="V28" s="11">
        <f>'Model Inputs'!V53</f>
        <v>0</v>
      </c>
      <c r="W28" s="11">
        <f>'Model Inputs'!W53</f>
        <v>0</v>
      </c>
      <c r="X28" s="11">
        <f t="shared" si="9"/>
        <v>0</v>
      </c>
      <c r="Y28" s="11">
        <f t="shared" si="10"/>
        <v>0</v>
      </c>
      <c r="Z28" s="11">
        <f t="shared" si="11"/>
        <v>0</v>
      </c>
      <c r="AA28" s="11">
        <f t="shared" si="12"/>
        <v>0</v>
      </c>
      <c r="AB28" s="11">
        <f t="shared" si="13"/>
        <v>0</v>
      </c>
    </row>
    <row r="29" spans="1:28" x14ac:dyDescent="0.3">
      <c r="A29" s="7" t="s">
        <v>52</v>
      </c>
      <c r="B29" s="7" t="s">
        <v>32</v>
      </c>
      <c r="C29" s="11">
        <f>'Model Inputs'!C50</f>
        <v>0</v>
      </c>
      <c r="D29" s="11">
        <f>'Model Inputs'!D50</f>
        <v>0</v>
      </c>
      <c r="E29" s="11">
        <f>'Model Inputs'!E50</f>
        <v>0</v>
      </c>
      <c r="F29" s="11">
        <f>'Model Inputs'!F50</f>
        <v>0</v>
      </c>
      <c r="G29" s="11">
        <f>'Model Inputs'!G50</f>
        <v>0</v>
      </c>
      <c r="H29" s="11">
        <f>'Model Inputs'!H50</f>
        <v>0</v>
      </c>
      <c r="I29" s="11">
        <f>'Model Inputs'!I50</f>
        <v>0</v>
      </c>
      <c r="J29" s="11">
        <f>'Model Inputs'!J50</f>
        <v>0</v>
      </c>
      <c r="K29" s="11">
        <f>'Model Inputs'!K50</f>
        <v>0</v>
      </c>
      <c r="L29" s="11">
        <f>'Model Inputs'!L50</f>
        <v>0</v>
      </c>
      <c r="M29" s="11">
        <f>'Model Inputs'!M50</f>
        <v>0</v>
      </c>
      <c r="N29" s="11">
        <f>'Model Inputs'!N50</f>
        <v>0</v>
      </c>
      <c r="O29" s="11">
        <f>'Model Inputs'!O50</f>
        <v>0</v>
      </c>
      <c r="P29" s="11">
        <f>'Model Inputs'!P50</f>
        <v>0</v>
      </c>
      <c r="Q29" s="11">
        <f>'Model Inputs'!Q50</f>
        <v>0</v>
      </c>
      <c r="R29" s="11">
        <f>'Model Inputs'!R50</f>
        <v>0</v>
      </c>
      <c r="S29" s="11">
        <f>'Model Inputs'!S50</f>
        <v>0</v>
      </c>
      <c r="T29" s="11">
        <f>'Model Inputs'!T50</f>
        <v>0</v>
      </c>
      <c r="U29" s="11">
        <f>'Model Inputs'!U50</f>
        <v>0</v>
      </c>
      <c r="V29" s="11">
        <f>'Model Inputs'!V50</f>
        <v>0</v>
      </c>
      <c r="W29" s="11">
        <f>'Model Inputs'!W50</f>
        <v>0</v>
      </c>
      <c r="X29" s="11">
        <f t="shared" si="9"/>
        <v>0</v>
      </c>
      <c r="Y29" s="11">
        <f t="shared" si="10"/>
        <v>0</v>
      </c>
      <c r="Z29" s="11">
        <f t="shared" si="11"/>
        <v>0</v>
      </c>
      <c r="AA29" s="11">
        <f t="shared" si="12"/>
        <v>0</v>
      </c>
      <c r="AB29" s="11">
        <f t="shared" si="13"/>
        <v>0</v>
      </c>
    </row>
    <row r="30" spans="1:28" x14ac:dyDescent="0.3">
      <c r="A30" s="7" t="s">
        <v>53</v>
      </c>
      <c r="B30" s="7" t="s">
        <v>32</v>
      </c>
      <c r="C30" s="11">
        <f>'Model Inputs'!C54</f>
        <v>0</v>
      </c>
      <c r="D30" s="11">
        <f>'Model Inputs'!D54</f>
        <v>0</v>
      </c>
      <c r="E30" s="11">
        <f>'Model Inputs'!E54</f>
        <v>0</v>
      </c>
      <c r="F30" s="11">
        <f>'Model Inputs'!F54</f>
        <v>0</v>
      </c>
      <c r="G30" s="11">
        <f>'Model Inputs'!G54</f>
        <v>0</v>
      </c>
      <c r="H30" s="11">
        <f>'Model Inputs'!H54</f>
        <v>0</v>
      </c>
      <c r="I30" s="11">
        <f>'Model Inputs'!I54</f>
        <v>0</v>
      </c>
      <c r="J30" s="11">
        <f>'Model Inputs'!J54</f>
        <v>0</v>
      </c>
      <c r="K30" s="11">
        <f>'Model Inputs'!K54</f>
        <v>0</v>
      </c>
      <c r="L30" s="11">
        <f>'Model Inputs'!L54</f>
        <v>0</v>
      </c>
      <c r="M30" s="11">
        <f>'Model Inputs'!M54</f>
        <v>0</v>
      </c>
      <c r="N30" s="11">
        <f>'Model Inputs'!N54</f>
        <v>0</v>
      </c>
      <c r="O30" s="11">
        <f>'Model Inputs'!O54</f>
        <v>0</v>
      </c>
      <c r="P30" s="11">
        <f>'Model Inputs'!P54</f>
        <v>0</v>
      </c>
      <c r="Q30" s="11">
        <f>'Model Inputs'!Q54</f>
        <v>0</v>
      </c>
      <c r="R30" s="11">
        <f>'Model Inputs'!R54</f>
        <v>0</v>
      </c>
      <c r="S30" s="11">
        <f>'Model Inputs'!S54</f>
        <v>0</v>
      </c>
      <c r="T30" s="11">
        <f>'Model Inputs'!T54</f>
        <v>0</v>
      </c>
      <c r="U30" s="11">
        <f>'Model Inputs'!U54</f>
        <v>0</v>
      </c>
      <c r="V30" s="11">
        <f>'Model Inputs'!V54</f>
        <v>0</v>
      </c>
      <c r="W30" s="11">
        <f>'Model Inputs'!W54</f>
        <v>0</v>
      </c>
      <c r="X30" s="11">
        <f t="shared" si="9"/>
        <v>0</v>
      </c>
      <c r="Y30" s="11">
        <f t="shared" si="10"/>
        <v>0</v>
      </c>
      <c r="Z30" s="11">
        <f t="shared" si="11"/>
        <v>0</v>
      </c>
      <c r="AA30" s="11">
        <f t="shared" si="12"/>
        <v>0</v>
      </c>
      <c r="AB30" s="11">
        <f t="shared" si="13"/>
        <v>0</v>
      </c>
    </row>
    <row r="31" spans="1:28" x14ac:dyDescent="0.3">
      <c r="A31" s="18" t="s">
        <v>54</v>
      </c>
      <c r="B31" s="18" t="s">
        <v>32</v>
      </c>
      <c r="C31" s="19">
        <f t="shared" ref="C31:W31" si="15">C27+C28+C29</f>
        <v>0</v>
      </c>
      <c r="D31" s="19">
        <f t="shared" si="15"/>
        <v>3240250.8040251741</v>
      </c>
      <c r="E31" s="19">
        <f t="shared" si="15"/>
        <v>3409176.3212237461</v>
      </c>
      <c r="F31" s="19">
        <f t="shared" si="15"/>
        <v>3630109.4840824138</v>
      </c>
      <c r="G31" s="19">
        <f t="shared" si="15"/>
        <v>3880748.9611247079</v>
      </c>
      <c r="H31" s="19">
        <f t="shared" si="15"/>
        <v>4121822.6742594428</v>
      </c>
      <c r="I31" s="19">
        <f t="shared" si="15"/>
        <v>4143192.2711839285</v>
      </c>
      <c r="J31" s="19">
        <f t="shared" si="15"/>
        <v>4173526.5927701346</v>
      </c>
      <c r="K31" s="19">
        <f t="shared" si="15"/>
        <v>4194027.0098693725</v>
      </c>
      <c r="L31" s="19">
        <f t="shared" si="15"/>
        <v>4212304.3096010173</v>
      </c>
      <c r="M31" s="19">
        <f t="shared" si="15"/>
        <v>4231645.9664791739</v>
      </c>
      <c r="N31" s="19">
        <f t="shared" si="15"/>
        <v>4270628.9551289771</v>
      </c>
      <c r="O31" s="19">
        <f t="shared" si="15"/>
        <v>4268559.8359690392</v>
      </c>
      <c r="P31" s="19">
        <f t="shared" si="15"/>
        <v>4274393.1389562916</v>
      </c>
      <c r="Q31" s="19">
        <f t="shared" si="15"/>
        <v>4281668.4672180312</v>
      </c>
      <c r="R31" s="19">
        <f t="shared" si="15"/>
        <v>4309502.7435333598</v>
      </c>
      <c r="S31" s="19">
        <f t="shared" si="15"/>
        <v>4305513.6597429691</v>
      </c>
      <c r="T31" s="19">
        <f t="shared" si="15"/>
        <v>4309670.1035973672</v>
      </c>
      <c r="U31" s="19">
        <f t="shared" si="15"/>
        <v>4315383.1551170405</v>
      </c>
      <c r="V31" s="19">
        <f t="shared" si="15"/>
        <v>4342415.8141765734</v>
      </c>
      <c r="W31" s="19">
        <f t="shared" si="15"/>
        <v>4336447.0162281683</v>
      </c>
      <c r="X31" s="19">
        <f t="shared" si="9"/>
        <v>3880748.9611247079</v>
      </c>
      <c r="Y31" s="19">
        <f t="shared" si="10"/>
        <v>4194027.0098693725</v>
      </c>
      <c r="Z31" s="19">
        <f t="shared" si="11"/>
        <v>4268559.8359690392</v>
      </c>
      <c r="AA31" s="19">
        <f t="shared" si="12"/>
        <v>4305513.6597429691</v>
      </c>
      <c r="AB31" s="19">
        <f t="shared" si="13"/>
        <v>4336447.0162281683</v>
      </c>
    </row>
    <row r="32" spans="1:28" x14ac:dyDescent="0.3">
      <c r="A32" s="7" t="s">
        <v>55</v>
      </c>
      <c r="B32" s="7" t="s">
        <v>32</v>
      </c>
      <c r="C32" s="11">
        <f>'Model Inputs'!C39</f>
        <v>0</v>
      </c>
      <c r="D32" s="11">
        <f>('Model Inputs'!D27/D6)*SUM(D11:D15)</f>
        <v>423692.44565217389</v>
      </c>
      <c r="E32" s="11">
        <f>('Model Inputs'!E27/E6)*SUM(E11:E15)</f>
        <v>421292.65434782614</v>
      </c>
      <c r="F32" s="11">
        <f>('Model Inputs'!F27/F6)*SUM(F11:F15)</f>
        <v>428046.0733333333</v>
      </c>
      <c r="G32" s="11">
        <f>('Model Inputs'!G27/G6)*SUM(G11:G15)</f>
        <v>420606.58681318682</v>
      </c>
      <c r="H32" s="11">
        <f>('Model Inputs'!H27/H6)*SUM(H11:H15)</f>
        <v>416973.77119565225</v>
      </c>
      <c r="I32" s="11">
        <f>('Model Inputs'!I27/I6)*SUM(I11:I15)</f>
        <v>413954.15380434785</v>
      </c>
      <c r="J32" s="11">
        <f>('Model Inputs'!J27/J6)*SUM(J11:J15)</f>
        <v>415288.89395604393</v>
      </c>
      <c r="K32" s="11">
        <f>('Model Inputs'!K27/K6)*SUM(K11:K15)</f>
        <v>411911.38186813192</v>
      </c>
      <c r="L32" s="11">
        <f>('Model Inputs'!L27/L6)*SUM(L11:L15)</f>
        <v>407844.73532608693</v>
      </c>
      <c r="M32" s="11">
        <f>('Model Inputs'!M27/M6)*SUM(M11:M15)</f>
        <v>404175.23967391311</v>
      </c>
      <c r="N32" s="11">
        <f>('Model Inputs'!N27/N6)*SUM(N11:N15)</f>
        <v>409234.9916666667</v>
      </c>
      <c r="O32" s="11">
        <f>('Model Inputs'!O27/O6)*SUM(O11:O15)</f>
        <v>403038.04305788374</v>
      </c>
      <c r="P32" s="11">
        <f>('Model Inputs'!P27/P6)*SUM(P11:P15)</f>
        <v>400942.70244457101</v>
      </c>
      <c r="Q32" s="11">
        <f>('Model Inputs'!Q27/Q6)*SUM(Q11:Q15)</f>
        <v>399129.92045710119</v>
      </c>
      <c r="R32" s="11">
        <f>('Model Inputs'!R27/R6)*SUM(R11:R15)</f>
        <v>406078.76829778642</v>
      </c>
      <c r="S32" s="11">
        <f>('Model Inputs'!S27/S6)*SUM(S11:S15)</f>
        <v>399648.73591112182</v>
      </c>
      <c r="T32" s="11">
        <f>('Model Inputs'!T27/T6)*SUM(T11:T15)</f>
        <v>397444.52121455054</v>
      </c>
      <c r="U32" s="11">
        <f>('Model Inputs'!U27/U6)*SUM(U11:U15)</f>
        <v>395362.75991175743</v>
      </c>
      <c r="V32" s="11">
        <f>('Model Inputs'!V27/V6)*SUM(V11:V15)</f>
        <v>401950.81306391174</v>
      </c>
      <c r="W32" s="11">
        <f>('Model Inputs'!W27/W6)*SUM(W11:W15)</f>
        <v>395290.04010989011</v>
      </c>
      <c r="X32" s="11">
        <f t="shared" si="9"/>
        <v>420606.58681318682</v>
      </c>
      <c r="Y32" s="11">
        <f t="shared" si="10"/>
        <v>411911.38186813192</v>
      </c>
      <c r="Z32" s="11">
        <f t="shared" si="11"/>
        <v>403038.04305788374</v>
      </c>
      <c r="AA32" s="11">
        <f t="shared" si="12"/>
        <v>399648.73591112182</v>
      </c>
      <c r="AB32" s="11">
        <f t="shared" si="13"/>
        <v>395290.04010989011</v>
      </c>
    </row>
    <row r="33" spans="1:28" x14ac:dyDescent="0.3">
      <c r="A33" s="7" t="s">
        <v>56</v>
      </c>
      <c r="B33" s="7" t="s">
        <v>32</v>
      </c>
      <c r="C33" s="11">
        <f>'Model Inputs'!C40</f>
        <v>0</v>
      </c>
      <c r="D33" s="11">
        <f>SUM('Debt Schedule'!E10:H10)</f>
        <v>0</v>
      </c>
      <c r="E33" s="11">
        <f>SUM('Debt Schedule'!F10:I10)</f>
        <v>0</v>
      </c>
      <c r="F33" s="11">
        <f>SUM('Debt Schedule'!G10:J10)</f>
        <v>0</v>
      </c>
      <c r="G33" s="11">
        <f>SUM('Debt Schedule'!H10:K10)</f>
        <v>0</v>
      </c>
      <c r="H33" s="11">
        <f>SUM('Debt Schedule'!I10:L10)</f>
        <v>0</v>
      </c>
      <c r="I33" s="11">
        <f>SUM('Debt Schedule'!J10:M10)</f>
        <v>0</v>
      </c>
      <c r="J33" s="11">
        <f>SUM('Debt Schedule'!K10:N10)</f>
        <v>0</v>
      </c>
      <c r="K33" s="11">
        <f>SUM('Debt Schedule'!L10:O10)</f>
        <v>0</v>
      </c>
      <c r="L33" s="11">
        <f>SUM('Debt Schedule'!M10:P10)</f>
        <v>0</v>
      </c>
      <c r="M33" s="11">
        <f>SUM('Debt Schedule'!N10:Q10)</f>
        <v>0</v>
      </c>
      <c r="N33" s="11">
        <f>SUM('Debt Schedule'!O10:R10)</f>
        <v>0</v>
      </c>
      <c r="O33" s="11">
        <f>SUM('Debt Schedule'!P10:S10)</f>
        <v>0</v>
      </c>
      <c r="P33" s="11">
        <f>SUM('Debt Schedule'!Q10:T10)</f>
        <v>0</v>
      </c>
      <c r="Q33" s="11">
        <f>SUM('Debt Schedule'!R10:U10)</f>
        <v>0</v>
      </c>
      <c r="R33" s="11">
        <f>SUM('Debt Schedule'!S10:V10)</f>
        <v>0</v>
      </c>
      <c r="S33" s="11">
        <f>SUM('Debt Schedule'!T10:W10)</f>
        <v>0</v>
      </c>
      <c r="T33" s="11">
        <f>SUM('Debt Schedule'!U10:W10)</f>
        <v>0</v>
      </c>
      <c r="U33" s="11">
        <f>SUM('Debt Schedule'!V10:W10)</f>
        <v>0</v>
      </c>
      <c r="V33" s="11">
        <f>SUM('Debt Schedule'!W10:W10)</f>
        <v>0</v>
      </c>
      <c r="W33" s="11">
        <f>0</f>
        <v>0</v>
      </c>
      <c r="X33" s="11">
        <f t="shared" si="9"/>
        <v>0</v>
      </c>
      <c r="Y33" s="11">
        <f t="shared" si="10"/>
        <v>0</v>
      </c>
      <c r="Z33" s="11">
        <f t="shared" si="11"/>
        <v>0</v>
      </c>
      <c r="AA33" s="11">
        <f t="shared" si="12"/>
        <v>0</v>
      </c>
      <c r="AB33" s="11">
        <f t="shared" si="13"/>
        <v>0</v>
      </c>
    </row>
    <row r="34" spans="1:28" x14ac:dyDescent="0.3">
      <c r="A34" s="7" t="s">
        <v>57</v>
      </c>
      <c r="B34" s="7" t="s">
        <v>32</v>
      </c>
      <c r="C34" s="11">
        <f>0</f>
        <v>0</v>
      </c>
      <c r="D34" s="11">
        <f>'Model Inputs'!D29*D8</f>
        <v>243000</v>
      </c>
      <c r="E34" s="11">
        <f>'Model Inputs'!E29*E8</f>
        <v>246432</v>
      </c>
      <c r="F34" s="11">
        <f>'Model Inputs'!F29*F8</f>
        <v>249888</v>
      </c>
      <c r="G34" s="11">
        <f>'Model Inputs'!G29*G8</f>
        <v>253368</v>
      </c>
      <c r="H34" s="11">
        <f>'Model Inputs'!H29*H8</f>
        <v>256872</v>
      </c>
      <c r="I34" s="11">
        <f>'Model Inputs'!I29*I8</f>
        <v>260400</v>
      </c>
      <c r="J34" s="11">
        <f>'Model Inputs'!J29*J8</f>
        <v>263952</v>
      </c>
      <c r="K34" s="11">
        <f>'Model Inputs'!K29*K8</f>
        <v>267528</v>
      </c>
      <c r="L34" s="11">
        <f>'Model Inputs'!L29*L8</f>
        <v>271128</v>
      </c>
      <c r="M34" s="11">
        <f>'Model Inputs'!M29*M8</f>
        <v>274752</v>
      </c>
      <c r="N34" s="11">
        <f>'Model Inputs'!N29*N8</f>
        <v>278400</v>
      </c>
      <c r="O34" s="11">
        <f>'Model Inputs'!O29*O8</f>
        <v>281019.10485807364</v>
      </c>
      <c r="P34" s="11">
        <f>'Model Inputs'!P29*P8</f>
        <v>283650.40911762958</v>
      </c>
      <c r="Q34" s="11">
        <f>'Model Inputs'!Q29*Q8</f>
        <v>286293.21665066638</v>
      </c>
      <c r="R34" s="11">
        <f>'Model Inputs'!R29*R8</f>
        <v>288948.22623051837</v>
      </c>
      <c r="S34" s="11">
        <f>'Model Inputs'!S29*S8</f>
        <v>291614.73643851845</v>
      </c>
      <c r="T34" s="11">
        <f>'Model Inputs'!T29*T8</f>
        <v>294293.45133866643</v>
      </c>
      <c r="U34" s="11">
        <f>'Model Inputs'!U29*U8</f>
        <v>296983.66422162968</v>
      </c>
      <c r="V34" s="11">
        <f>'Model Inputs'!V29*V8</f>
        <v>299686.0844420736</v>
      </c>
      <c r="W34" s="11">
        <f>'Model Inputs'!W29*W8</f>
        <v>302400</v>
      </c>
      <c r="X34" s="11">
        <f t="shared" si="9"/>
        <v>253368</v>
      </c>
      <c r="Y34" s="11">
        <f t="shared" si="10"/>
        <v>267528</v>
      </c>
      <c r="Z34" s="11">
        <f t="shared" si="11"/>
        <v>281019.10485807364</v>
      </c>
      <c r="AA34" s="11">
        <f t="shared" si="12"/>
        <v>291614.73643851845</v>
      </c>
      <c r="AB34" s="11">
        <f t="shared" si="13"/>
        <v>302400</v>
      </c>
    </row>
    <row r="35" spans="1:28" x14ac:dyDescent="0.3">
      <c r="A35" s="18" t="s">
        <v>58</v>
      </c>
      <c r="B35" s="18" t="s">
        <v>32</v>
      </c>
      <c r="C35" s="19">
        <f t="shared" ref="C35:W35" si="16">SUM(C32:C34)</f>
        <v>0</v>
      </c>
      <c r="D35" s="19">
        <f t="shared" si="16"/>
        <v>666692.44565217383</v>
      </c>
      <c r="E35" s="19">
        <f t="shared" si="16"/>
        <v>667724.65434782614</v>
      </c>
      <c r="F35" s="19">
        <f t="shared" si="16"/>
        <v>677934.07333333325</v>
      </c>
      <c r="G35" s="19">
        <f t="shared" si="16"/>
        <v>673974.58681318676</v>
      </c>
      <c r="H35" s="19">
        <f t="shared" si="16"/>
        <v>673845.7711956522</v>
      </c>
      <c r="I35" s="19">
        <f t="shared" si="16"/>
        <v>674354.15380434785</v>
      </c>
      <c r="J35" s="19">
        <f t="shared" si="16"/>
        <v>679240.89395604399</v>
      </c>
      <c r="K35" s="19">
        <f t="shared" si="16"/>
        <v>679439.38186813192</v>
      </c>
      <c r="L35" s="19">
        <f t="shared" si="16"/>
        <v>678972.73532608687</v>
      </c>
      <c r="M35" s="19">
        <f t="shared" si="16"/>
        <v>678927.23967391311</v>
      </c>
      <c r="N35" s="19">
        <f t="shared" si="16"/>
        <v>687634.9916666667</v>
      </c>
      <c r="O35" s="19">
        <f t="shared" si="16"/>
        <v>684057.14791595738</v>
      </c>
      <c r="P35" s="19">
        <f t="shared" si="16"/>
        <v>684593.11156220059</v>
      </c>
      <c r="Q35" s="19">
        <f t="shared" si="16"/>
        <v>685423.13710776763</v>
      </c>
      <c r="R35" s="19">
        <f t="shared" si="16"/>
        <v>695026.99452830479</v>
      </c>
      <c r="S35" s="19">
        <f t="shared" si="16"/>
        <v>691263.47234964021</v>
      </c>
      <c r="T35" s="19">
        <f t="shared" si="16"/>
        <v>691737.97255321697</v>
      </c>
      <c r="U35" s="19">
        <f t="shared" si="16"/>
        <v>692346.42413338716</v>
      </c>
      <c r="V35" s="19">
        <f t="shared" si="16"/>
        <v>701636.89750598534</v>
      </c>
      <c r="W35" s="19">
        <f t="shared" si="16"/>
        <v>697690.04010989005</v>
      </c>
      <c r="X35" s="19">
        <f t="shared" si="9"/>
        <v>673974.58681318676</v>
      </c>
      <c r="Y35" s="19">
        <f t="shared" si="10"/>
        <v>679439.38186813192</v>
      </c>
      <c r="Z35" s="19">
        <f t="shared" si="11"/>
        <v>684057.14791595738</v>
      </c>
      <c r="AA35" s="19">
        <f t="shared" si="12"/>
        <v>691263.47234964021</v>
      </c>
      <c r="AB35" s="19">
        <f t="shared" si="13"/>
        <v>697690.04010989005</v>
      </c>
    </row>
    <row r="36" spans="1:28" x14ac:dyDescent="0.3">
      <c r="A36" s="7" t="s">
        <v>59</v>
      </c>
      <c r="B36" s="7" t="s">
        <v>32</v>
      </c>
      <c r="C36" s="11">
        <f>MAX(0,'Model Inputs'!C41-C33)</f>
        <v>0</v>
      </c>
      <c r="D36" s="11">
        <f>MAX(0,'Model Inputs'!D44-D33)</f>
        <v>0</v>
      </c>
      <c r="E36" s="11">
        <f>MAX(0,'Model Inputs'!E44-E33)</f>
        <v>0</v>
      </c>
      <c r="F36" s="11">
        <f>MAX(0,'Model Inputs'!F44-F33)</f>
        <v>0</v>
      </c>
      <c r="G36" s="11">
        <f>MAX(0,'Model Inputs'!G44-G33)</f>
        <v>0</v>
      </c>
      <c r="H36" s="11">
        <f>MAX(0,'Model Inputs'!H44-H33)</f>
        <v>0</v>
      </c>
      <c r="I36" s="11">
        <f>MAX(0,'Model Inputs'!I44-I33)</f>
        <v>0</v>
      </c>
      <c r="J36" s="11">
        <f>MAX(0,'Model Inputs'!J44-J33)</f>
        <v>0</v>
      </c>
      <c r="K36" s="11">
        <f>MAX(0,'Model Inputs'!K44-K33)</f>
        <v>0</v>
      </c>
      <c r="L36" s="11">
        <f>MAX(0,'Model Inputs'!L44-L33)</f>
        <v>0</v>
      </c>
      <c r="M36" s="11">
        <f>MAX(0,'Model Inputs'!M44-M33)</f>
        <v>0</v>
      </c>
      <c r="N36" s="11">
        <f>MAX(0,'Model Inputs'!N44-N33)</f>
        <v>0</v>
      </c>
      <c r="O36" s="11">
        <f>MAX(0,'Model Inputs'!O44-O33)</f>
        <v>0</v>
      </c>
      <c r="P36" s="11">
        <f>MAX(0,'Model Inputs'!P44-P33)</f>
        <v>0</v>
      </c>
      <c r="Q36" s="11">
        <f>MAX(0,'Model Inputs'!Q44-Q33)</f>
        <v>0</v>
      </c>
      <c r="R36" s="11">
        <f>MAX(0,'Model Inputs'!R44-R33)</f>
        <v>0</v>
      </c>
      <c r="S36" s="11">
        <f>MAX(0,'Model Inputs'!S44-S33)</f>
        <v>0</v>
      </c>
      <c r="T36" s="11">
        <f>MAX(0,'Model Inputs'!T44-T33)</f>
        <v>0</v>
      </c>
      <c r="U36" s="11">
        <f>MAX(0,'Model Inputs'!U44-U33)</f>
        <v>0</v>
      </c>
      <c r="V36" s="11">
        <f>MAX(0,'Model Inputs'!V44-V33)</f>
        <v>0</v>
      </c>
      <c r="W36" s="11">
        <f>MAX(0,'Model Inputs'!W44-W33)</f>
        <v>0</v>
      </c>
      <c r="X36" s="11">
        <f t="shared" si="9"/>
        <v>0</v>
      </c>
      <c r="Y36" s="11">
        <f t="shared" si="10"/>
        <v>0</v>
      </c>
      <c r="Z36" s="11">
        <f t="shared" si="11"/>
        <v>0</v>
      </c>
      <c r="AA36" s="11">
        <f t="shared" si="12"/>
        <v>0</v>
      </c>
      <c r="AB36" s="11">
        <f t="shared" si="13"/>
        <v>0</v>
      </c>
    </row>
    <row r="37" spans="1:28" x14ac:dyDescent="0.3">
      <c r="A37" s="7" t="s">
        <v>60</v>
      </c>
      <c r="B37" s="7" t="s">
        <v>32</v>
      </c>
      <c r="C37" s="11">
        <f>'Model Inputs'!C49</f>
        <v>0</v>
      </c>
      <c r="D37" s="11">
        <f>'Model Inputs'!D49</f>
        <v>0</v>
      </c>
      <c r="E37" s="11">
        <f>'Model Inputs'!E49</f>
        <v>0</v>
      </c>
      <c r="F37" s="11">
        <f>'Model Inputs'!F49</f>
        <v>0</v>
      </c>
      <c r="G37" s="11">
        <f>'Model Inputs'!G49</f>
        <v>0</v>
      </c>
      <c r="H37" s="11">
        <f>'Model Inputs'!H49</f>
        <v>0</v>
      </c>
      <c r="I37" s="11">
        <f>'Model Inputs'!I49</f>
        <v>0</v>
      </c>
      <c r="J37" s="11">
        <f>'Model Inputs'!J49</f>
        <v>0</v>
      </c>
      <c r="K37" s="11">
        <f>'Model Inputs'!K49</f>
        <v>0</v>
      </c>
      <c r="L37" s="11">
        <f>'Model Inputs'!L49</f>
        <v>0</v>
      </c>
      <c r="M37" s="11">
        <f>'Model Inputs'!M49</f>
        <v>0</v>
      </c>
      <c r="N37" s="11">
        <f>'Model Inputs'!N49</f>
        <v>0</v>
      </c>
      <c r="O37" s="11">
        <f>'Model Inputs'!O49</f>
        <v>0</v>
      </c>
      <c r="P37" s="11">
        <f>'Model Inputs'!P49</f>
        <v>0</v>
      </c>
      <c r="Q37" s="11">
        <f>'Model Inputs'!Q49</f>
        <v>0</v>
      </c>
      <c r="R37" s="11">
        <f>'Model Inputs'!R49</f>
        <v>0</v>
      </c>
      <c r="S37" s="11">
        <f>'Model Inputs'!S49</f>
        <v>0</v>
      </c>
      <c r="T37" s="11">
        <f>'Model Inputs'!T49</f>
        <v>0</v>
      </c>
      <c r="U37" s="11">
        <f>'Model Inputs'!U49</f>
        <v>0</v>
      </c>
      <c r="V37" s="11">
        <f>'Model Inputs'!V49</f>
        <v>0</v>
      </c>
      <c r="W37" s="11">
        <f>'Model Inputs'!W49</f>
        <v>0</v>
      </c>
      <c r="X37" s="11">
        <f t="shared" si="9"/>
        <v>0</v>
      </c>
      <c r="Y37" s="11">
        <f t="shared" si="10"/>
        <v>0</v>
      </c>
      <c r="Z37" s="11">
        <f t="shared" si="11"/>
        <v>0</v>
      </c>
      <c r="AA37" s="11">
        <f t="shared" si="12"/>
        <v>0</v>
      </c>
      <c r="AB37" s="11">
        <f t="shared" si="13"/>
        <v>0</v>
      </c>
    </row>
    <row r="38" spans="1:28" x14ac:dyDescent="0.3">
      <c r="A38" s="18" t="s">
        <v>61</v>
      </c>
      <c r="B38" s="18" t="s">
        <v>32</v>
      </c>
      <c r="C38" s="19">
        <f t="shared" ref="C38:W38" si="17">C35+C36+C37</f>
        <v>0</v>
      </c>
      <c r="D38" s="19">
        <f t="shared" si="17"/>
        <v>666692.44565217383</v>
      </c>
      <c r="E38" s="19">
        <f t="shared" si="17"/>
        <v>667724.65434782614</v>
      </c>
      <c r="F38" s="19">
        <f t="shared" si="17"/>
        <v>677934.07333333325</v>
      </c>
      <c r="G38" s="19">
        <f t="shared" si="17"/>
        <v>673974.58681318676</v>
      </c>
      <c r="H38" s="19">
        <f t="shared" si="17"/>
        <v>673845.7711956522</v>
      </c>
      <c r="I38" s="19">
        <f t="shared" si="17"/>
        <v>674354.15380434785</v>
      </c>
      <c r="J38" s="19">
        <f t="shared" si="17"/>
        <v>679240.89395604399</v>
      </c>
      <c r="K38" s="19">
        <f t="shared" si="17"/>
        <v>679439.38186813192</v>
      </c>
      <c r="L38" s="19">
        <f t="shared" si="17"/>
        <v>678972.73532608687</v>
      </c>
      <c r="M38" s="19">
        <f t="shared" si="17"/>
        <v>678927.23967391311</v>
      </c>
      <c r="N38" s="19">
        <f t="shared" si="17"/>
        <v>687634.9916666667</v>
      </c>
      <c r="O38" s="19">
        <f t="shared" si="17"/>
        <v>684057.14791595738</v>
      </c>
      <c r="P38" s="19">
        <f t="shared" si="17"/>
        <v>684593.11156220059</v>
      </c>
      <c r="Q38" s="19">
        <f t="shared" si="17"/>
        <v>685423.13710776763</v>
      </c>
      <c r="R38" s="19">
        <f t="shared" si="17"/>
        <v>695026.99452830479</v>
      </c>
      <c r="S38" s="19">
        <f t="shared" si="17"/>
        <v>691263.47234964021</v>
      </c>
      <c r="T38" s="19">
        <f t="shared" si="17"/>
        <v>691737.97255321697</v>
      </c>
      <c r="U38" s="19">
        <f t="shared" si="17"/>
        <v>692346.42413338716</v>
      </c>
      <c r="V38" s="19">
        <f t="shared" si="17"/>
        <v>701636.89750598534</v>
      </c>
      <c r="W38" s="19">
        <f t="shared" si="17"/>
        <v>697690.04010989005</v>
      </c>
      <c r="X38" s="19">
        <f t="shared" si="9"/>
        <v>673974.58681318676</v>
      </c>
      <c r="Y38" s="19">
        <f t="shared" si="10"/>
        <v>679439.38186813192</v>
      </c>
      <c r="Z38" s="19">
        <f t="shared" si="11"/>
        <v>684057.14791595738</v>
      </c>
      <c r="AA38" s="19">
        <f t="shared" si="12"/>
        <v>691263.47234964021</v>
      </c>
      <c r="AB38" s="19">
        <f t="shared" si="13"/>
        <v>697690.04010989005</v>
      </c>
    </row>
    <row r="39" spans="1:28" x14ac:dyDescent="0.3">
      <c r="A39" s="7" t="s">
        <v>62</v>
      </c>
      <c r="B39" s="7" t="s">
        <v>32</v>
      </c>
      <c r="C39" s="11">
        <f>'Model Inputs'!C31</f>
        <v>0</v>
      </c>
      <c r="D39" s="11">
        <f>'Model Inputs'!D31</f>
        <v>2447461</v>
      </c>
      <c r="E39" s="11">
        <f>'Model Inputs'!E31</f>
        <v>2447461</v>
      </c>
      <c r="F39" s="11">
        <f>'Model Inputs'!F31</f>
        <v>2447461</v>
      </c>
      <c r="G39" s="11">
        <f>'Model Inputs'!G31</f>
        <v>2447461</v>
      </c>
      <c r="H39" s="11">
        <f>'Model Inputs'!H31</f>
        <v>2447461</v>
      </c>
      <c r="I39" s="11">
        <f>'Model Inputs'!I31</f>
        <v>2447461</v>
      </c>
      <c r="J39" s="11">
        <f>'Model Inputs'!J31</f>
        <v>2447461</v>
      </c>
      <c r="K39" s="11">
        <f>'Model Inputs'!K31</f>
        <v>2447461</v>
      </c>
      <c r="L39" s="11">
        <f>'Model Inputs'!L31</f>
        <v>2447461</v>
      </c>
      <c r="M39" s="11">
        <f>'Model Inputs'!M31</f>
        <v>2447461</v>
      </c>
      <c r="N39" s="11">
        <f>'Model Inputs'!N31</f>
        <v>2447461</v>
      </c>
      <c r="O39" s="11">
        <f>'Model Inputs'!O31</f>
        <v>2447461</v>
      </c>
      <c r="P39" s="11">
        <f>'Model Inputs'!P31</f>
        <v>2447461</v>
      </c>
      <c r="Q39" s="11">
        <f>'Model Inputs'!Q31</f>
        <v>2447461</v>
      </c>
      <c r="R39" s="11">
        <f>'Model Inputs'!R31</f>
        <v>2447461</v>
      </c>
      <c r="S39" s="11">
        <f>'Model Inputs'!S31</f>
        <v>2447461</v>
      </c>
      <c r="T39" s="11">
        <f>'Model Inputs'!T31</f>
        <v>2447461</v>
      </c>
      <c r="U39" s="11">
        <f>'Model Inputs'!U31</f>
        <v>2447461</v>
      </c>
      <c r="V39" s="11">
        <f>'Model Inputs'!V31</f>
        <v>2447461</v>
      </c>
      <c r="W39" s="11">
        <f>'Model Inputs'!W31</f>
        <v>2447461</v>
      </c>
      <c r="X39" s="11">
        <f t="shared" si="9"/>
        <v>2447461</v>
      </c>
      <c r="Y39" s="11">
        <f t="shared" si="10"/>
        <v>2447461</v>
      </c>
      <c r="Z39" s="11">
        <f t="shared" si="11"/>
        <v>2447461</v>
      </c>
      <c r="AA39" s="11">
        <f t="shared" si="12"/>
        <v>2447461</v>
      </c>
      <c r="AB39" s="11">
        <f t="shared" si="13"/>
        <v>2447461</v>
      </c>
    </row>
    <row r="40" spans="1:28" x14ac:dyDescent="0.3">
      <c r="A40" s="7" t="s">
        <v>63</v>
      </c>
      <c r="B40" s="7" t="s">
        <v>32</v>
      </c>
      <c r="C40" s="11">
        <f>C31-C38-C39-C41</f>
        <v>0</v>
      </c>
      <c r="D40" s="11">
        <f>C40+D20-'Model Inputs'!D33</f>
        <v>126097.358373</v>
      </c>
      <c r="E40" s="11">
        <f>D40+E20-'Model Inputs'!E33</f>
        <v>293990.66687591968</v>
      </c>
      <c r="F40" s="11">
        <f>E40+F20-'Model Inputs'!F33</f>
        <v>504714.41074907978</v>
      </c>
      <c r="G40" s="11">
        <f>F40+G20-'Model Inputs'!G33</f>
        <v>759313.37431152002</v>
      </c>
      <c r="H40" s="11">
        <f>G40+H20-'Model Inputs'!H33</f>
        <v>1000515.9030637902</v>
      </c>
      <c r="I40" s="11">
        <f>H40+I20-'Model Inputs'!I33</f>
        <v>1021377.1173795802</v>
      </c>
      <c r="J40" s="11">
        <f>I40+J20-'Model Inputs'!J33</f>
        <v>1046824.6988140903</v>
      </c>
      <c r="K40" s="11">
        <f>J40+K20-'Model Inputs'!K33</f>
        <v>1067126.6280012401</v>
      </c>
      <c r="L40" s="11">
        <f>K40+L20-'Model Inputs'!L33</f>
        <v>1085870.5742749304</v>
      </c>
      <c r="M40" s="11">
        <f>L40+M20-'Model Inputs'!M33</f>
        <v>1105257.7268052602</v>
      </c>
      <c r="N40" s="11">
        <f>M40+N20-'Model Inputs'!N33</f>
        <v>1135532.9634623101</v>
      </c>
      <c r="O40" s="11">
        <f>N40+O20-'Model Inputs'!O33</f>
        <v>1137041.6880530813</v>
      </c>
      <c r="P40" s="11">
        <f>O40+P20-'Model Inputs'!P33</f>
        <v>1142339.0273940908</v>
      </c>
      <c r="Q40" s="11">
        <f>P40+Q20-'Model Inputs'!Q33</f>
        <v>1148784.3301102633</v>
      </c>
      <c r="R40" s="11">
        <f>Q40+R20-'Model Inputs'!R33</f>
        <v>1167014.7490050537</v>
      </c>
      <c r="S40" s="11">
        <f>R40+S20-'Model Inputs'!S33</f>
        <v>1166789.1873933277</v>
      </c>
      <c r="T40" s="11">
        <f>S40+T20-'Model Inputs'!T33</f>
        <v>1170471.1310441503</v>
      </c>
      <c r="U40" s="11">
        <f>T40+U20-'Model Inputs'!U33</f>
        <v>1175575.7309836533</v>
      </c>
      <c r="V40" s="11">
        <f>U40+V20-'Model Inputs'!V33</f>
        <v>1193317.9166705874</v>
      </c>
      <c r="W40" s="11">
        <f>V40+W20-'Model Inputs'!W33</f>
        <v>1191295.9761182773</v>
      </c>
      <c r="X40" s="11">
        <f t="shared" si="9"/>
        <v>759313.37431152002</v>
      </c>
      <c r="Y40" s="11">
        <f t="shared" si="10"/>
        <v>1067126.6280012401</v>
      </c>
      <c r="Z40" s="11">
        <f t="shared" si="11"/>
        <v>1137041.6880530813</v>
      </c>
      <c r="AA40" s="11">
        <f t="shared" si="12"/>
        <v>1166789.1873933277</v>
      </c>
      <c r="AB40" s="11">
        <f t="shared" si="13"/>
        <v>1191295.9761182773</v>
      </c>
    </row>
    <row r="41" spans="1:28" x14ac:dyDescent="0.3">
      <c r="A41" s="7" t="s">
        <v>64</v>
      </c>
      <c r="B41" s="7" t="s">
        <v>32</v>
      </c>
      <c r="C41" s="11">
        <f>'Model Inputs'!C32</f>
        <v>0</v>
      </c>
      <c r="D41" s="11">
        <f>'Model Inputs'!D32</f>
        <v>0</v>
      </c>
      <c r="E41" s="11">
        <f>'Model Inputs'!E32</f>
        <v>0</v>
      </c>
      <c r="F41" s="11">
        <f>'Model Inputs'!F32</f>
        <v>0</v>
      </c>
      <c r="G41" s="11">
        <f>'Model Inputs'!G32</f>
        <v>0</v>
      </c>
      <c r="H41" s="11">
        <f>'Model Inputs'!H32</f>
        <v>0</v>
      </c>
      <c r="I41" s="11">
        <f>'Model Inputs'!I32</f>
        <v>0</v>
      </c>
      <c r="J41" s="11">
        <f>'Model Inputs'!J32</f>
        <v>0</v>
      </c>
      <c r="K41" s="11">
        <f>'Model Inputs'!K32</f>
        <v>0</v>
      </c>
      <c r="L41" s="11">
        <f>'Model Inputs'!L32</f>
        <v>0</v>
      </c>
      <c r="M41" s="11">
        <f>'Model Inputs'!M32</f>
        <v>0</v>
      </c>
      <c r="N41" s="11">
        <f>'Model Inputs'!N32</f>
        <v>0</v>
      </c>
      <c r="O41" s="11">
        <f>'Model Inputs'!O32</f>
        <v>0</v>
      </c>
      <c r="P41" s="11">
        <f>'Model Inputs'!P32</f>
        <v>0</v>
      </c>
      <c r="Q41" s="11">
        <f>'Model Inputs'!Q32</f>
        <v>0</v>
      </c>
      <c r="R41" s="11">
        <f>'Model Inputs'!R32</f>
        <v>0</v>
      </c>
      <c r="S41" s="11">
        <f>'Model Inputs'!S32</f>
        <v>0</v>
      </c>
      <c r="T41" s="11">
        <f>'Model Inputs'!T32</f>
        <v>0</v>
      </c>
      <c r="U41" s="11">
        <f>'Model Inputs'!U32</f>
        <v>0</v>
      </c>
      <c r="V41" s="11">
        <f>'Model Inputs'!V32</f>
        <v>0</v>
      </c>
      <c r="W41" s="11">
        <f>'Model Inputs'!W32</f>
        <v>0</v>
      </c>
      <c r="X41" s="11">
        <f t="shared" si="9"/>
        <v>0</v>
      </c>
      <c r="Y41" s="11">
        <f t="shared" si="10"/>
        <v>0</v>
      </c>
      <c r="Z41" s="11">
        <f t="shared" si="11"/>
        <v>0</v>
      </c>
      <c r="AA41" s="11">
        <f t="shared" si="12"/>
        <v>0</v>
      </c>
      <c r="AB41" s="11">
        <f t="shared" si="13"/>
        <v>0</v>
      </c>
    </row>
    <row r="42" spans="1:28" x14ac:dyDescent="0.3">
      <c r="A42" s="18" t="s">
        <v>65</v>
      </c>
      <c r="B42" s="18" t="s">
        <v>32</v>
      </c>
      <c r="C42" s="19">
        <f t="shared" ref="C42:W42" si="18">C39+C40+C41</f>
        <v>0</v>
      </c>
      <c r="D42" s="19">
        <f t="shared" si="18"/>
        <v>2573558.3583729998</v>
      </c>
      <c r="E42" s="19">
        <f t="shared" si="18"/>
        <v>2741451.6668759198</v>
      </c>
      <c r="F42" s="19">
        <f t="shared" si="18"/>
        <v>2952175.4107490797</v>
      </c>
      <c r="G42" s="19">
        <f t="shared" si="18"/>
        <v>3206774.3743115198</v>
      </c>
      <c r="H42" s="19">
        <f t="shared" si="18"/>
        <v>3447976.9030637899</v>
      </c>
      <c r="I42" s="19">
        <f t="shared" si="18"/>
        <v>3468838.1173795802</v>
      </c>
      <c r="J42" s="19">
        <f t="shared" si="18"/>
        <v>3494285.6988140903</v>
      </c>
      <c r="K42" s="19">
        <f t="shared" si="18"/>
        <v>3514587.6280012401</v>
      </c>
      <c r="L42" s="19">
        <f t="shared" si="18"/>
        <v>3533331.5742749302</v>
      </c>
      <c r="M42" s="19">
        <f t="shared" si="18"/>
        <v>3552718.7268052604</v>
      </c>
      <c r="N42" s="19">
        <f t="shared" si="18"/>
        <v>3582993.9634623099</v>
      </c>
      <c r="O42" s="19">
        <f t="shared" si="18"/>
        <v>3584502.6880530813</v>
      </c>
      <c r="P42" s="19">
        <f t="shared" si="18"/>
        <v>3589800.0273940908</v>
      </c>
      <c r="Q42" s="19">
        <f t="shared" si="18"/>
        <v>3596245.3301102631</v>
      </c>
      <c r="R42" s="19">
        <f t="shared" si="18"/>
        <v>3614475.7490050537</v>
      </c>
      <c r="S42" s="19">
        <f t="shared" si="18"/>
        <v>3614250.1873933277</v>
      </c>
      <c r="T42" s="19">
        <f t="shared" si="18"/>
        <v>3617932.1310441503</v>
      </c>
      <c r="U42" s="19">
        <f t="shared" si="18"/>
        <v>3623036.7309836531</v>
      </c>
      <c r="V42" s="19">
        <f t="shared" si="18"/>
        <v>3640778.9166705874</v>
      </c>
      <c r="W42" s="19">
        <f t="shared" si="18"/>
        <v>3638756.9761182773</v>
      </c>
      <c r="X42" s="19">
        <f t="shared" si="9"/>
        <v>3206774.3743115198</v>
      </c>
      <c r="Y42" s="19">
        <f t="shared" si="10"/>
        <v>3514587.6280012401</v>
      </c>
      <c r="Z42" s="19">
        <f t="shared" si="11"/>
        <v>3584502.6880530813</v>
      </c>
      <c r="AA42" s="19">
        <f t="shared" si="12"/>
        <v>3614250.1873933277</v>
      </c>
      <c r="AB42" s="19">
        <f t="shared" si="13"/>
        <v>3638756.9761182773</v>
      </c>
    </row>
    <row r="43" spans="1:28" x14ac:dyDescent="0.3">
      <c r="A43" s="18" t="s">
        <v>66</v>
      </c>
      <c r="B43" s="18" t="s">
        <v>32</v>
      </c>
      <c r="C43" s="19">
        <f t="shared" ref="C43:W43" si="19">C38+C42</f>
        <v>0</v>
      </c>
      <c r="D43" s="19">
        <f t="shared" si="19"/>
        <v>3240250.8040251737</v>
      </c>
      <c r="E43" s="19">
        <f t="shared" si="19"/>
        <v>3409176.3212237461</v>
      </c>
      <c r="F43" s="19">
        <f t="shared" si="19"/>
        <v>3630109.4840824129</v>
      </c>
      <c r="G43" s="19">
        <f t="shared" si="19"/>
        <v>3880748.9611247065</v>
      </c>
      <c r="H43" s="19">
        <f t="shared" si="19"/>
        <v>4121822.6742594419</v>
      </c>
      <c r="I43" s="19">
        <f t="shared" si="19"/>
        <v>4143192.271183928</v>
      </c>
      <c r="J43" s="19">
        <f t="shared" si="19"/>
        <v>4173526.5927701341</v>
      </c>
      <c r="K43" s="19">
        <f t="shared" si="19"/>
        <v>4194027.009869372</v>
      </c>
      <c r="L43" s="19">
        <f t="shared" si="19"/>
        <v>4212304.3096010173</v>
      </c>
      <c r="M43" s="19">
        <f t="shared" si="19"/>
        <v>4231645.9664791739</v>
      </c>
      <c r="N43" s="19">
        <f t="shared" si="19"/>
        <v>4270628.9551289771</v>
      </c>
      <c r="O43" s="19">
        <f t="shared" si="19"/>
        <v>4268559.8359690383</v>
      </c>
      <c r="P43" s="19">
        <f t="shared" si="19"/>
        <v>4274393.1389562916</v>
      </c>
      <c r="Q43" s="19">
        <f t="shared" si="19"/>
        <v>4281668.4672180302</v>
      </c>
      <c r="R43" s="19">
        <f t="shared" si="19"/>
        <v>4309502.743533358</v>
      </c>
      <c r="S43" s="19">
        <f t="shared" si="19"/>
        <v>4305513.6597429682</v>
      </c>
      <c r="T43" s="19">
        <f t="shared" si="19"/>
        <v>4309670.1035973672</v>
      </c>
      <c r="U43" s="19">
        <f t="shared" si="19"/>
        <v>4315383.1551170405</v>
      </c>
      <c r="V43" s="19">
        <f t="shared" si="19"/>
        <v>4342415.8141765725</v>
      </c>
      <c r="W43" s="19">
        <f t="shared" si="19"/>
        <v>4336447.0162281673</v>
      </c>
      <c r="X43" s="19">
        <f t="shared" si="9"/>
        <v>3880748.9611247065</v>
      </c>
      <c r="Y43" s="19">
        <f t="shared" si="10"/>
        <v>4194027.009869372</v>
      </c>
      <c r="Z43" s="19">
        <f t="shared" si="11"/>
        <v>4268559.8359690383</v>
      </c>
      <c r="AA43" s="19">
        <f t="shared" si="12"/>
        <v>4305513.6597429682</v>
      </c>
      <c r="AB43" s="19">
        <f t="shared" si="13"/>
        <v>4336447.0162281673</v>
      </c>
    </row>
    <row r="45" spans="1:28" x14ac:dyDescent="0.3">
      <c r="A45" s="51" t="s">
        <v>67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</row>
    <row r="46" spans="1:28" x14ac:dyDescent="0.3">
      <c r="A46" s="7" t="s">
        <v>68</v>
      </c>
      <c r="B46" s="7" t="s">
        <v>32</v>
      </c>
      <c r="C46" s="11">
        <f>'Model Inputs'!C36</f>
        <v>0</v>
      </c>
      <c r="D46" s="11">
        <f t="shared" ref="D46:W46" si="20">C61</f>
        <v>0</v>
      </c>
      <c r="E46" s="11">
        <f t="shared" si="20"/>
        <v>2350659.499677348</v>
      </c>
      <c r="F46" s="11">
        <f t="shared" si="20"/>
        <v>2507020.9125280939</v>
      </c>
      <c r="G46" s="11">
        <f t="shared" si="20"/>
        <v>2697194.2840824137</v>
      </c>
      <c r="H46" s="11">
        <f t="shared" si="20"/>
        <v>2944122.6402455866</v>
      </c>
      <c r="I46" s="11">
        <f t="shared" si="20"/>
        <v>3181447.7873029211</v>
      </c>
      <c r="J46" s="11">
        <f t="shared" si="20"/>
        <v>3189901.8364013196</v>
      </c>
      <c r="K46" s="11">
        <f t="shared" si="20"/>
        <v>3197774.3641987061</v>
      </c>
      <c r="L46" s="11">
        <f t="shared" si="20"/>
        <v>3205055.3703089328</v>
      </c>
      <c r="M46" s="11">
        <f t="shared" si="20"/>
        <v>3219740.0661227568</v>
      </c>
      <c r="N46" s="11">
        <f t="shared" si="20"/>
        <v>3225814.7316965647</v>
      </c>
      <c r="O46" s="11">
        <f t="shared" si="20"/>
        <v>3231268.9551289771</v>
      </c>
      <c r="P46" s="11">
        <f t="shared" si="20"/>
        <v>3229715.584603589</v>
      </c>
      <c r="Q46" s="11">
        <f t="shared" si="20"/>
        <v>3235985.9890561001</v>
      </c>
      <c r="R46" s="11">
        <f t="shared" si="20"/>
        <v>3233586.3436534181</v>
      </c>
      <c r="S46" s="11">
        <f t="shared" si="20"/>
        <v>3230762.698939424</v>
      </c>
      <c r="T46" s="11">
        <f t="shared" si="20"/>
        <v>3227500.5021834346</v>
      </c>
      <c r="U46" s="11">
        <f t="shared" si="20"/>
        <v>3232300.1643488584</v>
      </c>
      <c r="V46" s="11">
        <f t="shared" si="20"/>
        <v>3228164.6974013359</v>
      </c>
      <c r="W46" s="11">
        <f t="shared" si="20"/>
        <v>3223587.7655928321</v>
      </c>
      <c r="X46" s="11">
        <f t="shared" ref="X46:X61" si="21">SUM(D46:G46)</f>
        <v>7554874.6962878555</v>
      </c>
      <c r="Y46" s="11">
        <f t="shared" ref="Y46:Y61" si="22">SUM(H46:K46)</f>
        <v>12513246.628148533</v>
      </c>
      <c r="Z46" s="11">
        <f t="shared" ref="Z46:Z61" si="23">SUM(L46:O46)</f>
        <v>12881879.123257231</v>
      </c>
      <c r="AA46" s="11">
        <f t="shared" ref="AA46:AA61" si="24">SUM(P46:S46)</f>
        <v>12930050.61625253</v>
      </c>
      <c r="AB46" s="11">
        <f t="shared" ref="AB46:AB61" si="25">SUM(T46:W46)</f>
        <v>12911553.129526461</v>
      </c>
    </row>
    <row r="47" spans="1:28" x14ac:dyDescent="0.3">
      <c r="A47" s="18" t="s">
        <v>44</v>
      </c>
      <c r="B47" s="18" t="s">
        <v>32</v>
      </c>
      <c r="C47" s="19">
        <f>0</f>
        <v>0</v>
      </c>
      <c r="D47" s="19">
        <f t="shared" ref="D47:W47" si="26">D20</f>
        <v>126097.358373</v>
      </c>
      <c r="E47" s="19">
        <f t="shared" si="26"/>
        <v>167893.30850291968</v>
      </c>
      <c r="F47" s="19">
        <f t="shared" si="26"/>
        <v>210723.7438731601</v>
      </c>
      <c r="G47" s="19">
        <f t="shared" si="26"/>
        <v>254598.9635624403</v>
      </c>
      <c r="H47" s="19">
        <f t="shared" si="26"/>
        <v>290266.5287522701</v>
      </c>
      <c r="I47" s="19">
        <f t="shared" si="26"/>
        <v>336262.21431578998</v>
      </c>
      <c r="J47" s="19">
        <f t="shared" si="26"/>
        <v>383333.58143451012</v>
      </c>
      <c r="K47" s="19">
        <f t="shared" si="26"/>
        <v>431490.92918714962</v>
      </c>
      <c r="L47" s="19">
        <f t="shared" si="26"/>
        <v>471203.94627369032</v>
      </c>
      <c r="M47" s="19">
        <f t="shared" si="26"/>
        <v>521564.15253032977</v>
      </c>
      <c r="N47" s="19">
        <f t="shared" si="26"/>
        <v>573041.23665704997</v>
      </c>
      <c r="O47" s="19">
        <f t="shared" si="26"/>
        <v>616521.72459077125</v>
      </c>
      <c r="P47" s="19">
        <f t="shared" si="26"/>
        <v>650867.3393410095</v>
      </c>
      <c r="Q47" s="19">
        <f t="shared" si="26"/>
        <v>695732.30271617253</v>
      </c>
      <c r="R47" s="19">
        <f t="shared" si="26"/>
        <v>741297.41889479023</v>
      </c>
      <c r="S47" s="19">
        <f t="shared" si="26"/>
        <v>787564.43838827405</v>
      </c>
      <c r="T47" s="19">
        <f t="shared" si="26"/>
        <v>824418.9436508225</v>
      </c>
      <c r="U47" s="19">
        <f t="shared" si="26"/>
        <v>872105.59993950301</v>
      </c>
      <c r="V47" s="19">
        <f t="shared" si="26"/>
        <v>920510.18568693404</v>
      </c>
      <c r="W47" s="19">
        <f t="shared" si="26"/>
        <v>969634.05944768991</v>
      </c>
      <c r="X47" s="19">
        <f t="shared" si="21"/>
        <v>759313.37431152002</v>
      </c>
      <c r="Y47" s="19">
        <f t="shared" si="22"/>
        <v>1441353.2536897198</v>
      </c>
      <c r="Z47" s="19">
        <f t="shared" si="23"/>
        <v>2182331.0600518412</v>
      </c>
      <c r="AA47" s="19">
        <f t="shared" si="24"/>
        <v>2875461.4993402464</v>
      </c>
      <c r="AB47" s="19">
        <f t="shared" si="25"/>
        <v>3586668.7887249496</v>
      </c>
    </row>
    <row r="48" spans="1:28" x14ac:dyDescent="0.3">
      <c r="A48" s="7" t="s">
        <v>42</v>
      </c>
      <c r="B48" s="7" t="s">
        <v>32</v>
      </c>
      <c r="C48" s="11">
        <f>0</f>
        <v>0</v>
      </c>
      <c r="D48" s="11">
        <f t="shared" ref="D48:W48" si="27">D18</f>
        <v>0</v>
      </c>
      <c r="E48" s="11">
        <f t="shared" si="27"/>
        <v>0</v>
      </c>
      <c r="F48" s="11">
        <f t="shared" si="27"/>
        <v>0</v>
      </c>
      <c r="G48" s="11">
        <f t="shared" si="27"/>
        <v>0</v>
      </c>
      <c r="H48" s="11">
        <f t="shared" si="27"/>
        <v>0</v>
      </c>
      <c r="I48" s="11">
        <f t="shared" si="27"/>
        <v>0</v>
      </c>
      <c r="J48" s="11">
        <f t="shared" si="27"/>
        <v>0</v>
      </c>
      <c r="K48" s="11">
        <f t="shared" si="27"/>
        <v>0</v>
      </c>
      <c r="L48" s="11">
        <f t="shared" si="27"/>
        <v>0</v>
      </c>
      <c r="M48" s="11">
        <f t="shared" si="27"/>
        <v>0</v>
      </c>
      <c r="N48" s="11">
        <f t="shared" si="27"/>
        <v>0</v>
      </c>
      <c r="O48" s="11">
        <f t="shared" si="27"/>
        <v>0</v>
      </c>
      <c r="P48" s="11">
        <f t="shared" si="27"/>
        <v>0</v>
      </c>
      <c r="Q48" s="11">
        <f t="shared" si="27"/>
        <v>0</v>
      </c>
      <c r="R48" s="11">
        <f t="shared" si="27"/>
        <v>0</v>
      </c>
      <c r="S48" s="11">
        <f t="shared" si="27"/>
        <v>0</v>
      </c>
      <c r="T48" s="11">
        <f t="shared" si="27"/>
        <v>0</v>
      </c>
      <c r="U48" s="11">
        <f t="shared" si="27"/>
        <v>0</v>
      </c>
      <c r="V48" s="11">
        <f t="shared" si="27"/>
        <v>0</v>
      </c>
      <c r="W48" s="11">
        <f t="shared" si="27"/>
        <v>0</v>
      </c>
      <c r="X48" s="11">
        <f t="shared" si="21"/>
        <v>0</v>
      </c>
      <c r="Y48" s="11">
        <f t="shared" si="22"/>
        <v>0</v>
      </c>
      <c r="Z48" s="11">
        <f t="shared" si="23"/>
        <v>0</v>
      </c>
      <c r="AA48" s="11">
        <f t="shared" si="24"/>
        <v>0</v>
      </c>
      <c r="AB48" s="11">
        <f t="shared" si="25"/>
        <v>0</v>
      </c>
    </row>
    <row r="49" spans="1:28" x14ac:dyDescent="0.3">
      <c r="A49" s="7" t="s">
        <v>69</v>
      </c>
      <c r="B49" s="7" t="s">
        <v>32</v>
      </c>
      <c r="C49" s="11">
        <f>0</f>
        <v>0</v>
      </c>
      <c r="D49" s="11">
        <f t="shared" ref="D49:W49" si="28">-((D24+D25+D26)-(C24+C25+C26))</f>
        <v>-889591.30434782605</v>
      </c>
      <c r="E49" s="11">
        <f t="shared" si="28"/>
        <v>-12564.104347826215</v>
      </c>
      <c r="F49" s="11">
        <f t="shared" si="28"/>
        <v>-30759.791304347687</v>
      </c>
      <c r="G49" s="11">
        <f t="shared" si="28"/>
        <v>-3711.1208791208919</v>
      </c>
      <c r="H49" s="11">
        <f t="shared" si="28"/>
        <v>-3748.5660774009302</v>
      </c>
      <c r="I49" s="11">
        <f t="shared" si="28"/>
        <v>-12915.547826086986</v>
      </c>
      <c r="J49" s="11">
        <f t="shared" si="28"/>
        <v>-22461.793788819807</v>
      </c>
      <c r="K49" s="11">
        <f t="shared" si="28"/>
        <v>-13219.410989010939</v>
      </c>
      <c r="L49" s="11">
        <f t="shared" si="28"/>
        <v>-3592.6039178213105</v>
      </c>
      <c r="M49" s="11">
        <f t="shared" si="28"/>
        <v>-13266.99130434799</v>
      </c>
      <c r="N49" s="11">
        <f t="shared" si="28"/>
        <v>-33528.765217391192</v>
      </c>
      <c r="O49" s="11">
        <f t="shared" si="28"/>
        <v>515.74863454978913</v>
      </c>
      <c r="P49" s="11">
        <f t="shared" si="28"/>
        <v>437.10146525851451</v>
      </c>
      <c r="Q49" s="11">
        <f t="shared" si="28"/>
        <v>-9674.973664421821</v>
      </c>
      <c r="R49" s="11">
        <f t="shared" si="28"/>
        <v>-30657.921029321617</v>
      </c>
      <c r="S49" s="11">
        <f t="shared" si="28"/>
        <v>726.88703440106474</v>
      </c>
      <c r="T49" s="11">
        <f t="shared" si="28"/>
        <v>643.21831102482975</v>
      </c>
      <c r="U49" s="11">
        <f t="shared" si="28"/>
        <v>-9848.5184671957977</v>
      </c>
      <c r="V49" s="11">
        <f t="shared" si="28"/>
        <v>-31609.590868036263</v>
      </c>
      <c r="W49" s="11">
        <f t="shared" si="28"/>
        <v>944.97166066430509</v>
      </c>
      <c r="X49" s="11">
        <f t="shared" si="21"/>
        <v>-936626.32087912085</v>
      </c>
      <c r="Y49" s="11">
        <f t="shared" si="22"/>
        <v>-52345.318681318662</v>
      </c>
      <c r="Z49" s="11">
        <f t="shared" si="23"/>
        <v>-49872.611805010703</v>
      </c>
      <c r="AA49" s="11">
        <f t="shared" si="24"/>
        <v>-39168.906194083858</v>
      </c>
      <c r="AB49" s="11">
        <f t="shared" si="25"/>
        <v>-39869.919363542926</v>
      </c>
    </row>
    <row r="50" spans="1:28" x14ac:dyDescent="0.3">
      <c r="A50" s="7" t="s">
        <v>70</v>
      </c>
      <c r="B50" s="7" t="s">
        <v>32</v>
      </c>
      <c r="C50" s="11">
        <f>0</f>
        <v>0</v>
      </c>
      <c r="D50" s="11">
        <f t="shared" ref="D50:W50" si="29">(D32+D34)-(C32+C34)</f>
        <v>666692.44565217383</v>
      </c>
      <c r="E50" s="11">
        <f t="shared" si="29"/>
        <v>1032.2086956523126</v>
      </c>
      <c r="F50" s="11">
        <f t="shared" si="29"/>
        <v>10209.418985507102</v>
      </c>
      <c r="G50" s="11">
        <f t="shared" si="29"/>
        <v>-3959.4865201464854</v>
      </c>
      <c r="H50" s="11">
        <f t="shared" si="29"/>
        <v>-128.81561753456481</v>
      </c>
      <c r="I50" s="11">
        <f t="shared" si="29"/>
        <v>508.3826086956542</v>
      </c>
      <c r="J50" s="11">
        <f t="shared" si="29"/>
        <v>4886.7401516961399</v>
      </c>
      <c r="K50" s="11">
        <f t="shared" si="29"/>
        <v>198.48791208793409</v>
      </c>
      <c r="L50" s="11">
        <f t="shared" si="29"/>
        <v>-466.64654204505496</v>
      </c>
      <c r="M50" s="11">
        <f t="shared" si="29"/>
        <v>-45.49565217376221</v>
      </c>
      <c r="N50" s="11">
        <f t="shared" si="29"/>
        <v>8707.7519927535905</v>
      </c>
      <c r="O50" s="11">
        <f t="shared" si="29"/>
        <v>-3577.8437507093186</v>
      </c>
      <c r="P50" s="11">
        <f t="shared" si="29"/>
        <v>535.96364624320995</v>
      </c>
      <c r="Q50" s="11">
        <f t="shared" si="29"/>
        <v>830.02554556704126</v>
      </c>
      <c r="R50" s="11">
        <f t="shared" si="29"/>
        <v>9603.8574205371551</v>
      </c>
      <c r="S50" s="11">
        <f t="shared" si="29"/>
        <v>-3763.5221786645707</v>
      </c>
      <c r="T50" s="11">
        <f t="shared" si="29"/>
        <v>474.50020357675385</v>
      </c>
      <c r="U50" s="11">
        <f t="shared" si="29"/>
        <v>608.45158017019276</v>
      </c>
      <c r="V50" s="11">
        <f t="shared" si="29"/>
        <v>9290.4733725981787</v>
      </c>
      <c r="W50" s="11">
        <f t="shared" si="29"/>
        <v>-3946.8573960952926</v>
      </c>
      <c r="X50" s="11">
        <f t="shared" si="21"/>
        <v>673974.58681318676</v>
      </c>
      <c r="Y50" s="11">
        <f t="shared" si="22"/>
        <v>5464.7950549451634</v>
      </c>
      <c r="Z50" s="11">
        <f t="shared" si="23"/>
        <v>4617.7660478254547</v>
      </c>
      <c r="AA50" s="11">
        <f t="shared" si="24"/>
        <v>7206.3244336828357</v>
      </c>
      <c r="AB50" s="11">
        <f t="shared" si="25"/>
        <v>6426.5677602498326</v>
      </c>
    </row>
    <row r="51" spans="1:28" x14ac:dyDescent="0.3">
      <c r="A51" s="18" t="s">
        <v>71</v>
      </c>
      <c r="B51" s="18" t="s">
        <v>32</v>
      </c>
      <c r="C51" s="19">
        <f>0</f>
        <v>0</v>
      </c>
      <c r="D51" s="19">
        <f t="shared" ref="D51:W51" si="30">SUM(D47:D50)</f>
        <v>-96801.500322652282</v>
      </c>
      <c r="E51" s="19">
        <f t="shared" si="30"/>
        <v>156361.41285074578</v>
      </c>
      <c r="F51" s="19">
        <f t="shared" si="30"/>
        <v>190173.37155431951</v>
      </c>
      <c r="G51" s="19">
        <f t="shared" si="30"/>
        <v>246928.35616317292</v>
      </c>
      <c r="H51" s="19">
        <f t="shared" si="30"/>
        <v>286389.1470573346</v>
      </c>
      <c r="I51" s="19">
        <f t="shared" si="30"/>
        <v>323855.04909839865</v>
      </c>
      <c r="J51" s="19">
        <f t="shared" si="30"/>
        <v>365758.52779738646</v>
      </c>
      <c r="K51" s="19">
        <f t="shared" si="30"/>
        <v>418470.00611022662</v>
      </c>
      <c r="L51" s="19">
        <f t="shared" si="30"/>
        <v>467144.69581382396</v>
      </c>
      <c r="M51" s="19">
        <f t="shared" si="30"/>
        <v>508251.66557380802</v>
      </c>
      <c r="N51" s="19">
        <f t="shared" si="30"/>
        <v>548220.22343241237</v>
      </c>
      <c r="O51" s="19">
        <f t="shared" si="30"/>
        <v>613459.62947461172</v>
      </c>
      <c r="P51" s="19">
        <f t="shared" si="30"/>
        <v>651840.40445251123</v>
      </c>
      <c r="Q51" s="19">
        <f t="shared" si="30"/>
        <v>686887.35459731775</v>
      </c>
      <c r="R51" s="19">
        <f t="shared" si="30"/>
        <v>720243.35528600577</v>
      </c>
      <c r="S51" s="19">
        <f t="shared" si="30"/>
        <v>784527.80324401055</v>
      </c>
      <c r="T51" s="19">
        <f t="shared" si="30"/>
        <v>825536.66216542409</v>
      </c>
      <c r="U51" s="19">
        <f t="shared" si="30"/>
        <v>862865.5330524774</v>
      </c>
      <c r="V51" s="19">
        <f t="shared" si="30"/>
        <v>898191.06819149596</v>
      </c>
      <c r="W51" s="19">
        <f t="shared" si="30"/>
        <v>966632.17371225893</v>
      </c>
      <c r="X51" s="19">
        <f t="shared" si="21"/>
        <v>496661.64024558594</v>
      </c>
      <c r="Y51" s="19">
        <f t="shared" si="22"/>
        <v>1394472.7300633462</v>
      </c>
      <c r="Z51" s="19">
        <f t="shared" si="23"/>
        <v>2137076.2142946562</v>
      </c>
      <c r="AA51" s="19">
        <f t="shared" si="24"/>
        <v>2843498.9175798455</v>
      </c>
      <c r="AB51" s="19">
        <f t="shared" si="25"/>
        <v>3553225.4371216567</v>
      </c>
    </row>
    <row r="52" spans="1:28" x14ac:dyDescent="0.3">
      <c r="A52" s="7" t="s">
        <v>72</v>
      </c>
      <c r="B52" s="7" t="s">
        <v>32</v>
      </c>
      <c r="C52" s="11">
        <f>'Model Inputs'!C52</f>
        <v>0</v>
      </c>
      <c r="D52" s="11">
        <f>'Model Inputs'!D52</f>
        <v>0</v>
      </c>
      <c r="E52" s="11">
        <f>'Model Inputs'!E52</f>
        <v>0</v>
      </c>
      <c r="F52" s="11">
        <f>'Model Inputs'!F52</f>
        <v>0</v>
      </c>
      <c r="G52" s="11">
        <f>'Model Inputs'!G52</f>
        <v>0</v>
      </c>
      <c r="H52" s="11">
        <f>'Model Inputs'!H52</f>
        <v>0</v>
      </c>
      <c r="I52" s="11">
        <f>'Model Inputs'!I52</f>
        <v>0</v>
      </c>
      <c r="J52" s="11">
        <f>'Model Inputs'!J52</f>
        <v>0</v>
      </c>
      <c r="K52" s="11">
        <f>'Model Inputs'!K52</f>
        <v>0</v>
      </c>
      <c r="L52" s="11">
        <f>'Model Inputs'!L52</f>
        <v>0</v>
      </c>
      <c r="M52" s="11">
        <f>'Model Inputs'!M52</f>
        <v>0</v>
      </c>
      <c r="N52" s="11">
        <f>'Model Inputs'!N52</f>
        <v>0</v>
      </c>
      <c r="O52" s="11">
        <f>'Model Inputs'!O52</f>
        <v>0</v>
      </c>
      <c r="P52" s="11">
        <f>'Model Inputs'!P52</f>
        <v>0</v>
      </c>
      <c r="Q52" s="11">
        <f>'Model Inputs'!Q52</f>
        <v>0</v>
      </c>
      <c r="R52" s="11">
        <f>'Model Inputs'!R52</f>
        <v>0</v>
      </c>
      <c r="S52" s="11">
        <f>'Model Inputs'!S52</f>
        <v>0</v>
      </c>
      <c r="T52" s="11">
        <f>'Model Inputs'!T52</f>
        <v>0</v>
      </c>
      <c r="U52" s="11">
        <f>'Model Inputs'!U52</f>
        <v>0</v>
      </c>
      <c r="V52" s="11">
        <f>'Model Inputs'!V52</f>
        <v>0</v>
      </c>
      <c r="W52" s="11">
        <f>'Model Inputs'!W52</f>
        <v>0</v>
      </c>
      <c r="X52" s="11">
        <f t="shared" si="21"/>
        <v>0</v>
      </c>
      <c r="Y52" s="11">
        <f t="shared" si="22"/>
        <v>0</v>
      </c>
      <c r="Z52" s="11">
        <f t="shared" si="23"/>
        <v>0</v>
      </c>
      <c r="AA52" s="11">
        <f t="shared" si="24"/>
        <v>0</v>
      </c>
      <c r="AB52" s="11">
        <f t="shared" si="25"/>
        <v>0</v>
      </c>
    </row>
    <row r="53" spans="1:28" x14ac:dyDescent="0.3">
      <c r="A53" s="18" t="s">
        <v>73</v>
      </c>
      <c r="B53" s="18" t="s">
        <v>32</v>
      </c>
      <c r="C53" s="19">
        <f>0</f>
        <v>0</v>
      </c>
      <c r="D53" s="19">
        <f t="shared" ref="D53:W53" si="31">-D52</f>
        <v>0</v>
      </c>
      <c r="E53" s="19">
        <f t="shared" si="31"/>
        <v>0</v>
      </c>
      <c r="F53" s="19">
        <f t="shared" si="31"/>
        <v>0</v>
      </c>
      <c r="G53" s="19">
        <f t="shared" si="31"/>
        <v>0</v>
      </c>
      <c r="H53" s="19">
        <f t="shared" si="31"/>
        <v>0</v>
      </c>
      <c r="I53" s="19">
        <f t="shared" si="31"/>
        <v>0</v>
      </c>
      <c r="J53" s="19">
        <f t="shared" si="31"/>
        <v>0</v>
      </c>
      <c r="K53" s="19">
        <f t="shared" si="31"/>
        <v>0</v>
      </c>
      <c r="L53" s="19">
        <f t="shared" si="31"/>
        <v>0</v>
      </c>
      <c r="M53" s="19">
        <f t="shared" si="31"/>
        <v>0</v>
      </c>
      <c r="N53" s="19">
        <f t="shared" si="31"/>
        <v>0</v>
      </c>
      <c r="O53" s="19">
        <f t="shared" si="31"/>
        <v>0</v>
      </c>
      <c r="P53" s="19">
        <f t="shared" si="31"/>
        <v>0</v>
      </c>
      <c r="Q53" s="19">
        <f t="shared" si="31"/>
        <v>0</v>
      </c>
      <c r="R53" s="19">
        <f t="shared" si="31"/>
        <v>0</v>
      </c>
      <c r="S53" s="19">
        <f t="shared" si="31"/>
        <v>0</v>
      </c>
      <c r="T53" s="19">
        <f t="shared" si="31"/>
        <v>0</v>
      </c>
      <c r="U53" s="19">
        <f t="shared" si="31"/>
        <v>0</v>
      </c>
      <c r="V53" s="19">
        <f t="shared" si="31"/>
        <v>0</v>
      </c>
      <c r="W53" s="19">
        <f t="shared" si="31"/>
        <v>0</v>
      </c>
      <c r="X53" s="19">
        <f t="shared" si="21"/>
        <v>0</v>
      </c>
      <c r="Y53" s="19">
        <f t="shared" si="22"/>
        <v>0</v>
      </c>
      <c r="Z53" s="19">
        <f t="shared" si="23"/>
        <v>0</v>
      </c>
      <c r="AA53" s="19">
        <f t="shared" si="24"/>
        <v>0</v>
      </c>
      <c r="AB53" s="19">
        <f t="shared" si="25"/>
        <v>0</v>
      </c>
    </row>
    <row r="54" spans="1:28" x14ac:dyDescent="0.3">
      <c r="A54" s="7" t="s">
        <v>74</v>
      </c>
      <c r="B54" s="7" t="s">
        <v>32</v>
      </c>
      <c r="C54" s="11">
        <f>'Model Inputs'!C42</f>
        <v>0</v>
      </c>
      <c r="D54" s="11">
        <f>'Model Inputs'!D42</f>
        <v>0</v>
      </c>
      <c r="E54" s="11">
        <f>'Model Inputs'!E42</f>
        <v>0</v>
      </c>
      <c r="F54" s="11">
        <f>'Model Inputs'!F42</f>
        <v>0</v>
      </c>
      <c r="G54" s="11">
        <f>'Model Inputs'!G42</f>
        <v>0</v>
      </c>
      <c r="H54" s="11">
        <f>'Model Inputs'!H42</f>
        <v>0</v>
      </c>
      <c r="I54" s="11">
        <f>'Model Inputs'!I42</f>
        <v>0</v>
      </c>
      <c r="J54" s="11">
        <f>'Model Inputs'!J42</f>
        <v>0</v>
      </c>
      <c r="K54" s="11">
        <f>'Model Inputs'!K42</f>
        <v>0</v>
      </c>
      <c r="L54" s="11">
        <f>'Model Inputs'!L42</f>
        <v>0</v>
      </c>
      <c r="M54" s="11">
        <f>'Model Inputs'!M42</f>
        <v>0</v>
      </c>
      <c r="N54" s="11">
        <f>'Model Inputs'!N42</f>
        <v>0</v>
      </c>
      <c r="O54" s="11">
        <f>'Model Inputs'!O42</f>
        <v>0</v>
      </c>
      <c r="P54" s="11">
        <f>'Model Inputs'!P42</f>
        <v>0</v>
      </c>
      <c r="Q54" s="11">
        <f>'Model Inputs'!Q42</f>
        <v>0</v>
      </c>
      <c r="R54" s="11">
        <f>'Model Inputs'!R42</f>
        <v>0</v>
      </c>
      <c r="S54" s="11">
        <f>'Model Inputs'!S42</f>
        <v>0</v>
      </c>
      <c r="T54" s="11">
        <f>'Model Inputs'!T42</f>
        <v>0</v>
      </c>
      <c r="U54" s="11">
        <f>'Model Inputs'!U42</f>
        <v>0</v>
      </c>
      <c r="V54" s="11">
        <f>'Model Inputs'!V42</f>
        <v>0</v>
      </c>
      <c r="W54" s="11">
        <f>'Model Inputs'!W42</f>
        <v>0</v>
      </c>
      <c r="X54" s="11">
        <f t="shared" si="21"/>
        <v>0</v>
      </c>
      <c r="Y54" s="11">
        <f t="shared" si="22"/>
        <v>0</v>
      </c>
      <c r="Z54" s="11">
        <f t="shared" si="23"/>
        <v>0</v>
      </c>
      <c r="AA54" s="11">
        <f t="shared" si="24"/>
        <v>0</v>
      </c>
      <c r="AB54" s="11">
        <f t="shared" si="25"/>
        <v>0</v>
      </c>
    </row>
    <row r="55" spans="1:28" x14ac:dyDescent="0.3">
      <c r="A55" s="7" t="s">
        <v>75</v>
      </c>
      <c r="B55" s="7" t="s">
        <v>32</v>
      </c>
      <c r="C55" s="11">
        <f>'Model Inputs'!C43</f>
        <v>0</v>
      </c>
      <c r="D55" s="11">
        <f>'Model Inputs'!D43</f>
        <v>0</v>
      </c>
      <c r="E55" s="11">
        <f>'Model Inputs'!E43</f>
        <v>0</v>
      </c>
      <c r="F55" s="11">
        <f>'Model Inputs'!F43</f>
        <v>0</v>
      </c>
      <c r="G55" s="11">
        <f>'Model Inputs'!G43</f>
        <v>0</v>
      </c>
      <c r="H55" s="11">
        <f>'Model Inputs'!H43</f>
        <v>0</v>
      </c>
      <c r="I55" s="11">
        <f>'Model Inputs'!I43</f>
        <v>0</v>
      </c>
      <c r="J55" s="11">
        <f>'Model Inputs'!J43</f>
        <v>0</v>
      </c>
      <c r="K55" s="11">
        <f>'Model Inputs'!K43</f>
        <v>0</v>
      </c>
      <c r="L55" s="11">
        <f>'Model Inputs'!L43</f>
        <v>0</v>
      </c>
      <c r="M55" s="11">
        <f>'Model Inputs'!M43</f>
        <v>0</v>
      </c>
      <c r="N55" s="11">
        <f>'Model Inputs'!N43</f>
        <v>0</v>
      </c>
      <c r="O55" s="11">
        <f>'Model Inputs'!O43</f>
        <v>0</v>
      </c>
      <c r="P55" s="11">
        <f>'Model Inputs'!P43</f>
        <v>0</v>
      </c>
      <c r="Q55" s="11">
        <f>'Model Inputs'!Q43</f>
        <v>0</v>
      </c>
      <c r="R55" s="11">
        <f>'Model Inputs'!R43</f>
        <v>0</v>
      </c>
      <c r="S55" s="11">
        <f>'Model Inputs'!S43</f>
        <v>0</v>
      </c>
      <c r="T55" s="11">
        <f>'Model Inputs'!T43</f>
        <v>0</v>
      </c>
      <c r="U55" s="11">
        <f>'Model Inputs'!U43</f>
        <v>0</v>
      </c>
      <c r="V55" s="11">
        <f>'Model Inputs'!V43</f>
        <v>0</v>
      </c>
      <c r="W55" s="11">
        <f>'Model Inputs'!W43</f>
        <v>0</v>
      </c>
      <c r="X55" s="11">
        <f t="shared" si="21"/>
        <v>0</v>
      </c>
      <c r="Y55" s="11">
        <f t="shared" si="22"/>
        <v>0</v>
      </c>
      <c r="Z55" s="11">
        <f t="shared" si="23"/>
        <v>0</v>
      </c>
      <c r="AA55" s="11">
        <f t="shared" si="24"/>
        <v>0</v>
      </c>
      <c r="AB55" s="11">
        <f t="shared" si="25"/>
        <v>0</v>
      </c>
    </row>
    <row r="56" spans="1:28" x14ac:dyDescent="0.3">
      <c r="A56" s="7" t="s">
        <v>76</v>
      </c>
      <c r="B56" s="7" t="s">
        <v>32</v>
      </c>
      <c r="C56" s="11">
        <f>0</f>
        <v>0</v>
      </c>
      <c r="D56" s="11">
        <f t="shared" ref="D56:W56" si="32">(D39-C39)+(D41-C41)</f>
        <v>2447461</v>
      </c>
      <c r="E56" s="11">
        <f t="shared" si="32"/>
        <v>0</v>
      </c>
      <c r="F56" s="11">
        <f t="shared" si="32"/>
        <v>0</v>
      </c>
      <c r="G56" s="11">
        <f t="shared" si="32"/>
        <v>0</v>
      </c>
      <c r="H56" s="11">
        <f t="shared" si="32"/>
        <v>0</v>
      </c>
      <c r="I56" s="11">
        <f t="shared" si="32"/>
        <v>0</v>
      </c>
      <c r="J56" s="11">
        <f t="shared" si="32"/>
        <v>0</v>
      </c>
      <c r="K56" s="11">
        <f t="shared" si="32"/>
        <v>0</v>
      </c>
      <c r="L56" s="11">
        <f t="shared" si="32"/>
        <v>0</v>
      </c>
      <c r="M56" s="11">
        <f t="shared" si="32"/>
        <v>0</v>
      </c>
      <c r="N56" s="11">
        <f t="shared" si="32"/>
        <v>0</v>
      </c>
      <c r="O56" s="11">
        <f t="shared" si="32"/>
        <v>0</v>
      </c>
      <c r="P56" s="11">
        <f t="shared" si="32"/>
        <v>0</v>
      </c>
      <c r="Q56" s="11">
        <f t="shared" si="32"/>
        <v>0</v>
      </c>
      <c r="R56" s="11">
        <f t="shared" si="32"/>
        <v>0</v>
      </c>
      <c r="S56" s="11">
        <f t="shared" si="32"/>
        <v>0</v>
      </c>
      <c r="T56" s="11">
        <f t="shared" si="32"/>
        <v>0</v>
      </c>
      <c r="U56" s="11">
        <f t="shared" si="32"/>
        <v>0</v>
      </c>
      <c r="V56" s="11">
        <f t="shared" si="32"/>
        <v>0</v>
      </c>
      <c r="W56" s="11">
        <f t="shared" si="32"/>
        <v>0</v>
      </c>
      <c r="X56" s="11">
        <f t="shared" si="21"/>
        <v>2447461</v>
      </c>
      <c r="Y56" s="11">
        <f t="shared" si="22"/>
        <v>0</v>
      </c>
      <c r="Z56" s="11">
        <f t="shared" si="23"/>
        <v>0</v>
      </c>
      <c r="AA56" s="11">
        <f t="shared" si="24"/>
        <v>0</v>
      </c>
      <c r="AB56" s="11">
        <f t="shared" si="25"/>
        <v>0</v>
      </c>
    </row>
    <row r="57" spans="1:28" x14ac:dyDescent="0.3">
      <c r="A57" s="7" t="s">
        <v>77</v>
      </c>
      <c r="B57" s="7" t="s">
        <v>32</v>
      </c>
      <c r="C57" s="11">
        <f>'Model Inputs'!C33</f>
        <v>0</v>
      </c>
      <c r="D57" s="11">
        <f>'Model Inputs'!D33</f>
        <v>0</v>
      </c>
      <c r="E57" s="11">
        <f>'Model Inputs'!E33</f>
        <v>0</v>
      </c>
      <c r="F57" s="11">
        <f>'Model Inputs'!F33</f>
        <v>0</v>
      </c>
      <c r="G57" s="11">
        <f>'Model Inputs'!G33</f>
        <v>0</v>
      </c>
      <c r="H57" s="11">
        <f>'Model Inputs'!H33</f>
        <v>49064</v>
      </c>
      <c r="I57" s="11">
        <f>'Model Inputs'!I33</f>
        <v>315401</v>
      </c>
      <c r="J57" s="11">
        <f>'Model Inputs'!J33</f>
        <v>357886</v>
      </c>
      <c r="K57" s="11">
        <f>'Model Inputs'!K33</f>
        <v>411189</v>
      </c>
      <c r="L57" s="11">
        <f>'Model Inputs'!L33</f>
        <v>452460</v>
      </c>
      <c r="M57" s="11">
        <f>'Model Inputs'!M33</f>
        <v>502177</v>
      </c>
      <c r="N57" s="11">
        <f>'Model Inputs'!N33</f>
        <v>542766</v>
      </c>
      <c r="O57" s="11">
        <f>'Model Inputs'!O33</f>
        <v>615013</v>
      </c>
      <c r="P57" s="11">
        <f>'Model Inputs'!P33</f>
        <v>645570</v>
      </c>
      <c r="Q57" s="11">
        <f>'Model Inputs'!Q33</f>
        <v>689287</v>
      </c>
      <c r="R57" s="11">
        <f>'Model Inputs'!R33</f>
        <v>723067</v>
      </c>
      <c r="S57" s="11">
        <f>'Model Inputs'!S33</f>
        <v>787790</v>
      </c>
      <c r="T57" s="11">
        <f>'Model Inputs'!T33</f>
        <v>820737</v>
      </c>
      <c r="U57" s="11">
        <f>'Model Inputs'!U33</f>
        <v>867001</v>
      </c>
      <c r="V57" s="11">
        <f>'Model Inputs'!V33</f>
        <v>902768</v>
      </c>
      <c r="W57" s="11">
        <f>'Model Inputs'!W33</f>
        <v>971656</v>
      </c>
      <c r="X57" s="11">
        <f t="shared" si="21"/>
        <v>0</v>
      </c>
      <c r="Y57" s="11">
        <f t="shared" si="22"/>
        <v>1133540</v>
      </c>
      <c r="Z57" s="11">
        <f t="shared" si="23"/>
        <v>2112416</v>
      </c>
      <c r="AA57" s="11">
        <f t="shared" si="24"/>
        <v>2845714</v>
      </c>
      <c r="AB57" s="11">
        <f t="shared" si="25"/>
        <v>3562162</v>
      </c>
    </row>
    <row r="58" spans="1:28" x14ac:dyDescent="0.3">
      <c r="A58" s="7" t="s">
        <v>78</v>
      </c>
      <c r="B58" s="7" t="s">
        <v>32</v>
      </c>
      <c r="C58" s="11">
        <f>'Model Inputs'!C46</f>
        <v>0</v>
      </c>
      <c r="D58" s="11">
        <f>'Model Inputs'!D46</f>
        <v>0</v>
      </c>
      <c r="E58" s="11">
        <f>'Model Inputs'!E46</f>
        <v>0</v>
      </c>
      <c r="F58" s="11">
        <f>'Model Inputs'!F46</f>
        <v>0</v>
      </c>
      <c r="G58" s="11">
        <f>'Model Inputs'!G46</f>
        <v>0</v>
      </c>
      <c r="H58" s="11">
        <f>'Model Inputs'!H46</f>
        <v>0</v>
      </c>
      <c r="I58" s="11">
        <f>'Model Inputs'!I46</f>
        <v>0</v>
      </c>
      <c r="J58" s="11">
        <f>'Model Inputs'!J46</f>
        <v>0</v>
      </c>
      <c r="K58" s="11">
        <f>'Model Inputs'!K46</f>
        <v>0</v>
      </c>
      <c r="L58" s="11">
        <f>'Model Inputs'!L46</f>
        <v>0</v>
      </c>
      <c r="M58" s="11">
        <f>'Model Inputs'!M46</f>
        <v>0</v>
      </c>
      <c r="N58" s="11">
        <f>'Model Inputs'!N46</f>
        <v>0</v>
      </c>
      <c r="O58" s="11">
        <f>'Model Inputs'!O46</f>
        <v>0</v>
      </c>
      <c r="P58" s="11">
        <f>'Model Inputs'!P46</f>
        <v>0</v>
      </c>
      <c r="Q58" s="11">
        <f>'Model Inputs'!Q46</f>
        <v>0</v>
      </c>
      <c r="R58" s="11">
        <f>'Model Inputs'!R46</f>
        <v>0</v>
      </c>
      <c r="S58" s="11">
        <f>'Model Inputs'!S46</f>
        <v>0</v>
      </c>
      <c r="T58" s="11">
        <f>'Model Inputs'!T46</f>
        <v>0</v>
      </c>
      <c r="U58" s="11">
        <f>'Model Inputs'!U46</f>
        <v>0</v>
      </c>
      <c r="V58" s="11">
        <f>'Model Inputs'!V46</f>
        <v>0</v>
      </c>
      <c r="W58" s="11">
        <f>'Model Inputs'!W46</f>
        <v>0</v>
      </c>
      <c r="X58" s="11">
        <f t="shared" si="21"/>
        <v>0</v>
      </c>
      <c r="Y58" s="11">
        <f t="shared" si="22"/>
        <v>0</v>
      </c>
      <c r="Z58" s="11">
        <f t="shared" si="23"/>
        <v>0</v>
      </c>
      <c r="AA58" s="11">
        <f t="shared" si="24"/>
        <v>0</v>
      </c>
      <c r="AB58" s="11">
        <f t="shared" si="25"/>
        <v>0</v>
      </c>
    </row>
    <row r="59" spans="1:28" x14ac:dyDescent="0.3">
      <c r="A59" s="18" t="s">
        <v>79</v>
      </c>
      <c r="B59" s="18" t="s">
        <v>32</v>
      </c>
      <c r="C59" s="19">
        <f>0</f>
        <v>0</v>
      </c>
      <c r="D59" s="19">
        <f t="shared" ref="D59:W59" si="33">D54-D55+D56-D57-D58</f>
        <v>2447461</v>
      </c>
      <c r="E59" s="19">
        <f t="shared" si="33"/>
        <v>0</v>
      </c>
      <c r="F59" s="19">
        <f t="shared" si="33"/>
        <v>0</v>
      </c>
      <c r="G59" s="19">
        <f t="shared" si="33"/>
        <v>0</v>
      </c>
      <c r="H59" s="19">
        <f t="shared" si="33"/>
        <v>-49064</v>
      </c>
      <c r="I59" s="19">
        <f t="shared" si="33"/>
        <v>-315401</v>
      </c>
      <c r="J59" s="19">
        <f t="shared" si="33"/>
        <v>-357886</v>
      </c>
      <c r="K59" s="19">
        <f t="shared" si="33"/>
        <v>-411189</v>
      </c>
      <c r="L59" s="19">
        <f t="shared" si="33"/>
        <v>-452460</v>
      </c>
      <c r="M59" s="19">
        <f t="shared" si="33"/>
        <v>-502177</v>
      </c>
      <c r="N59" s="19">
        <f t="shared" si="33"/>
        <v>-542766</v>
      </c>
      <c r="O59" s="19">
        <f t="shared" si="33"/>
        <v>-615013</v>
      </c>
      <c r="P59" s="19">
        <f t="shared" si="33"/>
        <v>-645570</v>
      </c>
      <c r="Q59" s="19">
        <f t="shared" si="33"/>
        <v>-689287</v>
      </c>
      <c r="R59" s="19">
        <f t="shared" si="33"/>
        <v>-723067</v>
      </c>
      <c r="S59" s="19">
        <f t="shared" si="33"/>
        <v>-787790</v>
      </c>
      <c r="T59" s="19">
        <f t="shared" si="33"/>
        <v>-820737</v>
      </c>
      <c r="U59" s="19">
        <f t="shared" si="33"/>
        <v>-867001</v>
      </c>
      <c r="V59" s="19">
        <f t="shared" si="33"/>
        <v>-902768</v>
      </c>
      <c r="W59" s="19">
        <f t="shared" si="33"/>
        <v>-971656</v>
      </c>
      <c r="X59" s="19">
        <f t="shared" si="21"/>
        <v>2447461</v>
      </c>
      <c r="Y59" s="19">
        <f t="shared" si="22"/>
        <v>-1133540</v>
      </c>
      <c r="Z59" s="19">
        <f t="shared" si="23"/>
        <v>-2112416</v>
      </c>
      <c r="AA59" s="19">
        <f t="shared" si="24"/>
        <v>-2845714</v>
      </c>
      <c r="AB59" s="19">
        <f t="shared" si="25"/>
        <v>-3562162</v>
      </c>
    </row>
    <row r="60" spans="1:28" x14ac:dyDescent="0.3">
      <c r="A60" s="18" t="s">
        <v>80</v>
      </c>
      <c r="B60" s="18" t="s">
        <v>32</v>
      </c>
      <c r="C60" s="19">
        <f>0</f>
        <v>0</v>
      </c>
      <c r="D60" s="19">
        <f t="shared" ref="D60:W60" si="34">D51+D53+D59</f>
        <v>2350659.499677348</v>
      </c>
      <c r="E60" s="19">
        <f t="shared" si="34"/>
        <v>156361.41285074578</v>
      </c>
      <c r="F60" s="19">
        <f t="shared" si="34"/>
        <v>190173.37155431951</v>
      </c>
      <c r="G60" s="19">
        <f t="shared" si="34"/>
        <v>246928.35616317292</v>
      </c>
      <c r="H60" s="19">
        <f t="shared" si="34"/>
        <v>237325.1470573346</v>
      </c>
      <c r="I60" s="19">
        <f t="shared" si="34"/>
        <v>8454.0490983986529</v>
      </c>
      <c r="J60" s="19">
        <f t="shared" si="34"/>
        <v>7872.5277973864577</v>
      </c>
      <c r="K60" s="19">
        <f t="shared" si="34"/>
        <v>7281.0061102266191</v>
      </c>
      <c r="L60" s="19">
        <f t="shared" si="34"/>
        <v>14684.695813823957</v>
      </c>
      <c r="M60" s="19">
        <f t="shared" si="34"/>
        <v>6074.6655738080153</v>
      </c>
      <c r="N60" s="19">
        <f t="shared" si="34"/>
        <v>5454.223432412371</v>
      </c>
      <c r="O60" s="19">
        <f t="shared" si="34"/>
        <v>-1553.3705253882799</v>
      </c>
      <c r="P60" s="19">
        <f t="shared" si="34"/>
        <v>6270.4044525112258</v>
      </c>
      <c r="Q60" s="19">
        <f t="shared" si="34"/>
        <v>-2399.6454026822466</v>
      </c>
      <c r="R60" s="19">
        <f t="shared" si="34"/>
        <v>-2823.644713994232</v>
      </c>
      <c r="S60" s="19">
        <f t="shared" si="34"/>
        <v>-3262.1967559894547</v>
      </c>
      <c r="T60" s="19">
        <f t="shared" si="34"/>
        <v>4799.662165424088</v>
      </c>
      <c r="U60" s="19">
        <f t="shared" si="34"/>
        <v>-4135.4669475225965</v>
      </c>
      <c r="V60" s="19">
        <f t="shared" si="34"/>
        <v>-4576.9318085040431</v>
      </c>
      <c r="W60" s="19">
        <f t="shared" si="34"/>
        <v>-5023.8262877410743</v>
      </c>
      <c r="X60" s="19">
        <f t="shared" si="21"/>
        <v>2944122.6402455866</v>
      </c>
      <c r="Y60" s="19">
        <f t="shared" si="22"/>
        <v>260932.73006334633</v>
      </c>
      <c r="Z60" s="19">
        <f t="shared" si="23"/>
        <v>24660.214294656063</v>
      </c>
      <c r="AA60" s="19">
        <f t="shared" si="24"/>
        <v>-2215.0824201547075</v>
      </c>
      <c r="AB60" s="19">
        <f t="shared" si="25"/>
        <v>-8936.5628783436259</v>
      </c>
    </row>
    <row r="61" spans="1:28" x14ac:dyDescent="0.3">
      <c r="A61" s="18" t="s">
        <v>81</v>
      </c>
      <c r="B61" s="18" t="s">
        <v>32</v>
      </c>
      <c r="C61" s="19">
        <f t="shared" ref="C61:W61" si="35">C46+C60</f>
        <v>0</v>
      </c>
      <c r="D61" s="19">
        <f t="shared" si="35"/>
        <v>2350659.499677348</v>
      </c>
      <c r="E61" s="19">
        <f t="shared" si="35"/>
        <v>2507020.9125280939</v>
      </c>
      <c r="F61" s="19">
        <f t="shared" si="35"/>
        <v>2697194.2840824137</v>
      </c>
      <c r="G61" s="19">
        <f t="shared" si="35"/>
        <v>2944122.6402455866</v>
      </c>
      <c r="H61" s="19">
        <f t="shared" si="35"/>
        <v>3181447.7873029211</v>
      </c>
      <c r="I61" s="19">
        <f t="shared" si="35"/>
        <v>3189901.8364013196</v>
      </c>
      <c r="J61" s="19">
        <f t="shared" si="35"/>
        <v>3197774.3641987061</v>
      </c>
      <c r="K61" s="19">
        <f t="shared" si="35"/>
        <v>3205055.3703089328</v>
      </c>
      <c r="L61" s="19">
        <f t="shared" si="35"/>
        <v>3219740.0661227568</v>
      </c>
      <c r="M61" s="19">
        <f t="shared" si="35"/>
        <v>3225814.7316965647</v>
      </c>
      <c r="N61" s="19">
        <f t="shared" si="35"/>
        <v>3231268.9551289771</v>
      </c>
      <c r="O61" s="19">
        <f t="shared" si="35"/>
        <v>3229715.584603589</v>
      </c>
      <c r="P61" s="19">
        <f t="shared" si="35"/>
        <v>3235985.9890561001</v>
      </c>
      <c r="Q61" s="19">
        <f t="shared" si="35"/>
        <v>3233586.3436534181</v>
      </c>
      <c r="R61" s="19">
        <f t="shared" si="35"/>
        <v>3230762.698939424</v>
      </c>
      <c r="S61" s="19">
        <f t="shared" si="35"/>
        <v>3227500.5021834346</v>
      </c>
      <c r="T61" s="19">
        <f t="shared" si="35"/>
        <v>3232300.1643488584</v>
      </c>
      <c r="U61" s="19">
        <f t="shared" si="35"/>
        <v>3228164.6974013359</v>
      </c>
      <c r="V61" s="19">
        <f t="shared" si="35"/>
        <v>3223587.7655928321</v>
      </c>
      <c r="W61" s="19">
        <f t="shared" si="35"/>
        <v>3218563.9393050913</v>
      </c>
      <c r="X61" s="19">
        <f t="shared" si="21"/>
        <v>10498997.336533442</v>
      </c>
      <c r="Y61" s="19">
        <f t="shared" si="22"/>
        <v>12774179.358211879</v>
      </c>
      <c r="Z61" s="19">
        <f t="shared" si="23"/>
        <v>12906539.337551888</v>
      </c>
      <c r="AA61" s="19">
        <f t="shared" si="24"/>
        <v>12927835.533832375</v>
      </c>
      <c r="AB61" s="19">
        <f t="shared" si="25"/>
        <v>12902616.566648118</v>
      </c>
    </row>
  </sheetData>
  <mergeCells count="3">
    <mergeCell ref="A22:AB22"/>
    <mergeCell ref="A45:AB45"/>
    <mergeCell ref="A7:AB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08080"/>
  </sheetPr>
  <dimension ref="A1:AB59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237</v>
      </c>
    </row>
    <row r="2" spans="1:28" x14ac:dyDescent="0.3">
      <c r="A2" s="2" t="s">
        <v>238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46163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1" t="s">
        <v>30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 spans="1:28" x14ac:dyDescent="0.3">
      <c r="A7" t="s">
        <v>31</v>
      </c>
      <c r="B7" t="s">
        <v>239</v>
      </c>
      <c r="C7" s="30">
        <v>22113000</v>
      </c>
      <c r="D7" s="30">
        <v>4860000</v>
      </c>
      <c r="E7" s="30">
        <v>4928640</v>
      </c>
      <c r="F7" s="30">
        <v>4997760</v>
      </c>
      <c r="G7" s="30">
        <v>5067360</v>
      </c>
      <c r="H7" s="30">
        <v>5137440</v>
      </c>
      <c r="I7" s="30">
        <v>5208000</v>
      </c>
      <c r="J7" s="30">
        <v>5279040</v>
      </c>
      <c r="K7" s="30">
        <v>5350560</v>
      </c>
      <c r="L7" s="30">
        <v>5422560</v>
      </c>
      <c r="M7" s="30">
        <v>5495040</v>
      </c>
      <c r="N7" s="30">
        <v>5568000</v>
      </c>
      <c r="O7" s="30">
        <v>5620382.0971609997</v>
      </c>
      <c r="P7" s="30">
        <v>5673008.1823530002</v>
      </c>
      <c r="Q7" s="30">
        <v>5725864.333013</v>
      </c>
      <c r="R7" s="30">
        <v>5778964.5246099997</v>
      </c>
      <c r="S7" s="30">
        <v>5832294.7287699999</v>
      </c>
      <c r="T7" s="30">
        <v>5885869.0267730001</v>
      </c>
      <c r="U7" s="30">
        <v>5939673.2844329998</v>
      </c>
      <c r="V7" s="30">
        <v>5993721.6888410002</v>
      </c>
      <c r="W7" s="30">
        <v>6048000</v>
      </c>
    </row>
    <row r="8" spans="1:28" x14ac:dyDescent="0.3">
      <c r="A8" t="s">
        <v>33</v>
      </c>
      <c r="B8" t="s">
        <v>239</v>
      </c>
      <c r="C8" s="30">
        <v>17550491.048999999</v>
      </c>
      <c r="D8" s="30">
        <v>3402000</v>
      </c>
      <c r="E8" s="30">
        <v>3425404.8</v>
      </c>
      <c r="F8" s="30">
        <v>3448454.4</v>
      </c>
      <c r="G8" s="30">
        <v>3471141.6</v>
      </c>
      <c r="H8" s="30">
        <v>3493459.2</v>
      </c>
      <c r="I8" s="30">
        <v>3515400</v>
      </c>
      <c r="J8" s="30">
        <v>3536956.8</v>
      </c>
      <c r="K8" s="30">
        <v>3558122.4</v>
      </c>
      <c r="L8" s="30">
        <v>3578889.6</v>
      </c>
      <c r="M8" s="30">
        <v>3599251.2</v>
      </c>
      <c r="N8" s="30">
        <v>3619200</v>
      </c>
      <c r="O8" s="30">
        <v>3622024.0181709998</v>
      </c>
      <c r="P8" s="30">
        <v>3624421.8942809999</v>
      </c>
      <c r="Q8" s="30">
        <v>3626380.7442419999</v>
      </c>
      <c r="R8" s="30">
        <v>3627905.5071169999</v>
      </c>
      <c r="S8" s="30">
        <v>3628983.3867899999</v>
      </c>
      <c r="T8" s="30">
        <v>3629619.2331770002</v>
      </c>
      <c r="U8" s="30">
        <v>3629800.3404870001</v>
      </c>
      <c r="V8" s="30">
        <v>3629531.4671319998</v>
      </c>
      <c r="W8" s="30">
        <v>3628800</v>
      </c>
    </row>
    <row r="9" spans="1:28" x14ac:dyDescent="0.3">
      <c r="A9" t="s">
        <v>34</v>
      </c>
      <c r="B9" t="s">
        <v>239</v>
      </c>
      <c r="C9" s="30">
        <v>4562508.9510000004</v>
      </c>
      <c r="D9" s="30">
        <v>1458000</v>
      </c>
      <c r="E9" s="30">
        <v>1503235.2</v>
      </c>
      <c r="F9" s="30">
        <v>1549305.6</v>
      </c>
      <c r="G9" s="30">
        <v>1596218.4</v>
      </c>
      <c r="H9" s="30">
        <v>1643980.8</v>
      </c>
      <c r="I9" s="30">
        <v>1692600</v>
      </c>
      <c r="J9" s="30">
        <v>1742083.2</v>
      </c>
      <c r="K9" s="30">
        <v>1792437.6</v>
      </c>
      <c r="L9" s="30">
        <v>1843670.4</v>
      </c>
      <c r="M9" s="30">
        <v>1895788.8</v>
      </c>
      <c r="N9" s="30">
        <v>1948800</v>
      </c>
      <c r="O9" s="30">
        <v>1998358.0789910001</v>
      </c>
      <c r="P9" s="30">
        <v>2048586.288072</v>
      </c>
      <c r="Q9" s="30">
        <v>2099483.5887719998</v>
      </c>
      <c r="R9" s="30">
        <v>2151059.017494</v>
      </c>
      <c r="S9" s="30">
        <v>2203311.34198</v>
      </c>
      <c r="T9" s="30">
        <v>2256249.7935959999</v>
      </c>
      <c r="U9" s="30">
        <v>2309872.9439460002</v>
      </c>
      <c r="V9" s="30">
        <v>2364190.2217100002</v>
      </c>
      <c r="W9" s="30">
        <v>2419200</v>
      </c>
    </row>
    <row r="10" spans="1:28" x14ac:dyDescent="0.3">
      <c r="A10" t="s">
        <v>35</v>
      </c>
      <c r="B10" t="s">
        <v>239</v>
      </c>
      <c r="C10" s="30">
        <v>1326780</v>
      </c>
      <c r="D10" s="30">
        <v>388800</v>
      </c>
      <c r="E10" s="30">
        <v>384433.91999999998</v>
      </c>
      <c r="F10" s="30">
        <v>379829.76000000001</v>
      </c>
      <c r="G10" s="30">
        <v>374984.64</v>
      </c>
      <c r="H10" s="30">
        <v>369895.67999999999</v>
      </c>
      <c r="I10" s="30">
        <v>364560</v>
      </c>
      <c r="J10" s="30">
        <v>358974.71999999997</v>
      </c>
      <c r="K10" s="30">
        <v>353136.96</v>
      </c>
      <c r="L10" s="30">
        <v>347043.84000000003</v>
      </c>
      <c r="M10" s="30">
        <v>340692.47999999998</v>
      </c>
      <c r="N10" s="30">
        <v>334080</v>
      </c>
      <c r="O10" s="30">
        <v>330978.05683299998</v>
      </c>
      <c r="P10" s="30">
        <v>327773.80609099998</v>
      </c>
      <c r="Q10" s="30">
        <v>324465.64553699997</v>
      </c>
      <c r="R10" s="30">
        <v>321053.58470100001</v>
      </c>
      <c r="S10" s="30">
        <v>317536.04634399997</v>
      </c>
      <c r="T10" s="30">
        <v>313913.014761</v>
      </c>
      <c r="U10" s="30">
        <v>310182.93818699999</v>
      </c>
      <c r="V10" s="30">
        <v>306345.77520700003</v>
      </c>
      <c r="W10" s="30">
        <v>302400</v>
      </c>
    </row>
    <row r="11" spans="1:28" x14ac:dyDescent="0.3">
      <c r="A11" t="s">
        <v>36</v>
      </c>
      <c r="B11" t="s">
        <v>239</v>
      </c>
      <c r="C11" s="30">
        <v>0</v>
      </c>
      <c r="D11" s="30">
        <v>97200</v>
      </c>
      <c r="E11" s="30">
        <v>93644.160000000003</v>
      </c>
      <c r="F11" s="30">
        <v>89959.679999999993</v>
      </c>
      <c r="G11" s="30">
        <v>86145.12</v>
      </c>
      <c r="H11" s="30">
        <v>82199.039999999994</v>
      </c>
      <c r="I11" s="30">
        <v>78120</v>
      </c>
      <c r="J11" s="30">
        <v>73906.559999999998</v>
      </c>
      <c r="K11" s="30">
        <v>69557.279999999999</v>
      </c>
      <c r="L11" s="30">
        <v>65070.720000000001</v>
      </c>
      <c r="M11" s="30">
        <v>60445.440000000002</v>
      </c>
      <c r="N11" s="30">
        <v>55680</v>
      </c>
      <c r="O11" s="30">
        <v>56203.820972000001</v>
      </c>
      <c r="P11" s="30">
        <v>56730.081824000001</v>
      </c>
      <c r="Q11" s="30">
        <v>57258.643329999999</v>
      </c>
      <c r="R11" s="30">
        <v>57789.645246</v>
      </c>
      <c r="S11" s="30">
        <v>58322.947288000003</v>
      </c>
      <c r="T11" s="30">
        <v>58858.690267999998</v>
      </c>
      <c r="U11" s="30">
        <v>59396.732843999998</v>
      </c>
      <c r="V11" s="30">
        <v>59937.216888000003</v>
      </c>
      <c r="W11" s="30">
        <v>60480</v>
      </c>
    </row>
    <row r="12" spans="1:28" x14ac:dyDescent="0.3">
      <c r="A12" t="s">
        <v>37</v>
      </c>
      <c r="B12" t="s">
        <v>239</v>
      </c>
      <c r="C12" s="30">
        <v>36000</v>
      </c>
      <c r="D12" s="30">
        <v>36000</v>
      </c>
      <c r="E12" s="30">
        <v>36000</v>
      </c>
      <c r="F12" s="30">
        <v>36000</v>
      </c>
      <c r="G12" s="30">
        <v>36000</v>
      </c>
      <c r="H12" s="30">
        <v>36000</v>
      </c>
      <c r="I12" s="30">
        <v>36000</v>
      </c>
      <c r="J12" s="30">
        <v>36000</v>
      </c>
      <c r="K12" s="30">
        <v>36000</v>
      </c>
      <c r="L12" s="30">
        <v>36000</v>
      </c>
      <c r="M12" s="30">
        <v>36000</v>
      </c>
      <c r="N12" s="30">
        <v>36000</v>
      </c>
      <c r="O12" s="30">
        <v>36000</v>
      </c>
      <c r="P12" s="30">
        <v>36000</v>
      </c>
      <c r="Q12" s="30">
        <v>36000</v>
      </c>
      <c r="R12" s="30">
        <v>36000</v>
      </c>
      <c r="S12" s="30">
        <v>36000</v>
      </c>
      <c r="T12" s="30">
        <v>36000</v>
      </c>
      <c r="U12" s="30">
        <v>36000</v>
      </c>
      <c r="V12" s="30">
        <v>36000</v>
      </c>
      <c r="W12" s="30">
        <v>36000</v>
      </c>
    </row>
    <row r="13" spans="1:28" x14ac:dyDescent="0.3">
      <c r="A13" t="s">
        <v>38</v>
      </c>
      <c r="B13" t="s">
        <v>239</v>
      </c>
      <c r="C13" s="30">
        <v>159384.375</v>
      </c>
      <c r="D13" s="30">
        <v>388522</v>
      </c>
      <c r="E13" s="30">
        <v>388522</v>
      </c>
      <c r="F13" s="30">
        <v>388522</v>
      </c>
      <c r="G13" s="30">
        <v>388522</v>
      </c>
      <c r="H13" s="30">
        <v>400180</v>
      </c>
      <c r="I13" s="30">
        <v>400180</v>
      </c>
      <c r="J13" s="30">
        <v>400180</v>
      </c>
      <c r="K13" s="30">
        <v>400180</v>
      </c>
      <c r="L13" s="30">
        <v>412186</v>
      </c>
      <c r="M13" s="30">
        <v>412186</v>
      </c>
      <c r="N13" s="30">
        <v>412186</v>
      </c>
      <c r="O13" s="30">
        <v>412186</v>
      </c>
      <c r="P13" s="30">
        <v>424550</v>
      </c>
      <c r="Q13" s="30">
        <v>424550</v>
      </c>
      <c r="R13" s="30">
        <v>424550</v>
      </c>
      <c r="S13" s="30">
        <v>424550</v>
      </c>
      <c r="T13" s="30">
        <v>437286</v>
      </c>
      <c r="U13" s="30">
        <v>437286</v>
      </c>
      <c r="V13" s="30">
        <v>437286</v>
      </c>
      <c r="W13" s="30">
        <v>437286</v>
      </c>
    </row>
    <row r="14" spans="1:28" x14ac:dyDescent="0.3">
      <c r="A14" t="s">
        <v>39</v>
      </c>
      <c r="B14" t="s">
        <v>239</v>
      </c>
      <c r="C14" s="30">
        <v>23683.023000000001</v>
      </c>
      <c r="D14" s="30">
        <v>388800</v>
      </c>
      <c r="E14" s="30">
        <v>389362.56</v>
      </c>
      <c r="F14" s="30">
        <v>389825.28000000003</v>
      </c>
      <c r="G14" s="30">
        <v>390186.72</v>
      </c>
      <c r="H14" s="30">
        <v>390445.44</v>
      </c>
      <c r="I14" s="30">
        <v>390600</v>
      </c>
      <c r="J14" s="30">
        <v>390648.96</v>
      </c>
      <c r="K14" s="30">
        <v>390590.88</v>
      </c>
      <c r="L14" s="30">
        <v>390424.32000000001</v>
      </c>
      <c r="M14" s="30">
        <v>390147.84000000003</v>
      </c>
      <c r="N14" s="30">
        <v>389760</v>
      </c>
      <c r="O14" s="30">
        <v>387181.87780399999</v>
      </c>
      <c r="P14" s="30">
        <v>384503.88791500003</v>
      </c>
      <c r="Q14" s="30">
        <v>381724.28886799997</v>
      </c>
      <c r="R14" s="30">
        <v>378843.22994699999</v>
      </c>
      <c r="S14" s="30">
        <v>375858.993632</v>
      </c>
      <c r="T14" s="30">
        <v>372771.705029</v>
      </c>
      <c r="U14" s="30">
        <v>369579.67103099998</v>
      </c>
      <c r="V14" s="30">
        <v>366282.992096</v>
      </c>
      <c r="W14" s="30">
        <v>362880</v>
      </c>
    </row>
    <row r="15" spans="1:28" x14ac:dyDescent="0.3">
      <c r="A15" t="s">
        <v>40</v>
      </c>
      <c r="B15" t="s">
        <v>239</v>
      </c>
      <c r="C15" s="30">
        <v>3016661.5529999998</v>
      </c>
      <c r="D15" s="30">
        <v>158678</v>
      </c>
      <c r="E15" s="30">
        <v>211272.56</v>
      </c>
      <c r="F15" s="30">
        <v>265168.88</v>
      </c>
      <c r="G15" s="30">
        <v>320379.92</v>
      </c>
      <c r="H15" s="30">
        <v>365260.64</v>
      </c>
      <c r="I15" s="30">
        <v>423140</v>
      </c>
      <c r="J15" s="30">
        <v>482372.96</v>
      </c>
      <c r="K15" s="30">
        <v>542972.48</v>
      </c>
      <c r="L15" s="30">
        <v>592945.52</v>
      </c>
      <c r="M15" s="30">
        <v>656317.04</v>
      </c>
      <c r="N15" s="30">
        <v>721094</v>
      </c>
      <c r="O15" s="30">
        <v>775808.32338199997</v>
      </c>
      <c r="P15" s="30">
        <v>819028.51224199997</v>
      </c>
      <c r="Q15" s="30">
        <v>875485.01103599998</v>
      </c>
      <c r="R15" s="30">
        <v>932822.55759999994</v>
      </c>
      <c r="S15" s="30">
        <v>991043.35471600003</v>
      </c>
      <c r="T15" s="30">
        <v>1037420.3835380001</v>
      </c>
      <c r="U15" s="30">
        <v>1097427.601883</v>
      </c>
      <c r="V15" s="30">
        <v>1158338.237518</v>
      </c>
      <c r="W15" s="30">
        <v>1220154</v>
      </c>
    </row>
    <row r="16" spans="1:28" x14ac:dyDescent="0.3">
      <c r="A16" t="s">
        <v>41</v>
      </c>
      <c r="B16" t="s">
        <v>239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</row>
    <row r="17" spans="1:28" x14ac:dyDescent="0.3">
      <c r="A17" t="s">
        <v>42</v>
      </c>
      <c r="B17" t="s">
        <v>239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</row>
    <row r="18" spans="1:28" x14ac:dyDescent="0.3">
      <c r="A18" t="s">
        <v>43</v>
      </c>
      <c r="B18" t="s">
        <v>239</v>
      </c>
      <c r="C18" s="30">
        <v>619374.91673900001</v>
      </c>
      <c r="D18" s="30">
        <v>32579.449604000001</v>
      </c>
      <c r="E18" s="30">
        <v>43378.059474000002</v>
      </c>
      <c r="F18" s="30">
        <v>54443.944104000002</v>
      </c>
      <c r="G18" s="30">
        <v>65779.764414999998</v>
      </c>
      <c r="H18" s="30">
        <v>74994.584084000002</v>
      </c>
      <c r="I18" s="30">
        <v>86878.258520000003</v>
      </c>
      <c r="J18" s="30">
        <v>99039.851401000007</v>
      </c>
      <c r="K18" s="30">
        <v>111482.023649</v>
      </c>
      <c r="L18" s="30">
        <v>121742.388275</v>
      </c>
      <c r="M18" s="30">
        <v>134753.70201899999</v>
      </c>
      <c r="N18" s="30">
        <v>148053.577892</v>
      </c>
      <c r="O18" s="30">
        <v>159287.41334</v>
      </c>
      <c r="P18" s="30">
        <v>168161.296076</v>
      </c>
      <c r="Q18" s="30">
        <v>179752.831496</v>
      </c>
      <c r="R18" s="30">
        <v>191525.26188100001</v>
      </c>
      <c r="S18" s="30">
        <v>203479.03950399999</v>
      </c>
      <c r="T18" s="30">
        <v>213001.07830699999</v>
      </c>
      <c r="U18" s="30">
        <v>225321.64036300001</v>
      </c>
      <c r="V18" s="30">
        <v>237827.69025099999</v>
      </c>
      <c r="W18" s="30">
        <v>250519.57897199999</v>
      </c>
    </row>
    <row r="19" spans="1:28" x14ac:dyDescent="0.3">
      <c r="A19" t="s">
        <v>44</v>
      </c>
      <c r="B19" t="s">
        <v>239</v>
      </c>
      <c r="C19" s="30">
        <v>2397286.6362609998</v>
      </c>
      <c r="D19" s="30">
        <v>126098.55039600001</v>
      </c>
      <c r="E19" s="30">
        <v>167894.50052599999</v>
      </c>
      <c r="F19" s="30">
        <v>210724.93589600001</v>
      </c>
      <c r="G19" s="30">
        <v>254600.155585</v>
      </c>
      <c r="H19" s="30">
        <v>290266.05591599998</v>
      </c>
      <c r="I19" s="30">
        <v>336261.74148000003</v>
      </c>
      <c r="J19" s="30">
        <v>383333.10859900003</v>
      </c>
      <c r="K19" s="30">
        <v>431490.456351</v>
      </c>
      <c r="L19" s="30">
        <v>471203.13172499998</v>
      </c>
      <c r="M19" s="30">
        <v>521563.33798100002</v>
      </c>
      <c r="N19" s="30">
        <v>573040.42210800003</v>
      </c>
      <c r="O19" s="30">
        <v>616520.910042</v>
      </c>
      <c r="P19" s="30">
        <v>650867.21616499999</v>
      </c>
      <c r="Q19" s="30">
        <v>695732.17954000004</v>
      </c>
      <c r="R19" s="30">
        <v>741297.29571900005</v>
      </c>
      <c r="S19" s="30">
        <v>787564.31521300005</v>
      </c>
      <c r="T19" s="30">
        <v>824419.30523099995</v>
      </c>
      <c r="U19" s="30">
        <v>872105.96152000001</v>
      </c>
      <c r="V19" s="30">
        <v>920510.54726699996</v>
      </c>
      <c r="W19" s="30">
        <v>969634.42102799995</v>
      </c>
    </row>
    <row r="22" spans="1:28" x14ac:dyDescent="0.3">
      <c r="A22" s="51" t="s">
        <v>45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 spans="1:28" x14ac:dyDescent="0.3">
      <c r="A23" t="s">
        <v>46</v>
      </c>
      <c r="B23" t="s">
        <v>239</v>
      </c>
      <c r="C23" s="30">
        <v>0</v>
      </c>
      <c r="D23" s="30">
        <v>2350660.2025700002</v>
      </c>
      <c r="E23" s="30">
        <v>2507022.8074440002</v>
      </c>
      <c r="F23" s="30">
        <v>2697197.3601509999</v>
      </c>
      <c r="G23" s="30">
        <v>2944126.913832</v>
      </c>
      <c r="H23" s="30">
        <v>3181452.2765810001</v>
      </c>
      <c r="I23" s="30">
        <v>3189905.8528430001</v>
      </c>
      <c r="J23" s="30">
        <v>3197777.9099369999</v>
      </c>
      <c r="K23" s="30">
        <v>3205058.4432120002</v>
      </c>
      <c r="L23" s="30">
        <v>3219742.4625619999</v>
      </c>
      <c r="M23" s="30">
        <v>3225816.3135859999</v>
      </c>
      <c r="N23" s="30">
        <v>3231269.7298969999</v>
      </c>
      <c r="O23" s="30">
        <v>3229715.5410679998</v>
      </c>
      <c r="P23" s="30">
        <v>3235985.5349770002</v>
      </c>
      <c r="Q23" s="30">
        <v>3233585.7663980001</v>
      </c>
      <c r="R23" s="30">
        <v>3230761.999632</v>
      </c>
      <c r="S23" s="30">
        <v>3227499.6791320001</v>
      </c>
      <c r="T23" s="30">
        <v>3232299.5034090001</v>
      </c>
      <c r="U23" s="30">
        <v>3228164.3980419999</v>
      </c>
      <c r="V23" s="30">
        <v>3223587.824517</v>
      </c>
      <c r="W23" s="30">
        <v>3218564.3614759999</v>
      </c>
    </row>
    <row r="24" spans="1:28" x14ac:dyDescent="0.3">
      <c r="A24" t="s">
        <v>47</v>
      </c>
      <c r="B24" t="s">
        <v>239</v>
      </c>
      <c r="C24" s="30">
        <v>0</v>
      </c>
      <c r="D24" s="30">
        <v>792391.30434799998</v>
      </c>
      <c r="E24" s="30">
        <v>803582.60869599995</v>
      </c>
      <c r="F24" s="30">
        <v>832960</v>
      </c>
      <c r="G24" s="30">
        <v>835279.12087900005</v>
      </c>
      <c r="H24" s="30">
        <v>837626.08695699996</v>
      </c>
      <c r="I24" s="30">
        <v>849130.43478300003</v>
      </c>
      <c r="J24" s="30">
        <v>870171.428571</v>
      </c>
      <c r="K24" s="30">
        <v>881960.43955999997</v>
      </c>
      <c r="L24" s="30">
        <v>884113.04347799998</v>
      </c>
      <c r="M24" s="30">
        <v>895930.43478300003</v>
      </c>
      <c r="N24" s="30">
        <v>928000</v>
      </c>
      <c r="O24" s="30">
        <v>926436.60942200001</v>
      </c>
      <c r="P24" s="30">
        <v>924946.98625299998</v>
      </c>
      <c r="Q24" s="30">
        <v>933564.83690400003</v>
      </c>
      <c r="R24" s="30">
        <v>963160.75410200004</v>
      </c>
      <c r="S24" s="30">
        <v>961367.26298400003</v>
      </c>
      <c r="T24" s="30">
        <v>959652.55871300003</v>
      </c>
      <c r="U24" s="30">
        <v>968424.99202699994</v>
      </c>
      <c r="V24" s="30">
        <v>998953.61480700003</v>
      </c>
      <c r="W24" s="30">
        <v>996923.07692300004</v>
      </c>
    </row>
    <row r="25" spans="1:28" x14ac:dyDescent="0.3">
      <c r="A25" t="s">
        <v>48</v>
      </c>
      <c r="B25" t="s">
        <v>239</v>
      </c>
      <c r="C25" s="30">
        <v>0</v>
      </c>
      <c r="D25" s="30">
        <v>0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</row>
    <row r="26" spans="1:28" x14ac:dyDescent="0.3">
      <c r="A26" t="s">
        <v>50</v>
      </c>
      <c r="B26" t="s">
        <v>239</v>
      </c>
      <c r="C26" s="30">
        <v>0</v>
      </c>
      <c r="D26" s="30">
        <v>3240251.5069180001</v>
      </c>
      <c r="E26" s="30">
        <v>3409178.2161389999</v>
      </c>
      <c r="F26" s="30">
        <v>3630112.560151</v>
      </c>
      <c r="G26" s="30">
        <v>3880753.2347110002</v>
      </c>
      <c r="H26" s="30">
        <v>4121827.1635369998</v>
      </c>
      <c r="I26" s="30">
        <v>4143196.2876260001</v>
      </c>
      <c r="J26" s="30">
        <v>4173530.1385090002</v>
      </c>
      <c r="K26" s="30">
        <v>4194030.0827720002</v>
      </c>
      <c r="L26" s="30">
        <v>4212306.7060399996</v>
      </c>
      <c r="M26" s="30">
        <v>4231647.5483689997</v>
      </c>
      <c r="N26" s="30">
        <v>4270629.7298969999</v>
      </c>
      <c r="O26" s="30">
        <v>4268559.7924340004</v>
      </c>
      <c r="P26" s="30">
        <v>4274392.6848769998</v>
      </c>
      <c r="Q26" s="30">
        <v>4281667.8899630001</v>
      </c>
      <c r="R26" s="30">
        <v>4309502.0442260001</v>
      </c>
      <c r="S26" s="30">
        <v>4305512.8366919998</v>
      </c>
      <c r="T26" s="30">
        <v>4309669.4426579997</v>
      </c>
      <c r="U26" s="30">
        <v>4315382.8557580002</v>
      </c>
      <c r="V26" s="30">
        <v>4342415.8731009997</v>
      </c>
      <c r="W26" s="30">
        <v>4336447.4383990001</v>
      </c>
    </row>
    <row r="27" spans="1:28" x14ac:dyDescent="0.3">
      <c r="A27" t="s">
        <v>51</v>
      </c>
      <c r="B27" t="s">
        <v>239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</row>
    <row r="28" spans="1:28" x14ac:dyDescent="0.3">
      <c r="A28" t="s">
        <v>53</v>
      </c>
      <c r="B28" t="s">
        <v>239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</row>
    <row r="29" spans="1:28" x14ac:dyDescent="0.3">
      <c r="A29" t="s">
        <v>54</v>
      </c>
      <c r="B29" t="s">
        <v>239</v>
      </c>
      <c r="C29" s="30">
        <v>0</v>
      </c>
      <c r="D29" s="30">
        <v>3240251.5069180001</v>
      </c>
      <c r="E29" s="30">
        <v>3409178.2161389999</v>
      </c>
      <c r="F29" s="30">
        <v>3630112.560151</v>
      </c>
      <c r="G29" s="30">
        <v>3880753.2347110002</v>
      </c>
      <c r="H29" s="30">
        <v>4121827.1635369998</v>
      </c>
      <c r="I29" s="30">
        <v>4143196.2876260001</v>
      </c>
      <c r="J29" s="30">
        <v>4173530.1385090002</v>
      </c>
      <c r="K29" s="30">
        <v>4194030.0827720002</v>
      </c>
      <c r="L29" s="30">
        <v>4212306.7060399996</v>
      </c>
      <c r="M29" s="30">
        <v>4231647.5483689997</v>
      </c>
      <c r="N29" s="30">
        <v>4270629.7298969999</v>
      </c>
      <c r="O29" s="30">
        <v>4268559.7924340004</v>
      </c>
      <c r="P29" s="30">
        <v>4274392.6848769998</v>
      </c>
      <c r="Q29" s="30">
        <v>4281667.8899630001</v>
      </c>
      <c r="R29" s="30">
        <v>4309502.0442260001</v>
      </c>
      <c r="S29" s="30">
        <v>4305512.8366919998</v>
      </c>
      <c r="T29" s="30">
        <v>4309669.4426579997</v>
      </c>
      <c r="U29" s="30">
        <v>4315382.8557580002</v>
      </c>
      <c r="V29" s="30">
        <v>4342415.8731009997</v>
      </c>
      <c r="W29" s="30">
        <v>4336447.4383990001</v>
      </c>
    </row>
    <row r="30" spans="1:28" x14ac:dyDescent="0.3">
      <c r="A30" t="s">
        <v>55</v>
      </c>
      <c r="B30" t="s">
        <v>239</v>
      </c>
      <c r="C30" s="30">
        <v>0</v>
      </c>
      <c r="D30" s="30">
        <v>423691.95652200002</v>
      </c>
      <c r="E30" s="30">
        <v>421292.165217</v>
      </c>
      <c r="F30" s="30">
        <v>428045.57333300001</v>
      </c>
      <c r="G30" s="30">
        <v>420606.09230800002</v>
      </c>
      <c r="H30" s="30">
        <v>416973.96521699999</v>
      </c>
      <c r="I30" s="30">
        <v>413954.34782600001</v>
      </c>
      <c r="J30" s="30">
        <v>415289.09010999999</v>
      </c>
      <c r="K30" s="30">
        <v>411911.57802199997</v>
      </c>
      <c r="L30" s="30">
        <v>407845.06956500001</v>
      </c>
      <c r="M30" s="30">
        <v>404175.573913</v>
      </c>
      <c r="N30" s="30">
        <v>409235.33333300002</v>
      </c>
      <c r="O30" s="30">
        <v>403038.38097</v>
      </c>
      <c r="P30" s="30">
        <v>400942.75298799999</v>
      </c>
      <c r="Q30" s="30">
        <v>399129.97100100003</v>
      </c>
      <c r="R30" s="30">
        <v>406078.81996400002</v>
      </c>
      <c r="S30" s="30">
        <v>399648.78700999997</v>
      </c>
      <c r="T30" s="30">
        <v>397444.37284500001</v>
      </c>
      <c r="U30" s="30">
        <v>395362.61154200003</v>
      </c>
      <c r="V30" s="30">
        <v>401950.66139700002</v>
      </c>
      <c r="W30" s="30">
        <v>395289.89010999998</v>
      </c>
    </row>
    <row r="31" spans="1:28" x14ac:dyDescent="0.3">
      <c r="A31" t="s">
        <v>201</v>
      </c>
      <c r="B31" t="s">
        <v>239</v>
      </c>
      <c r="C31" s="30">
        <v>0</v>
      </c>
      <c r="D31" s="30">
        <v>97200</v>
      </c>
      <c r="E31" s="30">
        <v>98572.800000000003</v>
      </c>
      <c r="F31" s="30">
        <v>99955.199999999997</v>
      </c>
      <c r="G31" s="30">
        <v>101347.2</v>
      </c>
      <c r="H31" s="30">
        <v>102748.8</v>
      </c>
      <c r="I31" s="30">
        <v>104160</v>
      </c>
      <c r="J31" s="30">
        <v>105580.8</v>
      </c>
      <c r="K31" s="30">
        <v>107011.2</v>
      </c>
      <c r="L31" s="30">
        <v>108451.2</v>
      </c>
      <c r="M31" s="30">
        <v>109900.8</v>
      </c>
      <c r="N31" s="30">
        <v>111360</v>
      </c>
      <c r="O31" s="30">
        <v>112407.641943</v>
      </c>
      <c r="P31" s="30">
        <v>113460.16364699999</v>
      </c>
      <c r="Q31" s="30">
        <v>114517.28666</v>
      </c>
      <c r="R31" s="30">
        <v>115579.290492</v>
      </c>
      <c r="S31" s="30">
        <v>116645.894575</v>
      </c>
      <c r="T31" s="30">
        <v>117717.380535</v>
      </c>
      <c r="U31" s="30">
        <v>118793.465689</v>
      </c>
      <c r="V31" s="30">
        <v>119874.433777</v>
      </c>
      <c r="W31" s="30">
        <v>120960</v>
      </c>
    </row>
    <row r="32" spans="1:28" x14ac:dyDescent="0.3">
      <c r="A32" t="s">
        <v>56</v>
      </c>
      <c r="B32" t="s">
        <v>239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</row>
    <row r="33" spans="1:28" x14ac:dyDescent="0.3">
      <c r="A33" t="s">
        <v>202</v>
      </c>
      <c r="B33" t="s">
        <v>239</v>
      </c>
      <c r="C33" s="30">
        <v>0</v>
      </c>
      <c r="D33" s="30">
        <v>243000</v>
      </c>
      <c r="E33" s="30">
        <v>246432</v>
      </c>
      <c r="F33" s="30">
        <v>249888</v>
      </c>
      <c r="G33" s="30">
        <v>253368</v>
      </c>
      <c r="H33" s="30">
        <v>256872</v>
      </c>
      <c r="I33" s="30">
        <v>260400</v>
      </c>
      <c r="J33" s="30">
        <v>263952</v>
      </c>
      <c r="K33" s="30">
        <v>267528</v>
      </c>
      <c r="L33" s="30">
        <v>271128</v>
      </c>
      <c r="M33" s="30">
        <v>274752</v>
      </c>
      <c r="N33" s="30">
        <v>278400</v>
      </c>
      <c r="O33" s="30">
        <v>281019.10485800001</v>
      </c>
      <c r="P33" s="30">
        <v>283650.40911800001</v>
      </c>
      <c r="Q33" s="30">
        <v>286293.21665100002</v>
      </c>
      <c r="R33" s="30">
        <v>288948.22623099998</v>
      </c>
      <c r="S33" s="30">
        <v>291614.736439</v>
      </c>
      <c r="T33" s="30">
        <v>294293.45133900002</v>
      </c>
      <c r="U33" s="30">
        <v>296983.66422199999</v>
      </c>
      <c r="V33" s="30">
        <v>299686.08444200002</v>
      </c>
      <c r="W33" s="30">
        <v>302400</v>
      </c>
    </row>
    <row r="34" spans="1:28" x14ac:dyDescent="0.3">
      <c r="A34" t="s">
        <v>240</v>
      </c>
      <c r="B34" t="s">
        <v>239</v>
      </c>
      <c r="C34" s="30">
        <v>0</v>
      </c>
      <c r="D34" s="30">
        <v>666691.95652200002</v>
      </c>
      <c r="E34" s="30">
        <v>667724.16521699994</v>
      </c>
      <c r="F34" s="30">
        <v>677933.57333299995</v>
      </c>
      <c r="G34" s="30">
        <v>673974.09230799996</v>
      </c>
      <c r="H34" s="30">
        <v>673845.96521699999</v>
      </c>
      <c r="I34" s="30">
        <v>674354.34782599995</v>
      </c>
      <c r="J34" s="30">
        <v>679241.09010999999</v>
      </c>
      <c r="K34" s="30">
        <v>679439.57802200003</v>
      </c>
      <c r="L34" s="30">
        <v>678973.06956500001</v>
      </c>
      <c r="M34" s="30">
        <v>678927.57391299994</v>
      </c>
      <c r="N34" s="30">
        <v>687635.33333299996</v>
      </c>
      <c r="O34" s="30">
        <v>684057.485828</v>
      </c>
      <c r="P34" s="30">
        <v>684593.162106</v>
      </c>
      <c r="Q34" s="30">
        <v>685423.18765099999</v>
      </c>
      <c r="R34" s="30">
        <v>695027.04619499994</v>
      </c>
      <c r="S34" s="30">
        <v>691263.52344899997</v>
      </c>
      <c r="T34" s="30">
        <v>691737.82418400003</v>
      </c>
      <c r="U34" s="30">
        <v>692346.27576400002</v>
      </c>
      <c r="V34" s="30">
        <v>701636.74583899998</v>
      </c>
      <c r="W34" s="30">
        <v>697689.89011000004</v>
      </c>
    </row>
    <row r="35" spans="1:28" x14ac:dyDescent="0.3">
      <c r="A35" t="s">
        <v>59</v>
      </c>
      <c r="B35" t="s">
        <v>239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</row>
    <row r="36" spans="1:28" x14ac:dyDescent="0.3">
      <c r="A36" t="s">
        <v>61</v>
      </c>
      <c r="B36" t="s">
        <v>239</v>
      </c>
      <c r="C36" s="30">
        <v>0</v>
      </c>
      <c r="D36" s="30">
        <v>666691.95652200002</v>
      </c>
      <c r="E36" s="30">
        <v>667724.16521699994</v>
      </c>
      <c r="F36" s="30">
        <v>677933.57333299995</v>
      </c>
      <c r="G36" s="30">
        <v>673974.09230799996</v>
      </c>
      <c r="H36" s="30">
        <v>673845.96521699999</v>
      </c>
      <c r="I36" s="30">
        <v>674354.34782599995</v>
      </c>
      <c r="J36" s="30">
        <v>679241.09010999999</v>
      </c>
      <c r="K36" s="30">
        <v>679439.57802200003</v>
      </c>
      <c r="L36" s="30">
        <v>678973.06956500001</v>
      </c>
      <c r="M36" s="30">
        <v>678927.57391299994</v>
      </c>
      <c r="N36" s="30">
        <v>687635.33333299996</v>
      </c>
      <c r="O36" s="30">
        <v>684057.485828</v>
      </c>
      <c r="P36" s="30">
        <v>684593.162106</v>
      </c>
      <c r="Q36" s="30">
        <v>685423.18765099999</v>
      </c>
      <c r="R36" s="30">
        <v>695027.04619499994</v>
      </c>
      <c r="S36" s="30">
        <v>691263.52344899997</v>
      </c>
      <c r="T36" s="30">
        <v>691737.82418400003</v>
      </c>
      <c r="U36" s="30">
        <v>692346.27576400002</v>
      </c>
      <c r="V36" s="30">
        <v>701636.74583899998</v>
      </c>
      <c r="W36" s="30">
        <v>697689.89011000004</v>
      </c>
    </row>
    <row r="37" spans="1:28" x14ac:dyDescent="0.3">
      <c r="A37" t="s">
        <v>62</v>
      </c>
      <c r="B37" t="s">
        <v>239</v>
      </c>
      <c r="C37" s="30">
        <v>0</v>
      </c>
      <c r="D37" s="30">
        <v>2447461</v>
      </c>
      <c r="E37" s="30">
        <v>2447461</v>
      </c>
      <c r="F37" s="30">
        <v>2447461</v>
      </c>
      <c r="G37" s="30">
        <v>2447461</v>
      </c>
      <c r="H37" s="30">
        <v>2447461</v>
      </c>
      <c r="I37" s="30">
        <v>2447461</v>
      </c>
      <c r="J37" s="30">
        <v>2447461</v>
      </c>
      <c r="K37" s="30">
        <v>2447461</v>
      </c>
      <c r="L37" s="30">
        <v>2447461</v>
      </c>
      <c r="M37" s="30">
        <v>2447461</v>
      </c>
      <c r="N37" s="30">
        <v>2447461</v>
      </c>
      <c r="O37" s="30">
        <v>2447461</v>
      </c>
      <c r="P37" s="30">
        <v>2447461</v>
      </c>
      <c r="Q37" s="30">
        <v>2447461</v>
      </c>
      <c r="R37" s="30">
        <v>2447461</v>
      </c>
      <c r="S37" s="30">
        <v>2447461</v>
      </c>
      <c r="T37" s="30">
        <v>2447461</v>
      </c>
      <c r="U37" s="30">
        <v>2447461</v>
      </c>
      <c r="V37" s="30">
        <v>2447461</v>
      </c>
      <c r="W37" s="30">
        <v>2447461</v>
      </c>
    </row>
    <row r="38" spans="1:28" x14ac:dyDescent="0.3">
      <c r="A38" t="s">
        <v>63</v>
      </c>
      <c r="B38" t="s">
        <v>239</v>
      </c>
      <c r="C38" s="30">
        <v>0</v>
      </c>
      <c r="D38" s="30">
        <v>126098.55039600001</v>
      </c>
      <c r="E38" s="30">
        <v>293993.05092200002</v>
      </c>
      <c r="F38" s="30">
        <v>504717.98681799998</v>
      </c>
      <c r="G38" s="30">
        <v>759318.14240400004</v>
      </c>
      <c r="H38" s="30">
        <v>1000520.19832</v>
      </c>
      <c r="I38" s="30">
        <v>1021380.9398000001</v>
      </c>
      <c r="J38" s="30">
        <v>1046828.048399</v>
      </c>
      <c r="K38" s="30">
        <v>1067129.5047500001</v>
      </c>
      <c r="L38" s="30">
        <v>1085872.6364750001</v>
      </c>
      <c r="M38" s="30">
        <v>1105258.9744559999</v>
      </c>
      <c r="N38" s="30">
        <v>1135533.3965640001</v>
      </c>
      <c r="O38" s="30">
        <v>1137041.3066060001</v>
      </c>
      <c r="P38" s="30">
        <v>1142338.5227709999</v>
      </c>
      <c r="Q38" s="30">
        <v>1148783.7023110001</v>
      </c>
      <c r="R38" s="30">
        <v>1167013.9980309999</v>
      </c>
      <c r="S38" s="30">
        <v>1166788.3132430001</v>
      </c>
      <c r="T38" s="30">
        <v>1170470.6184739999</v>
      </c>
      <c r="U38" s="30">
        <v>1175575.579994</v>
      </c>
      <c r="V38" s="30">
        <v>1193318.127261</v>
      </c>
      <c r="W38" s="30">
        <v>1191296.5482890001</v>
      </c>
    </row>
    <row r="39" spans="1:28" x14ac:dyDescent="0.3">
      <c r="A39" t="s">
        <v>64</v>
      </c>
      <c r="B39" t="s">
        <v>239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</row>
    <row r="40" spans="1:28" x14ac:dyDescent="0.3">
      <c r="A40" t="s">
        <v>65</v>
      </c>
      <c r="B40" t="s">
        <v>239</v>
      </c>
      <c r="C40" s="30">
        <v>0</v>
      </c>
      <c r="D40" s="30">
        <v>2573559.550396</v>
      </c>
      <c r="E40" s="30">
        <v>2741454.0509219998</v>
      </c>
      <c r="F40" s="30">
        <v>2952178.9868180002</v>
      </c>
      <c r="G40" s="30">
        <v>3206779.1424039998</v>
      </c>
      <c r="H40" s="30">
        <v>3447981.19832</v>
      </c>
      <c r="I40" s="30">
        <v>3468841.9397999998</v>
      </c>
      <c r="J40" s="30">
        <v>3494289.048399</v>
      </c>
      <c r="K40" s="30">
        <v>3514590.5047499998</v>
      </c>
      <c r="L40" s="30">
        <v>3533333.6364750001</v>
      </c>
      <c r="M40" s="30">
        <v>3552719.9744560001</v>
      </c>
      <c r="N40" s="30">
        <v>3582994.3965639998</v>
      </c>
      <c r="O40" s="30">
        <v>3584502.3066059998</v>
      </c>
      <c r="P40" s="30">
        <v>3589799.5227709999</v>
      </c>
      <c r="Q40" s="30">
        <v>3596244.7023109999</v>
      </c>
      <c r="R40" s="30">
        <v>3614474.9980310001</v>
      </c>
      <c r="S40" s="30">
        <v>3614249.3132429998</v>
      </c>
      <c r="T40" s="30">
        <v>3617931.6184740001</v>
      </c>
      <c r="U40" s="30">
        <v>3623036.579994</v>
      </c>
      <c r="V40" s="30">
        <v>3640779.1272610002</v>
      </c>
      <c r="W40" s="30">
        <v>3638757.5482890001</v>
      </c>
    </row>
    <row r="41" spans="1:28" x14ac:dyDescent="0.3">
      <c r="A41" t="s">
        <v>66</v>
      </c>
      <c r="B41" t="s">
        <v>239</v>
      </c>
      <c r="C41" s="30">
        <v>0</v>
      </c>
      <c r="D41" s="30">
        <v>3240251.5069180001</v>
      </c>
      <c r="E41" s="30">
        <v>3409178.2161389999</v>
      </c>
      <c r="F41" s="30">
        <v>3630112.560151</v>
      </c>
      <c r="G41" s="30">
        <v>3880753.2347110002</v>
      </c>
      <c r="H41" s="30">
        <v>4121827.1635369998</v>
      </c>
      <c r="I41" s="30">
        <v>4143196.2876260001</v>
      </c>
      <c r="J41" s="30">
        <v>4173530.1385090002</v>
      </c>
      <c r="K41" s="30">
        <v>4194030.0827720002</v>
      </c>
      <c r="L41" s="30">
        <v>4212306.7060399996</v>
      </c>
      <c r="M41" s="30">
        <v>4231647.5483689997</v>
      </c>
      <c r="N41" s="30">
        <v>4270629.7298969999</v>
      </c>
      <c r="O41" s="30">
        <v>4268559.7924340004</v>
      </c>
      <c r="P41" s="30">
        <v>4274392.6848769998</v>
      </c>
      <c r="Q41" s="30">
        <v>4281667.8899630001</v>
      </c>
      <c r="R41" s="30">
        <v>4309502.0442260001</v>
      </c>
      <c r="S41" s="30">
        <v>4305512.8366919998</v>
      </c>
      <c r="T41" s="30">
        <v>4309669.4426579997</v>
      </c>
      <c r="U41" s="30">
        <v>4315382.8557580002</v>
      </c>
      <c r="V41" s="30">
        <v>4342415.8731009997</v>
      </c>
      <c r="W41" s="30">
        <v>4336447.4383990001</v>
      </c>
    </row>
    <row r="44" spans="1:28" x14ac:dyDescent="0.3">
      <c r="A44" s="51" t="s">
        <v>67</v>
      </c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</row>
    <row r="45" spans="1:28" x14ac:dyDescent="0.3">
      <c r="A45" t="s">
        <v>68</v>
      </c>
      <c r="B45" t="s">
        <v>239</v>
      </c>
      <c r="C45" s="30">
        <v>0</v>
      </c>
      <c r="D45" s="30">
        <v>0</v>
      </c>
      <c r="E45" s="30">
        <v>2350660.2025700002</v>
      </c>
      <c r="F45" s="30">
        <v>2507022.8074440002</v>
      </c>
      <c r="G45" s="30">
        <v>2697197.3601509999</v>
      </c>
      <c r="H45" s="30">
        <v>2944126.913832</v>
      </c>
      <c r="I45" s="30">
        <v>3181452.2765810001</v>
      </c>
      <c r="J45" s="30">
        <v>3189905.8528430001</v>
      </c>
      <c r="K45" s="30">
        <v>3197777.9099369999</v>
      </c>
      <c r="L45" s="30">
        <v>3205058.4432120002</v>
      </c>
      <c r="M45" s="30">
        <v>3219742.4625619999</v>
      </c>
      <c r="N45" s="30">
        <v>3225816.3135859999</v>
      </c>
      <c r="O45" s="30">
        <v>3231269.7298969999</v>
      </c>
      <c r="P45" s="30">
        <v>3229715.5410679998</v>
      </c>
      <c r="Q45" s="30">
        <v>3235985.5349770002</v>
      </c>
      <c r="R45" s="30">
        <v>3233585.7663980001</v>
      </c>
      <c r="S45" s="30">
        <v>3230761.999632</v>
      </c>
      <c r="T45" s="30">
        <v>3227499.6791320001</v>
      </c>
      <c r="U45" s="30">
        <v>3232299.5034090001</v>
      </c>
      <c r="V45" s="30">
        <v>3228164.3980419999</v>
      </c>
      <c r="W45" s="30">
        <v>3223587.824517</v>
      </c>
    </row>
    <row r="46" spans="1:28" x14ac:dyDescent="0.3">
      <c r="A46" t="s">
        <v>44</v>
      </c>
      <c r="B46" t="s">
        <v>239</v>
      </c>
      <c r="C46" s="30">
        <v>2397286.6362609998</v>
      </c>
      <c r="D46" s="30">
        <v>126098.55039600001</v>
      </c>
      <c r="E46" s="30">
        <v>167894.50052599999</v>
      </c>
      <c r="F46" s="30">
        <v>210724.93589600001</v>
      </c>
      <c r="G46" s="30">
        <v>254600.155585</v>
      </c>
      <c r="H46" s="30">
        <v>290266.05591599998</v>
      </c>
      <c r="I46" s="30">
        <v>336261.74148000003</v>
      </c>
      <c r="J46" s="30">
        <v>383333.10859900003</v>
      </c>
      <c r="K46" s="30">
        <v>431490.456351</v>
      </c>
      <c r="L46" s="30">
        <v>471203.13172499998</v>
      </c>
      <c r="M46" s="30">
        <v>521563.33798100002</v>
      </c>
      <c r="N46" s="30">
        <v>573040.42210800003</v>
      </c>
      <c r="O46" s="30">
        <v>616520.910042</v>
      </c>
      <c r="P46" s="30">
        <v>650867.21616499999</v>
      </c>
      <c r="Q46" s="30">
        <v>695732.17954000004</v>
      </c>
      <c r="R46" s="30">
        <v>741297.29571900005</v>
      </c>
      <c r="S46" s="30">
        <v>787564.31521300005</v>
      </c>
      <c r="T46" s="30">
        <v>824419.30523099995</v>
      </c>
      <c r="U46" s="30">
        <v>872105.96152000001</v>
      </c>
      <c r="V46" s="30">
        <v>920510.54726699996</v>
      </c>
      <c r="W46" s="30">
        <v>969634.42102799995</v>
      </c>
    </row>
    <row r="47" spans="1:28" x14ac:dyDescent="0.3">
      <c r="A47" t="s">
        <v>241</v>
      </c>
      <c r="B47" t="s">
        <v>239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</row>
    <row r="48" spans="1:28" x14ac:dyDescent="0.3">
      <c r="A48" t="s">
        <v>69</v>
      </c>
      <c r="B48" t="s">
        <v>239</v>
      </c>
      <c r="C48" s="30">
        <v>0</v>
      </c>
      <c r="D48" s="30">
        <v>-889591.30434799998</v>
      </c>
      <c r="E48" s="30">
        <v>-12564.104348000001</v>
      </c>
      <c r="F48" s="30">
        <v>-30759.791303999998</v>
      </c>
      <c r="G48" s="30">
        <v>-3711.1208790000001</v>
      </c>
      <c r="H48" s="30">
        <v>-3748.566077</v>
      </c>
      <c r="I48" s="30">
        <v>-12915.547826</v>
      </c>
      <c r="J48" s="30">
        <v>-22461.793788999999</v>
      </c>
      <c r="K48" s="30">
        <v>-13219.410989</v>
      </c>
      <c r="L48" s="30">
        <v>-3592.6039179999998</v>
      </c>
      <c r="M48" s="30">
        <v>-13266.991303999999</v>
      </c>
      <c r="N48" s="30">
        <v>-33528.765217</v>
      </c>
      <c r="O48" s="30">
        <v>515.74863500000004</v>
      </c>
      <c r="P48" s="30">
        <v>437.10146500000002</v>
      </c>
      <c r="Q48" s="30">
        <v>-9674.9736639999992</v>
      </c>
      <c r="R48" s="30">
        <v>-30657.921029000001</v>
      </c>
      <c r="S48" s="30">
        <v>726.88703399999997</v>
      </c>
      <c r="T48" s="30">
        <v>643.21831099999997</v>
      </c>
      <c r="U48" s="30">
        <v>-9848.5184669999999</v>
      </c>
      <c r="V48" s="30">
        <v>-31609.590867999999</v>
      </c>
      <c r="W48" s="30">
        <v>944.97166100000004</v>
      </c>
    </row>
    <row r="49" spans="1:23" x14ac:dyDescent="0.3">
      <c r="A49" t="s">
        <v>242</v>
      </c>
      <c r="B49" t="s">
        <v>239</v>
      </c>
      <c r="C49" s="30">
        <v>0</v>
      </c>
      <c r="D49" s="30">
        <v>666691.95652200002</v>
      </c>
      <c r="E49" s="30">
        <v>1032.2086959999999</v>
      </c>
      <c r="F49" s="30">
        <v>10209.408116000001</v>
      </c>
      <c r="G49" s="30">
        <v>-3959.4810259999999</v>
      </c>
      <c r="H49" s="30">
        <v>-128.12709000000001</v>
      </c>
      <c r="I49" s="30">
        <v>508.382609</v>
      </c>
      <c r="J49" s="30">
        <v>4886.7422839999999</v>
      </c>
      <c r="K49" s="30">
        <v>198.48791199999999</v>
      </c>
      <c r="L49" s="30">
        <v>-466.50845700000002</v>
      </c>
      <c r="M49" s="30">
        <v>-45.495652</v>
      </c>
      <c r="N49" s="30">
        <v>8707.7594200000003</v>
      </c>
      <c r="O49" s="30">
        <v>-3577.8475050000002</v>
      </c>
      <c r="P49" s="30">
        <v>535.67627800000002</v>
      </c>
      <c r="Q49" s="30">
        <v>830.02554599999996</v>
      </c>
      <c r="R49" s="30">
        <v>9603.8585440000006</v>
      </c>
      <c r="S49" s="30">
        <v>-3763.5227460000001</v>
      </c>
      <c r="T49" s="30">
        <v>474.30073499999997</v>
      </c>
      <c r="U49" s="30">
        <v>608.45158000000004</v>
      </c>
      <c r="V49" s="30">
        <v>9290.4700749999993</v>
      </c>
      <c r="W49" s="30">
        <v>-3946.8557289999999</v>
      </c>
    </row>
    <row r="50" spans="1:23" x14ac:dyDescent="0.3">
      <c r="A50" t="s">
        <v>71</v>
      </c>
      <c r="B50" t="s">
        <v>239</v>
      </c>
      <c r="C50" s="30">
        <v>0</v>
      </c>
      <c r="D50" s="30">
        <v>-96800.797430000006</v>
      </c>
      <c r="E50" s="30">
        <v>156362.60487400001</v>
      </c>
      <c r="F50" s="30">
        <v>190174.552708</v>
      </c>
      <c r="G50" s="30">
        <v>246929.55368099999</v>
      </c>
      <c r="H50" s="30">
        <v>286389.36274900002</v>
      </c>
      <c r="I50" s="30">
        <v>323854.57626300002</v>
      </c>
      <c r="J50" s="30">
        <v>365758.05709399999</v>
      </c>
      <c r="K50" s="30">
        <v>418469.53327399999</v>
      </c>
      <c r="L50" s="30">
        <v>467144.01935000002</v>
      </c>
      <c r="M50" s="30">
        <v>508250.85102499998</v>
      </c>
      <c r="N50" s="30">
        <v>548219.41631100001</v>
      </c>
      <c r="O50" s="30">
        <v>613458.81117100001</v>
      </c>
      <c r="P50" s="30">
        <v>651839.99390799995</v>
      </c>
      <c r="Q50" s="30">
        <v>686887.23142199998</v>
      </c>
      <c r="R50" s="30">
        <v>720243.23323300004</v>
      </c>
      <c r="S50" s="30">
        <v>784527.67950099998</v>
      </c>
      <c r="T50" s="30">
        <v>825536.82427700004</v>
      </c>
      <c r="U50" s="30">
        <v>862865.89463300002</v>
      </c>
      <c r="V50" s="30">
        <v>898191.42647499999</v>
      </c>
      <c r="W50" s="30">
        <v>966632.53695900005</v>
      </c>
    </row>
    <row r="51" spans="1:23" x14ac:dyDescent="0.3">
      <c r="A51" t="s">
        <v>72</v>
      </c>
      <c r="B51" t="s">
        <v>239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</row>
    <row r="52" spans="1:23" x14ac:dyDescent="0.3">
      <c r="A52" t="s">
        <v>73</v>
      </c>
      <c r="B52" t="s">
        <v>239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</row>
    <row r="53" spans="1:23" x14ac:dyDescent="0.3">
      <c r="A53" t="s">
        <v>74</v>
      </c>
      <c r="B53" t="s">
        <v>239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</row>
    <row r="54" spans="1:23" x14ac:dyDescent="0.3">
      <c r="A54" t="s">
        <v>75</v>
      </c>
      <c r="B54" t="s">
        <v>239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</row>
    <row r="55" spans="1:23" x14ac:dyDescent="0.3">
      <c r="A55" t="s">
        <v>76</v>
      </c>
      <c r="B55" t="s">
        <v>239</v>
      </c>
      <c r="C55" s="30">
        <v>0</v>
      </c>
      <c r="D55" s="30">
        <v>2447461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</row>
    <row r="56" spans="1:23" x14ac:dyDescent="0.3">
      <c r="A56" t="s">
        <v>77</v>
      </c>
      <c r="B56" t="s">
        <v>239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49064</v>
      </c>
      <c r="I56" s="30">
        <v>315401</v>
      </c>
      <c r="J56" s="30">
        <v>357886</v>
      </c>
      <c r="K56" s="30">
        <v>411189</v>
      </c>
      <c r="L56" s="30">
        <v>452460</v>
      </c>
      <c r="M56" s="30">
        <v>502177</v>
      </c>
      <c r="N56" s="30">
        <v>542766</v>
      </c>
      <c r="O56" s="30">
        <v>615013</v>
      </c>
      <c r="P56" s="30">
        <v>645570</v>
      </c>
      <c r="Q56" s="30">
        <v>689287</v>
      </c>
      <c r="R56" s="30">
        <v>723067</v>
      </c>
      <c r="S56" s="30">
        <v>787790</v>
      </c>
      <c r="T56" s="30">
        <v>820737</v>
      </c>
      <c r="U56" s="30">
        <v>867001</v>
      </c>
      <c r="V56" s="30">
        <v>902768</v>
      </c>
      <c r="W56" s="30">
        <v>971656</v>
      </c>
    </row>
    <row r="57" spans="1:23" x14ac:dyDescent="0.3">
      <c r="A57" t="s">
        <v>79</v>
      </c>
      <c r="B57" t="s">
        <v>239</v>
      </c>
      <c r="C57" s="30">
        <v>0</v>
      </c>
      <c r="D57" s="30">
        <v>2447461</v>
      </c>
      <c r="E57" s="30">
        <v>0</v>
      </c>
      <c r="F57" s="30">
        <v>0</v>
      </c>
      <c r="G57" s="30">
        <v>0</v>
      </c>
      <c r="H57" s="30">
        <v>-49064</v>
      </c>
      <c r="I57" s="30">
        <v>-315401</v>
      </c>
      <c r="J57" s="30">
        <v>-357886</v>
      </c>
      <c r="K57" s="30">
        <v>-411189</v>
      </c>
      <c r="L57" s="30">
        <v>-452460</v>
      </c>
      <c r="M57" s="30">
        <v>-502177</v>
      </c>
      <c r="N57" s="30">
        <v>-542766</v>
      </c>
      <c r="O57" s="30">
        <v>-615013</v>
      </c>
      <c r="P57" s="30">
        <v>-645570</v>
      </c>
      <c r="Q57" s="30">
        <v>-689287</v>
      </c>
      <c r="R57" s="30">
        <v>-723067</v>
      </c>
      <c r="S57" s="30">
        <v>-787790</v>
      </c>
      <c r="T57" s="30">
        <v>-820737</v>
      </c>
      <c r="U57" s="30">
        <v>-867001</v>
      </c>
      <c r="V57" s="30">
        <v>-902768</v>
      </c>
      <c r="W57" s="30">
        <v>-971656</v>
      </c>
    </row>
    <row r="58" spans="1:23" x14ac:dyDescent="0.3">
      <c r="A58" t="s">
        <v>80</v>
      </c>
      <c r="B58" t="s">
        <v>239</v>
      </c>
      <c r="C58" s="30">
        <v>0</v>
      </c>
      <c r="D58" s="30">
        <v>2350660.2025700002</v>
      </c>
      <c r="E58" s="30">
        <v>156362.60487400001</v>
      </c>
      <c r="F58" s="30">
        <v>190174.552708</v>
      </c>
      <c r="G58" s="30">
        <v>246929.55368099999</v>
      </c>
      <c r="H58" s="30">
        <v>237325.36274899999</v>
      </c>
      <c r="I58" s="30">
        <v>8453.5762630000008</v>
      </c>
      <c r="J58" s="30">
        <v>7872.0570939999998</v>
      </c>
      <c r="K58" s="30">
        <v>7280.5332740000003</v>
      </c>
      <c r="L58" s="30">
        <v>14684.01935</v>
      </c>
      <c r="M58" s="30">
        <v>6073.8510249999999</v>
      </c>
      <c r="N58" s="30">
        <v>5453.416311</v>
      </c>
      <c r="O58" s="30">
        <v>-1554.1888289999999</v>
      </c>
      <c r="P58" s="30">
        <v>6269.9939080000004</v>
      </c>
      <c r="Q58" s="30">
        <v>-2399.7685780000002</v>
      </c>
      <c r="R58" s="30">
        <v>-2823.7667670000001</v>
      </c>
      <c r="S58" s="30">
        <v>-3262.3204989999999</v>
      </c>
      <c r="T58" s="30">
        <v>4799.8242769999997</v>
      </c>
      <c r="U58" s="30">
        <v>-4135.1053670000001</v>
      </c>
      <c r="V58" s="30">
        <v>-4576.5735249999998</v>
      </c>
      <c r="W58" s="30">
        <v>-5023.463041</v>
      </c>
    </row>
    <row r="59" spans="1:23" x14ac:dyDescent="0.3">
      <c r="A59" t="s">
        <v>81</v>
      </c>
      <c r="B59" t="s">
        <v>239</v>
      </c>
      <c r="C59" s="30">
        <v>0</v>
      </c>
      <c r="D59" s="30">
        <v>2350660.2025700002</v>
      </c>
      <c r="E59" s="30">
        <v>2507022.8074440002</v>
      </c>
      <c r="F59" s="30">
        <v>2697197.3601509999</v>
      </c>
      <c r="G59" s="30">
        <v>2944126.913832</v>
      </c>
      <c r="H59" s="30">
        <v>3181452.2765810001</v>
      </c>
      <c r="I59" s="30">
        <v>3189905.8528430001</v>
      </c>
      <c r="J59" s="30">
        <v>3197777.9099369999</v>
      </c>
      <c r="K59" s="30">
        <v>3205058.4432120002</v>
      </c>
      <c r="L59" s="30">
        <v>3219742.4625619999</v>
      </c>
      <c r="M59" s="30">
        <v>3225816.3135859999</v>
      </c>
      <c r="N59" s="30">
        <v>3231269.7298969999</v>
      </c>
      <c r="O59" s="30">
        <v>3229715.5410679998</v>
      </c>
      <c r="P59" s="30">
        <v>3235985.5349770002</v>
      </c>
      <c r="Q59" s="30">
        <v>3233585.7663980001</v>
      </c>
      <c r="R59" s="30">
        <v>3230761.999632</v>
      </c>
      <c r="S59" s="30">
        <v>3227499.6791320001</v>
      </c>
      <c r="T59" s="30">
        <v>3232299.5034090001</v>
      </c>
      <c r="U59" s="30">
        <v>3228164.3980419999</v>
      </c>
      <c r="V59" s="30">
        <v>3223587.824517</v>
      </c>
      <c r="W59" s="30">
        <v>3218564.3614759999</v>
      </c>
    </row>
  </sheetData>
  <mergeCells count="3">
    <mergeCell ref="A6:AB6"/>
    <mergeCell ref="A22:AB22"/>
    <mergeCell ref="A44:AB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</sheetPr>
  <dimension ref="A1:J172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4" customWidth="1"/>
    <col min="2" max="2" width="42" customWidth="1"/>
    <col min="3" max="3" width="24" customWidth="1"/>
    <col min="4" max="4" width="28" customWidth="1"/>
    <col min="5" max="7" width="16" customWidth="1"/>
    <col min="8" max="9" width="12" customWidth="1"/>
    <col min="10" max="10" width="70" customWidth="1"/>
    <col min="11" max="28" width="14" customWidth="1"/>
  </cols>
  <sheetData>
    <row r="1" spans="1:10" ht="21" x14ac:dyDescent="0.4">
      <c r="A1" s="1" t="s">
        <v>243</v>
      </c>
    </row>
    <row r="2" spans="1:10" x14ac:dyDescent="0.3">
      <c r="A2" s="2" t="s">
        <v>244</v>
      </c>
      <c r="B2" s="36" t="str">
        <f>IF(COUNTIF(I7:I172,"FAIL")=0,"OK","FAIL")</f>
        <v>OK</v>
      </c>
    </row>
    <row r="3" spans="1:10" x14ac:dyDescent="0.3">
      <c r="A3" t="s">
        <v>245</v>
      </c>
      <c r="B3" s="52" t="s">
        <v>246</v>
      </c>
      <c r="C3" s="52"/>
      <c r="D3" s="52"/>
      <c r="E3" s="52"/>
      <c r="F3" s="52"/>
    </row>
    <row r="5" spans="1:10" x14ac:dyDescent="0.3">
      <c r="A5" s="37" t="s">
        <v>247</v>
      </c>
      <c r="B5" s="37" t="s">
        <v>248</v>
      </c>
      <c r="C5" s="37" t="s">
        <v>249</v>
      </c>
      <c r="D5" s="37" t="s">
        <v>250</v>
      </c>
      <c r="E5" s="37" t="s">
        <v>251</v>
      </c>
      <c r="F5" s="37" t="s">
        <v>252</v>
      </c>
      <c r="G5" s="37" t="s">
        <v>253</v>
      </c>
      <c r="H5" s="37" t="s">
        <v>254</v>
      </c>
      <c r="I5" s="37" t="s">
        <v>255</v>
      </c>
      <c r="J5" s="37" t="s">
        <v>256</v>
      </c>
    </row>
    <row r="6" spans="1:10" x14ac:dyDescent="0.3">
      <c r="A6" s="51" t="s">
        <v>257</v>
      </c>
      <c r="B6" s="52"/>
      <c r="C6" s="52"/>
      <c r="D6" s="52"/>
      <c r="E6" s="52"/>
      <c r="F6" s="52"/>
      <c r="G6" s="52"/>
      <c r="H6" s="52"/>
      <c r="I6" s="52"/>
      <c r="J6" s="52"/>
    </row>
    <row r="7" spans="1:10" x14ac:dyDescent="0.3">
      <c r="A7" t="s">
        <v>258</v>
      </c>
      <c r="B7" t="s">
        <v>259</v>
      </c>
      <c r="C7" t="s">
        <v>260</v>
      </c>
      <c r="D7" t="s">
        <v>261</v>
      </c>
      <c r="E7" s="38">
        <f>FINMO!D31</f>
        <v>3240250.8040251741</v>
      </c>
      <c r="F7" s="38">
        <f>FINMO!D43</f>
        <v>3240250.8040251737</v>
      </c>
      <c r="G7" s="38">
        <f t="shared" ref="G7:G19" si="0">E7-F7</f>
        <v>0</v>
      </c>
      <c r="H7" s="38">
        <v>1</v>
      </c>
      <c r="I7" s="39" t="str">
        <f t="shared" ref="I7:I19" si="1">IF(ABS(G7)&lt;=H7,"OK","FAIL")</f>
        <v>OK</v>
      </c>
      <c r="J7" t="s">
        <v>262</v>
      </c>
    </row>
    <row r="8" spans="1:10" x14ac:dyDescent="0.3">
      <c r="A8" t="s">
        <v>258</v>
      </c>
      <c r="B8" t="s">
        <v>263</v>
      </c>
      <c r="C8" t="s">
        <v>260</v>
      </c>
      <c r="D8" t="s">
        <v>264</v>
      </c>
      <c r="E8" s="38">
        <f>FINMO!D61</f>
        <v>2350659.499677348</v>
      </c>
      <c r="F8" s="38">
        <f>FINMO!D23</f>
        <v>2350659.499677348</v>
      </c>
      <c r="G8" s="38">
        <f t="shared" si="0"/>
        <v>0</v>
      </c>
      <c r="H8" s="38">
        <v>1</v>
      </c>
      <c r="I8" s="39" t="str">
        <f t="shared" si="1"/>
        <v>OK</v>
      </c>
      <c r="J8" t="s">
        <v>265</v>
      </c>
    </row>
    <row r="9" spans="1:10" x14ac:dyDescent="0.3">
      <c r="A9" t="s">
        <v>258</v>
      </c>
      <c r="B9" t="s">
        <v>266</v>
      </c>
      <c r="C9" t="s">
        <v>260</v>
      </c>
      <c r="D9" t="s">
        <v>267</v>
      </c>
      <c r="E9" s="38">
        <f>FINMO!W31</f>
        <v>4336447.0162281683</v>
      </c>
      <c r="F9" s="38">
        <f>FINMO!W43</f>
        <v>4336447.0162281673</v>
      </c>
      <c r="G9" s="38">
        <f t="shared" si="0"/>
        <v>0</v>
      </c>
      <c r="H9" s="38">
        <v>1</v>
      </c>
      <c r="I9" s="39" t="str">
        <f t="shared" si="1"/>
        <v>OK</v>
      </c>
      <c r="J9" t="s">
        <v>262</v>
      </c>
    </row>
    <row r="10" spans="1:10" x14ac:dyDescent="0.3">
      <c r="A10" t="s">
        <v>258</v>
      </c>
      <c r="B10" t="s">
        <v>268</v>
      </c>
      <c r="C10" t="s">
        <v>260</v>
      </c>
      <c r="D10" t="s">
        <v>269</v>
      </c>
      <c r="E10" s="38">
        <f>FINMO!W61</f>
        <v>3218563.9393050913</v>
      </c>
      <c r="F10" s="38">
        <f>FINMO!W23</f>
        <v>3218563.9393050913</v>
      </c>
      <c r="G10" s="38">
        <f t="shared" si="0"/>
        <v>0</v>
      </c>
      <c r="H10" s="38">
        <v>1</v>
      </c>
      <c r="I10" s="39" t="str">
        <f t="shared" si="1"/>
        <v>OK</v>
      </c>
      <c r="J10" t="s">
        <v>265</v>
      </c>
    </row>
    <row r="11" spans="1:10" x14ac:dyDescent="0.3">
      <c r="A11" t="s">
        <v>270</v>
      </c>
      <c r="B11" t="s">
        <v>271</v>
      </c>
      <c r="C11" t="s">
        <v>260</v>
      </c>
      <c r="D11" t="s">
        <v>272</v>
      </c>
      <c r="E11" s="38">
        <f>SUMPRODUCT(ABS('Revenue Drivers'!C14:W14-'Model Inputs'!C11:W11))</f>
        <v>0</v>
      </c>
      <c r="F11" s="38">
        <v>0</v>
      </c>
      <c r="G11" s="38">
        <f t="shared" si="0"/>
        <v>0</v>
      </c>
      <c r="H11" s="38">
        <v>1</v>
      </c>
      <c r="I11" s="39" t="str">
        <f t="shared" si="1"/>
        <v>OK</v>
      </c>
      <c r="J11" t="s">
        <v>273</v>
      </c>
    </row>
    <row r="12" spans="1:10" x14ac:dyDescent="0.3">
      <c r="A12" t="s">
        <v>270</v>
      </c>
      <c r="B12" t="s">
        <v>274</v>
      </c>
      <c r="C12" t="s">
        <v>260</v>
      </c>
      <c r="D12" t="s">
        <v>275</v>
      </c>
      <c r="E12" s="38">
        <f>SUMPRODUCT(ABS('Payroll Schedule'!D17:W17-'Model Inputs'!D16:W16))</f>
        <v>0</v>
      </c>
      <c r="F12" s="38">
        <v>0</v>
      </c>
      <c r="G12" s="38">
        <f t="shared" si="0"/>
        <v>0</v>
      </c>
      <c r="H12" s="38">
        <v>1</v>
      </c>
      <c r="I12" s="39" t="str">
        <f t="shared" si="1"/>
        <v>OK</v>
      </c>
      <c r="J12" t="s">
        <v>276</v>
      </c>
    </row>
    <row r="13" spans="1:10" x14ac:dyDescent="0.3">
      <c r="A13" t="s">
        <v>270</v>
      </c>
      <c r="B13" t="s">
        <v>277</v>
      </c>
      <c r="C13" t="s">
        <v>260</v>
      </c>
      <c r="D13" t="s">
        <v>278</v>
      </c>
      <c r="E13" s="38">
        <f>SUMPRODUCT(ABS('Debt Schedule'!C10:W10-'Model Inputs'!C43:W43))</f>
        <v>0</v>
      </c>
      <c r="F13" s="38">
        <v>0</v>
      </c>
      <c r="G13" s="38">
        <f t="shared" si="0"/>
        <v>0</v>
      </c>
      <c r="H13" s="38">
        <v>1</v>
      </c>
      <c r="I13" s="39" t="str">
        <f t="shared" si="1"/>
        <v>OK</v>
      </c>
      <c r="J13" t="s">
        <v>279</v>
      </c>
    </row>
    <row r="14" spans="1:10" x14ac:dyDescent="0.3">
      <c r="A14" t="s">
        <v>270</v>
      </c>
      <c r="B14" t="s">
        <v>280</v>
      </c>
      <c r="C14" t="s">
        <v>260</v>
      </c>
      <c r="D14" t="s">
        <v>281</v>
      </c>
      <c r="E14" s="38">
        <f>SUMPRODUCT(ABS('Debt Schedule'!C21:W21-'CapEx Depreciation'!C9:W9))</f>
        <v>0</v>
      </c>
      <c r="F14" s="38">
        <v>0</v>
      </c>
      <c r="G14" s="38">
        <f t="shared" si="0"/>
        <v>0</v>
      </c>
      <c r="H14" s="38">
        <v>1</v>
      </c>
      <c r="I14" s="39" t="str">
        <f t="shared" si="1"/>
        <v>OK</v>
      </c>
      <c r="J14" t="s">
        <v>282</v>
      </c>
    </row>
    <row r="15" spans="1:10" x14ac:dyDescent="0.3">
      <c r="A15" t="s">
        <v>270</v>
      </c>
      <c r="B15" t="s">
        <v>283</v>
      </c>
      <c r="C15" t="s">
        <v>260</v>
      </c>
      <c r="D15" t="s">
        <v>284</v>
      </c>
      <c r="E15" s="38">
        <f>SUMPRODUCT(ABS('Cash Equity Schedule'!C12:W12-'Model Inputs'!C15:W15))</f>
        <v>0</v>
      </c>
      <c r="F15" s="38">
        <v>0</v>
      </c>
      <c r="G15" s="38">
        <f t="shared" si="0"/>
        <v>0</v>
      </c>
      <c r="H15" s="38">
        <v>1</v>
      </c>
      <c r="I15" s="39" t="str">
        <f t="shared" si="1"/>
        <v>OK</v>
      </c>
      <c r="J15" t="s">
        <v>285</v>
      </c>
    </row>
    <row r="16" spans="1:10" x14ac:dyDescent="0.3">
      <c r="A16" t="s">
        <v>286</v>
      </c>
      <c r="B16" t="s">
        <v>287</v>
      </c>
      <c r="C16" t="s">
        <v>111</v>
      </c>
      <c r="D16" t="s">
        <v>288</v>
      </c>
      <c r="E16" s="38">
        <f>SUM(ABS('Payroll Schedule'!C15-SUMIFS('Payroll Schedule'!$G$27:$G$86,'Payroll Schedule'!$A$27:$A$86,0)),ABS('Payroll Schedule'!C16-SUMIFS('Payroll Schedule'!$H$27:$H$86,'Payroll Schedule'!$A$27:$A$86,0)),ABS('Payroll Schedule'!C17-SUMIFS('Payroll Schedule'!$M$27:$M$86,'Payroll Schedule'!$A$27:$A$86,0)),ABS('Payroll Schedule'!D15-SUMIFS('Payroll Schedule'!$G$27:$G$86,'Payroll Schedule'!$A$27:$A$86,1)),ABS('Payroll Schedule'!D16-SUMIFS('Payroll Schedule'!$H$27:$H$86,'Payroll Schedule'!$A$27:$A$86,1)),ABS('Payroll Schedule'!D17-SUMIFS('Payroll Schedule'!$M$27:$M$86,'Payroll Schedule'!$A$27:$A$86,1)),ABS('Payroll Schedule'!E15-SUMIFS('Payroll Schedule'!$G$27:$G$86,'Payroll Schedule'!$A$27:$A$86,2)),ABS('Payroll Schedule'!E16-SUMIFS('Payroll Schedule'!$H$27:$H$86,'Payroll Schedule'!$A$27:$A$86,2)),ABS('Payroll Schedule'!E17-SUMIFS('Payroll Schedule'!$M$27:$M$86,'Payroll Schedule'!$A$27:$A$86,2)),ABS('Payroll Schedule'!F15-SUMIFS('Payroll Schedule'!$G$27:$G$86,'Payroll Schedule'!$A$27:$A$86,3)),ABS('Payroll Schedule'!F16-SUMIFS('Payroll Schedule'!$H$27:$H$86,'Payroll Schedule'!$A$27:$A$86,3)),ABS('Payroll Schedule'!F17-SUMIFS('Payroll Schedule'!$M$27:$M$86,'Payroll Schedule'!$A$27:$A$86,3)),ABS('Payroll Schedule'!G15-SUMIFS('Payroll Schedule'!$G$27:$G$86,'Payroll Schedule'!$A$27:$A$86,4)),ABS('Payroll Schedule'!G16-SUMIFS('Payroll Schedule'!$H$27:$H$86,'Payroll Schedule'!$A$27:$A$86,4)),ABS('Payroll Schedule'!G17-SUMIFS('Payroll Schedule'!$M$27:$M$86,'Payroll Schedule'!$A$27:$A$86,4)),ABS('Payroll Schedule'!H15-SUMIFS('Payroll Schedule'!$G$27:$G$86,'Payroll Schedule'!$A$27:$A$86,5)),ABS('Payroll Schedule'!H16-SUMIFS('Payroll Schedule'!$H$27:$H$86,'Payroll Schedule'!$A$27:$A$86,5)),ABS('Payroll Schedule'!H17-SUMIFS('Payroll Schedule'!$M$27:$M$86,'Payroll Schedule'!$A$27:$A$86,5)),ABS('Payroll Schedule'!I15-SUMIFS('Payroll Schedule'!$G$27:$G$86,'Payroll Schedule'!$A$27:$A$86,6)),ABS('Payroll Schedule'!I16-SUMIFS('Payroll Schedule'!$H$27:$H$86,'Payroll Schedule'!$A$27:$A$86,6)),ABS('Payroll Schedule'!I17-SUMIFS('Payroll Schedule'!$M$27:$M$86,'Payroll Schedule'!$A$27:$A$86,6)),ABS('Payroll Schedule'!J15-SUMIFS('Payroll Schedule'!$G$27:$G$86,'Payroll Schedule'!$A$27:$A$86,7)),ABS('Payroll Schedule'!J16-SUMIFS('Payroll Schedule'!$H$27:$H$86,'Payroll Schedule'!$A$27:$A$86,7)),ABS('Payroll Schedule'!J17-SUMIFS('Payroll Schedule'!$M$27:$M$86,'Payroll Schedule'!$A$27:$A$86,7)),ABS('Payroll Schedule'!K15-SUMIFS('Payroll Schedule'!$G$27:$G$86,'Payroll Schedule'!$A$27:$A$86,8)),ABS('Payroll Schedule'!K16-SUMIFS('Payroll Schedule'!$H$27:$H$86,'Payroll Schedule'!$A$27:$A$86,8)),ABS('Payroll Schedule'!K17-SUMIFS('Payroll Schedule'!$M$27:$M$86,'Payroll Schedule'!$A$27:$A$86,8)),ABS('Payroll Schedule'!L15-SUMIFS('Payroll Schedule'!$G$27:$G$86,'Payroll Schedule'!$A$27:$A$86,9)),ABS('Payroll Schedule'!L16-SUMIFS('Payroll Schedule'!$H$27:$H$86,'Payroll Schedule'!$A$27:$A$86,9)),ABS('Payroll Schedule'!L17-SUMIFS('Payroll Schedule'!$M$27:$M$86,'Payroll Schedule'!$A$27:$A$86,9)),ABS('Payroll Schedule'!M15-SUMIFS('Payroll Schedule'!$G$27:$G$86,'Payroll Schedule'!$A$27:$A$86,10)),ABS('Payroll Schedule'!M16-SUMIFS('Payroll Schedule'!$H$27:$H$86,'Payroll Schedule'!$A$27:$A$86,10)),ABS('Payroll Schedule'!M17-SUMIFS('Payroll Schedule'!$M$27:$M$86,'Payroll Schedule'!$A$27:$A$86,10)),ABS('Payroll Schedule'!N15-SUMIFS('Payroll Schedule'!$G$27:$G$86,'Payroll Schedule'!$A$27:$A$86,11)),ABS('Payroll Schedule'!N16-SUMIFS('Payroll Schedule'!$H$27:$H$86,'Payroll Schedule'!$A$27:$A$86,11)),ABS('Payroll Schedule'!N17-SUMIFS('Payroll Schedule'!$M$27:$M$86,'Payroll Schedule'!$A$27:$A$86,11)),ABS('Payroll Schedule'!O15-SUMIFS('Payroll Schedule'!$G$27:$G$86,'Payroll Schedule'!$A$27:$A$86,12)),ABS('Payroll Schedule'!O16-SUMIFS('Payroll Schedule'!$H$27:$H$86,'Payroll Schedule'!$A$27:$A$86,12)),ABS('Payroll Schedule'!O17-SUMIFS('Payroll Schedule'!$M$27:$M$86,'Payroll Schedule'!$A$27:$A$86,12)),ABS('Payroll Schedule'!P15-SUMIFS('Payroll Schedule'!$G$27:$G$86,'Payroll Schedule'!$A$27:$A$86,13)),ABS('Payroll Schedule'!P16-SUMIFS('Payroll Schedule'!$H$27:$H$86,'Payroll Schedule'!$A$27:$A$86,13)),ABS('Payroll Schedule'!P17-SUMIFS('Payroll Schedule'!$M$27:$M$86,'Payroll Schedule'!$A$27:$A$86,13)),ABS('Payroll Schedule'!Q15-SUMIFS('Payroll Schedule'!$G$27:$G$86,'Payroll Schedule'!$A$27:$A$86,14)),ABS('Payroll Schedule'!Q16-SUMIFS('Payroll Schedule'!$H$27:$H$86,'Payroll Schedule'!$A$27:$A$86,14)),ABS('Payroll Schedule'!Q17-SUMIFS('Payroll Schedule'!$M$27:$M$86,'Payroll Schedule'!$A$27:$A$86,14)),ABS('Payroll Schedule'!R15-SUMIFS('Payroll Schedule'!$G$27:$G$86,'Payroll Schedule'!$A$27:$A$86,15)),ABS('Payroll Schedule'!R16-SUMIFS('Payroll Schedule'!$H$27:$H$86,'Payroll Schedule'!$A$27:$A$86,15)),ABS('Payroll Schedule'!R17-SUMIFS('Payroll Schedule'!$M$27:$M$86,'Payroll Schedule'!$A$27:$A$86,15)),ABS('Payroll Schedule'!S15-SUMIFS('Payroll Schedule'!$G$27:$G$86,'Payroll Schedule'!$A$27:$A$86,16)),ABS('Payroll Schedule'!S16-SUMIFS('Payroll Schedule'!$H$27:$H$86,'Payroll Schedule'!$A$27:$A$86,16)),ABS('Payroll Schedule'!S17-SUMIFS('Payroll Schedule'!$M$27:$M$86,'Payroll Schedule'!$A$27:$A$86,16)),ABS('Payroll Schedule'!T15-SUMIFS('Payroll Schedule'!$G$27:$G$86,'Payroll Schedule'!$A$27:$A$86,17)),ABS('Payroll Schedule'!T16-SUMIFS('Payroll Schedule'!$H$27:$H$86,'Payroll Schedule'!$A$27:$A$86,17)),ABS('Payroll Schedule'!T17-SUMIFS('Payroll Schedule'!$M$27:$M$86,'Payroll Schedule'!$A$27:$A$86,17)),ABS('Payroll Schedule'!U15-SUMIFS('Payroll Schedule'!$G$27:$G$86,'Payroll Schedule'!$A$27:$A$86,18)),ABS('Payroll Schedule'!U16-SUMIFS('Payroll Schedule'!$H$27:$H$86,'Payroll Schedule'!$A$27:$A$86,18)),ABS('Payroll Schedule'!U17-SUMIFS('Payroll Schedule'!$M$27:$M$86,'Payroll Schedule'!$A$27:$A$86,18)),ABS('Payroll Schedule'!V15-SUMIFS('Payroll Schedule'!$G$27:$G$86,'Payroll Schedule'!$A$27:$A$86,19)),ABS('Payroll Schedule'!V16-SUMIFS('Payroll Schedule'!$H$27:$H$86,'Payroll Schedule'!$A$27:$A$86,19)),ABS('Payroll Schedule'!V17-SUMIFS('Payroll Schedule'!$M$27:$M$86,'Payroll Schedule'!$A$27:$A$86,19)),ABS('Payroll Schedule'!W15-SUMIFS('Payroll Schedule'!$G$27:$G$86,'Payroll Schedule'!$A$27:$A$86,20)),ABS('Payroll Schedule'!W16-SUMIFS('Payroll Schedule'!$H$27:$H$86,'Payroll Schedule'!$A$27:$A$86,20)),ABS('Payroll Schedule'!W17-SUMIFS('Payroll Schedule'!$M$27:$M$86,'Payroll Schedule'!$A$27:$A$86,20)))</f>
        <v>0</v>
      </c>
      <c r="F16" s="38">
        <v>0</v>
      </c>
      <c r="G16" s="38">
        <f t="shared" si="0"/>
        <v>0</v>
      </c>
      <c r="H16" s="38">
        <v>1</v>
      </c>
      <c r="I16" s="39" t="str">
        <f t="shared" si="1"/>
        <v>OK</v>
      </c>
      <c r="J16" t="s">
        <v>289</v>
      </c>
    </row>
    <row r="17" spans="1:10" x14ac:dyDescent="0.3">
      <c r="A17" t="s">
        <v>286</v>
      </c>
      <c r="B17" t="s">
        <v>290</v>
      </c>
      <c r="C17" t="s">
        <v>111</v>
      </c>
      <c r="D17" t="s">
        <v>291</v>
      </c>
      <c r="E17" s="40">
        <f>SUM(ABS('Payroll Schedule'!C20-IFERROR('Payroll Schedule'!C18/'Payroll Schedule'!C16,0)),ABS('Payroll Schedule'!C21-IFERROR('Payroll Schedule'!C19/'Payroll Schedule'!C16,0)),ABS('Payroll Schedule'!C22-IFERROR('Payroll Schedule'!C17/'Payroll Schedule'!C18,0)),ABS('Payroll Schedule'!D20-IFERROR('Payroll Schedule'!D18/'Payroll Schedule'!D16,0)),ABS('Payroll Schedule'!D21-IFERROR('Payroll Schedule'!D19/'Payroll Schedule'!D16,0)),ABS('Payroll Schedule'!D22-IFERROR('Payroll Schedule'!D17/'Payroll Schedule'!D18,0)),ABS('Payroll Schedule'!E20-IFERROR('Payroll Schedule'!E18/'Payroll Schedule'!E16,0)),ABS('Payroll Schedule'!E21-IFERROR('Payroll Schedule'!E19/'Payroll Schedule'!E16,0)),ABS('Payroll Schedule'!E22-IFERROR('Payroll Schedule'!E17/'Payroll Schedule'!E18,0)),ABS('Payroll Schedule'!F20-IFERROR('Payroll Schedule'!F18/'Payroll Schedule'!F16,0)),ABS('Payroll Schedule'!F21-IFERROR('Payroll Schedule'!F19/'Payroll Schedule'!F16,0)),ABS('Payroll Schedule'!F22-IFERROR('Payroll Schedule'!F17/'Payroll Schedule'!F18,0)),ABS('Payroll Schedule'!G20-IFERROR('Payroll Schedule'!G18/'Payroll Schedule'!G16,0)),ABS('Payroll Schedule'!G21-IFERROR('Payroll Schedule'!G19/'Payroll Schedule'!G16,0)),ABS('Payroll Schedule'!G22-IFERROR('Payroll Schedule'!G17/'Payroll Schedule'!G18,0)),ABS('Payroll Schedule'!H20-IFERROR('Payroll Schedule'!H18/'Payroll Schedule'!H16,0)),ABS('Payroll Schedule'!H21-IFERROR('Payroll Schedule'!H19/'Payroll Schedule'!H16,0)),ABS('Payroll Schedule'!H22-IFERROR('Payroll Schedule'!H17/'Payroll Schedule'!H18,0)),ABS('Payroll Schedule'!I20-IFERROR('Payroll Schedule'!I18/'Payroll Schedule'!I16,0)),ABS('Payroll Schedule'!I21-IFERROR('Payroll Schedule'!I19/'Payroll Schedule'!I16,0)),ABS('Payroll Schedule'!I22-IFERROR('Payroll Schedule'!I17/'Payroll Schedule'!I18,0)),ABS('Payroll Schedule'!J20-IFERROR('Payroll Schedule'!J18/'Payroll Schedule'!J16,0)),ABS('Payroll Schedule'!J21-IFERROR('Payroll Schedule'!J19/'Payroll Schedule'!J16,0)),ABS('Payroll Schedule'!J22-IFERROR('Payroll Schedule'!J17/'Payroll Schedule'!J18,0)),ABS('Payroll Schedule'!K20-IFERROR('Payroll Schedule'!K18/'Payroll Schedule'!K16,0)),ABS('Payroll Schedule'!K21-IFERROR('Payroll Schedule'!K19/'Payroll Schedule'!K16,0)),ABS('Payroll Schedule'!K22-IFERROR('Payroll Schedule'!K17/'Payroll Schedule'!K18,0)),ABS('Payroll Schedule'!L20-IFERROR('Payroll Schedule'!L18/'Payroll Schedule'!L16,0)),ABS('Payroll Schedule'!L21-IFERROR('Payroll Schedule'!L19/'Payroll Schedule'!L16,0)),ABS('Payroll Schedule'!L22-IFERROR('Payroll Schedule'!L17/'Payroll Schedule'!L18,0)),ABS('Payroll Schedule'!M20-IFERROR('Payroll Schedule'!M18/'Payroll Schedule'!M16,0)),ABS('Payroll Schedule'!M21-IFERROR('Payroll Schedule'!M19/'Payroll Schedule'!M16,0)),ABS('Payroll Schedule'!M22-IFERROR('Payroll Schedule'!M17/'Payroll Schedule'!M18,0)),ABS('Payroll Schedule'!N20-IFERROR('Payroll Schedule'!N18/'Payroll Schedule'!N16,0)),ABS('Payroll Schedule'!N21-IFERROR('Payroll Schedule'!N19/'Payroll Schedule'!N16,0)),ABS('Payroll Schedule'!N22-IFERROR('Payroll Schedule'!N17/'Payroll Schedule'!N18,0)),ABS('Payroll Schedule'!O20-IFERROR('Payroll Schedule'!O18/'Payroll Schedule'!O16,0)),ABS('Payroll Schedule'!O21-IFERROR('Payroll Schedule'!O19/'Payroll Schedule'!O16,0)),ABS('Payroll Schedule'!O22-IFERROR('Payroll Schedule'!O17/'Payroll Schedule'!O18,0)),ABS('Payroll Schedule'!P20-IFERROR('Payroll Schedule'!P18/'Payroll Schedule'!P16,0)),ABS('Payroll Schedule'!P21-IFERROR('Payroll Schedule'!P19/'Payroll Schedule'!P16,0)),ABS('Payroll Schedule'!P22-IFERROR('Payroll Schedule'!P17/'Payroll Schedule'!P18,0)),ABS('Payroll Schedule'!Q20-IFERROR('Payroll Schedule'!Q18/'Payroll Schedule'!Q16,0)),ABS('Payroll Schedule'!Q21-IFERROR('Payroll Schedule'!Q19/'Payroll Schedule'!Q16,0)),ABS('Payroll Schedule'!Q22-IFERROR('Payroll Schedule'!Q17/'Payroll Schedule'!Q18,0)),ABS('Payroll Schedule'!R20-IFERROR('Payroll Schedule'!R18/'Payroll Schedule'!R16,0)),ABS('Payroll Schedule'!R21-IFERROR('Payroll Schedule'!R19/'Payroll Schedule'!R16,0)),ABS('Payroll Schedule'!R22-IFERROR('Payroll Schedule'!R17/'Payroll Schedule'!R18,0)),ABS('Payroll Schedule'!S20-IFERROR('Payroll Schedule'!S18/'Payroll Schedule'!S16,0)),ABS('Payroll Schedule'!S21-IFERROR('Payroll Schedule'!S19/'Payroll Schedule'!S16,0)),ABS('Payroll Schedule'!S22-IFERROR('Payroll Schedule'!S17/'Payroll Schedule'!S18,0)),ABS('Payroll Schedule'!T20-IFERROR('Payroll Schedule'!T18/'Payroll Schedule'!T16,0)),ABS('Payroll Schedule'!T21-IFERROR('Payroll Schedule'!T19/'Payroll Schedule'!T16,0)),ABS('Payroll Schedule'!T22-IFERROR('Payroll Schedule'!T17/'Payroll Schedule'!T18,0)),ABS('Payroll Schedule'!U20-IFERROR('Payroll Schedule'!U18/'Payroll Schedule'!U16,0)),ABS('Payroll Schedule'!U21-IFERROR('Payroll Schedule'!U19/'Payroll Schedule'!U16,0)),ABS('Payroll Schedule'!U22-IFERROR('Payroll Schedule'!U17/'Payroll Schedule'!U18,0)),ABS('Payroll Schedule'!V20-IFERROR('Payroll Schedule'!V18/'Payroll Schedule'!V16,0)),ABS('Payroll Schedule'!V21-IFERROR('Payroll Schedule'!V19/'Payroll Schedule'!V16,0)),ABS('Payroll Schedule'!V22-IFERROR('Payroll Schedule'!V17/'Payroll Schedule'!V18,0)),ABS('Payroll Schedule'!W20-IFERROR('Payroll Schedule'!W18/'Payroll Schedule'!W16,0)),ABS('Payroll Schedule'!W21-IFERROR('Payroll Schedule'!W19/'Payroll Schedule'!W16,0)),ABS('Payroll Schedule'!W22-IFERROR('Payroll Schedule'!W17/'Payroll Schedule'!W18,0)))</f>
        <v>0</v>
      </c>
      <c r="F17" s="40">
        <v>0</v>
      </c>
      <c r="G17" s="40">
        <f t="shared" si="0"/>
        <v>0</v>
      </c>
      <c r="H17" s="40">
        <v>0.01</v>
      </c>
      <c r="I17" s="39" t="str">
        <f t="shared" si="1"/>
        <v>OK</v>
      </c>
      <c r="J17" t="s">
        <v>292</v>
      </c>
    </row>
    <row r="18" spans="1:10" x14ac:dyDescent="0.3">
      <c r="A18" t="s">
        <v>286</v>
      </c>
      <c r="B18" t="s">
        <v>293</v>
      </c>
      <c r="C18" t="s">
        <v>111</v>
      </c>
      <c r="D18" t="s">
        <v>294</v>
      </c>
      <c r="E18" s="38">
        <f>SUMPRODUCT(ABS('Payroll Schedule'!G27:G86-('Payroll Schedule'!E27:E86+'Payroll Schedule'!F27:F86)))+SUMPRODUCT(ABS('Payroll Schedule'!H27:H86-(('Payroll Schedule'!E27:E86+'Payroll Schedule'!G27:G86)/2)))</f>
        <v>0</v>
      </c>
      <c r="F18" s="38">
        <v>0</v>
      </c>
      <c r="G18" s="38">
        <f t="shared" si="0"/>
        <v>0</v>
      </c>
      <c r="H18" s="38">
        <v>0.01</v>
      </c>
      <c r="I18" s="39" t="str">
        <f t="shared" si="1"/>
        <v>OK</v>
      </c>
      <c r="J18" t="s">
        <v>295</v>
      </c>
    </row>
    <row r="19" spans="1:10" x14ac:dyDescent="0.3">
      <c r="A19" t="s">
        <v>286</v>
      </c>
      <c r="B19" t="s">
        <v>296</v>
      </c>
      <c r="C19" t="s">
        <v>111</v>
      </c>
      <c r="D19" t="s">
        <v>297</v>
      </c>
      <c r="E19" s="38">
        <f>SUMPRODUCT(ABS('Payroll Schedule'!K27:K86-('Payroll Schedule'!H27:H86*'Payroll Schedule'!I27:I86/4)))+SUMPRODUCT(ABS('Payroll Schedule'!L27:L86-('Payroll Schedule'!K27:K86*'Payroll Schedule'!J27:J86)))+SUMPRODUCT(ABS('Payroll Schedule'!M27:M86-('Payroll Schedule'!K27:K86+'Payroll Schedule'!L27:L86)))</f>
        <v>0</v>
      </c>
      <c r="F19" s="38">
        <v>0</v>
      </c>
      <c r="G19" s="38">
        <f t="shared" si="0"/>
        <v>0</v>
      </c>
      <c r="H19" s="38">
        <v>1</v>
      </c>
      <c r="I19" s="39" t="str">
        <f t="shared" si="1"/>
        <v>OK</v>
      </c>
      <c r="J19" t="s">
        <v>298</v>
      </c>
    </row>
    <row r="21" spans="1:10" x14ac:dyDescent="0.3">
      <c r="A21" s="51" t="s">
        <v>299</v>
      </c>
      <c r="B21" s="52"/>
      <c r="C21" s="52"/>
      <c r="D21" s="52"/>
      <c r="E21" s="52"/>
      <c r="F21" s="52"/>
      <c r="G21" s="52"/>
      <c r="H21" s="52"/>
      <c r="I21" s="52"/>
      <c r="J21" s="52"/>
    </row>
    <row r="22" spans="1:10" x14ac:dyDescent="0.3">
      <c r="A22" t="s">
        <v>300</v>
      </c>
      <c r="B22" t="s">
        <v>301</v>
      </c>
      <c r="C22" t="s">
        <v>82</v>
      </c>
      <c r="D22" t="s">
        <v>302</v>
      </c>
      <c r="E22" s="38">
        <f>SUMPRODUCT(ABS('Revenue Drivers'!C11:W11-('Revenue Drivers'!C8:W8*'Revenue Drivers'!C9:W9*'Revenue Drivers'!C10:W10)))</f>
        <v>0</v>
      </c>
      <c r="F22" s="38">
        <v>0</v>
      </c>
      <c r="G22" s="38">
        <f t="shared" ref="G22:G37" si="2">E22-F22</f>
        <v>0</v>
      </c>
      <c r="H22" s="38">
        <v>1</v>
      </c>
      <c r="I22" s="39" t="str">
        <f t="shared" ref="I22:I37" si="3">IF(ABS(G22)&lt;=H22,"OK","FAIL")</f>
        <v>OK</v>
      </c>
      <c r="J22" t="s">
        <v>303</v>
      </c>
    </row>
    <row r="23" spans="1:10" x14ac:dyDescent="0.3">
      <c r="A23" t="s">
        <v>300</v>
      </c>
      <c r="B23" t="s">
        <v>304</v>
      </c>
      <c r="C23" t="s">
        <v>82</v>
      </c>
      <c r="D23" t="s">
        <v>272</v>
      </c>
      <c r="E23" s="38">
        <f>SUMPRODUCT(ABS('Revenue Drivers'!C14:W14-('Revenue Drivers'!C11:W11)))</f>
        <v>0</v>
      </c>
      <c r="F23" s="38">
        <v>0</v>
      </c>
      <c r="G23" s="38">
        <f t="shared" si="2"/>
        <v>0</v>
      </c>
      <c r="H23" s="38">
        <v>1</v>
      </c>
      <c r="I23" s="39" t="str">
        <f t="shared" si="3"/>
        <v>OK</v>
      </c>
      <c r="J23" t="s">
        <v>305</v>
      </c>
    </row>
    <row r="24" spans="1:10" x14ac:dyDescent="0.3">
      <c r="A24" t="s">
        <v>300</v>
      </c>
      <c r="B24" t="s">
        <v>306</v>
      </c>
      <c r="C24" t="s">
        <v>82</v>
      </c>
      <c r="D24" t="s">
        <v>307</v>
      </c>
      <c r="E24" s="38">
        <f>SUMPRODUCT(ABS('Revenue Drivers'!C13:W13-('Revenue Drivers'!C8:W8)))</f>
        <v>0</v>
      </c>
      <c r="F24" s="38">
        <v>0</v>
      </c>
      <c r="G24" s="38">
        <f t="shared" si="2"/>
        <v>0</v>
      </c>
      <c r="H24" s="38">
        <v>0.01</v>
      </c>
      <c r="I24" s="39" t="str">
        <f t="shared" si="3"/>
        <v>OK</v>
      </c>
      <c r="J24" t="s">
        <v>308</v>
      </c>
    </row>
    <row r="25" spans="1:10" x14ac:dyDescent="0.3">
      <c r="A25" t="s">
        <v>300</v>
      </c>
      <c r="B25" t="s">
        <v>309</v>
      </c>
      <c r="C25" t="s">
        <v>155</v>
      </c>
      <c r="D25" t="s">
        <v>310</v>
      </c>
      <c r="E25" s="38">
        <f>SUMPRODUCT(ABS('Debt Schedule'!D7:W7-'Debt Schedule'!C11:V11))</f>
        <v>0</v>
      </c>
      <c r="F25" s="38">
        <v>0</v>
      </c>
      <c r="G25" s="38">
        <f t="shared" si="2"/>
        <v>0</v>
      </c>
      <c r="H25" s="38">
        <v>1</v>
      </c>
      <c r="I25" s="39" t="str">
        <f t="shared" si="3"/>
        <v>OK</v>
      </c>
      <c r="J25" t="s">
        <v>311</v>
      </c>
    </row>
    <row r="26" spans="1:10" x14ac:dyDescent="0.3">
      <c r="A26" t="s">
        <v>300</v>
      </c>
      <c r="B26" t="s">
        <v>312</v>
      </c>
      <c r="C26" t="s">
        <v>155</v>
      </c>
      <c r="D26" t="s">
        <v>278</v>
      </c>
      <c r="E26" s="38">
        <f>SUMPRODUCT(--(('Debt Schedule'!C10:W10-'Debt Schedule'!C9:W9)&gt;1))+SUMPRODUCT(--(('Debt Schedule'!C10:W10-('Debt Schedule'!C7:W7+'Debt Schedule'!C8:W8))&gt;1))</f>
        <v>0</v>
      </c>
      <c r="F26" s="38">
        <v>0</v>
      </c>
      <c r="G26" s="38">
        <f t="shared" si="2"/>
        <v>0</v>
      </c>
      <c r="H26" s="38">
        <v>0</v>
      </c>
      <c r="I26" s="39" t="str">
        <f t="shared" si="3"/>
        <v>OK</v>
      </c>
      <c r="J26" t="s">
        <v>313</v>
      </c>
    </row>
    <row r="27" spans="1:10" x14ac:dyDescent="0.3">
      <c r="A27" t="s">
        <v>300</v>
      </c>
      <c r="B27" t="s">
        <v>314</v>
      </c>
      <c r="C27" t="s">
        <v>155</v>
      </c>
      <c r="D27" t="s">
        <v>315</v>
      </c>
      <c r="E27" s="38">
        <f>SUMPRODUCT(ABS('Debt Schedule'!C11:W11-('Debt Schedule'!C7:W7+'Debt Schedule'!C8:W8-'Debt Schedule'!C10:W10)))</f>
        <v>0</v>
      </c>
      <c r="F27" s="38">
        <v>0</v>
      </c>
      <c r="G27" s="38">
        <f t="shared" si="2"/>
        <v>0</v>
      </c>
      <c r="H27" s="38">
        <v>1</v>
      </c>
      <c r="I27" s="39" t="str">
        <f t="shared" si="3"/>
        <v>OK</v>
      </c>
      <c r="J27" t="s">
        <v>316</v>
      </c>
    </row>
    <row r="28" spans="1:10" x14ac:dyDescent="0.3">
      <c r="A28" t="s">
        <v>300</v>
      </c>
      <c r="B28" t="s">
        <v>317</v>
      </c>
      <c r="C28" t="s">
        <v>155</v>
      </c>
      <c r="D28" t="s">
        <v>318</v>
      </c>
      <c r="E28" s="38">
        <f>SUMPRODUCT(ABS('Debt Schedule'!C13:W13-((('Debt Schedule'!C7:W7+'Debt Schedule'!C11:W11)/2)*'Debt Schedule'!C12:W12)))</f>
        <v>0</v>
      </c>
      <c r="F28" s="38">
        <v>0</v>
      </c>
      <c r="G28" s="38">
        <f t="shared" si="2"/>
        <v>0</v>
      </c>
      <c r="H28" s="38">
        <v>1</v>
      </c>
      <c r="I28" s="39" t="str">
        <f t="shared" si="3"/>
        <v>OK</v>
      </c>
      <c r="J28" t="s">
        <v>319</v>
      </c>
    </row>
    <row r="29" spans="1:10" x14ac:dyDescent="0.3">
      <c r="A29" t="s">
        <v>300</v>
      </c>
      <c r="B29" t="s">
        <v>320</v>
      </c>
      <c r="C29" t="s">
        <v>155</v>
      </c>
      <c r="D29" t="s">
        <v>321</v>
      </c>
      <c r="E29" s="38">
        <f>SUMPRODUCT(ABS('Debt Schedule'!C14:W14-('Debt Schedule'!C13:W13+'Debt Schedule'!C10:W10)))</f>
        <v>0</v>
      </c>
      <c r="F29" s="38">
        <v>0</v>
      </c>
      <c r="G29" s="38">
        <f t="shared" si="2"/>
        <v>0</v>
      </c>
      <c r="H29" s="38">
        <v>1</v>
      </c>
      <c r="I29" s="39" t="str">
        <f t="shared" si="3"/>
        <v>OK</v>
      </c>
      <c r="J29" t="s">
        <v>322</v>
      </c>
    </row>
    <row r="30" spans="1:10" x14ac:dyDescent="0.3">
      <c r="A30" t="s">
        <v>300</v>
      </c>
      <c r="B30" t="s">
        <v>323</v>
      </c>
      <c r="C30" t="s">
        <v>155</v>
      </c>
      <c r="D30" t="s">
        <v>324</v>
      </c>
      <c r="E30" s="38">
        <f>SUMPRODUCT(ABS('Debt Schedule'!D18:W18-'Debt Schedule'!C23:V23))</f>
        <v>0</v>
      </c>
      <c r="F30" s="38">
        <v>0</v>
      </c>
      <c r="G30" s="38">
        <f t="shared" si="2"/>
        <v>0</v>
      </c>
      <c r="H30" s="38">
        <v>1</v>
      </c>
      <c r="I30" s="39" t="str">
        <f t="shared" si="3"/>
        <v>OK</v>
      </c>
      <c r="J30" t="s">
        <v>325</v>
      </c>
    </row>
    <row r="31" spans="1:10" x14ac:dyDescent="0.3">
      <c r="A31" t="s">
        <v>300</v>
      </c>
      <c r="B31" t="s">
        <v>326</v>
      </c>
      <c r="C31" t="s">
        <v>155</v>
      </c>
      <c r="D31" t="s">
        <v>327</v>
      </c>
      <c r="E31" s="38">
        <f>SUMPRODUCT(--(('Debt Schedule'!C20:W20-'Debt Schedule'!C19:W19)&gt;1))+SUMPRODUCT(--(('Debt Schedule'!C20:W20-('Debt Schedule'!C18:W18+'Debt Schedule'!C21:W21))&gt;1))</f>
        <v>0</v>
      </c>
      <c r="F31" s="38">
        <v>0</v>
      </c>
      <c r="G31" s="38">
        <f t="shared" si="2"/>
        <v>0</v>
      </c>
      <c r="H31" s="38">
        <v>0</v>
      </c>
      <c r="I31" s="39" t="str">
        <f t="shared" si="3"/>
        <v>OK</v>
      </c>
      <c r="J31" t="s">
        <v>328</v>
      </c>
    </row>
    <row r="32" spans="1:10" x14ac:dyDescent="0.3">
      <c r="A32" t="s">
        <v>300</v>
      </c>
      <c r="B32" t="s">
        <v>329</v>
      </c>
      <c r="C32" t="s">
        <v>155</v>
      </c>
      <c r="D32" t="s">
        <v>330</v>
      </c>
      <c r="E32" s="38">
        <f>SUMPRODUCT(ABS('Debt Schedule'!C23:W23-('Debt Schedule'!C18:W18+'Debt Schedule'!C21:W21-'Debt Schedule'!C20:W20)))</f>
        <v>0</v>
      </c>
      <c r="F32" s="38">
        <v>0</v>
      </c>
      <c r="G32" s="38">
        <f t="shared" si="2"/>
        <v>0</v>
      </c>
      <c r="H32" s="38">
        <v>1</v>
      </c>
      <c r="I32" s="39" t="str">
        <f t="shared" si="3"/>
        <v>OK</v>
      </c>
      <c r="J32" t="s">
        <v>331</v>
      </c>
    </row>
    <row r="33" spans="1:10" x14ac:dyDescent="0.3">
      <c r="A33" t="s">
        <v>300</v>
      </c>
      <c r="B33" t="s">
        <v>332</v>
      </c>
      <c r="C33" t="s">
        <v>333</v>
      </c>
      <c r="D33" t="s">
        <v>334</v>
      </c>
      <c r="E33" s="38">
        <f>SUMPRODUCT(ABS('CapEx Depreciation'!D7:W7-'CapEx Depreciation'!C12:V12))</f>
        <v>0</v>
      </c>
      <c r="F33" s="38">
        <v>0</v>
      </c>
      <c r="G33" s="38">
        <f t="shared" si="2"/>
        <v>0</v>
      </c>
      <c r="H33" s="38">
        <v>1</v>
      </c>
      <c r="I33" s="39" t="str">
        <f t="shared" si="3"/>
        <v>OK</v>
      </c>
      <c r="J33" t="s">
        <v>335</v>
      </c>
    </row>
    <row r="34" spans="1:10" x14ac:dyDescent="0.3">
      <c r="A34" t="s">
        <v>300</v>
      </c>
      <c r="B34" t="s">
        <v>336</v>
      </c>
      <c r="C34" t="s">
        <v>333</v>
      </c>
      <c r="D34" t="s">
        <v>337</v>
      </c>
      <c r="E34" s="38">
        <f>SUMPRODUCT(ABS('CapEx Depreciation'!C11:W11-('CapEx Depreciation'!C7:W7*'CapEx Depreciation'!C10:W10)))</f>
        <v>0</v>
      </c>
      <c r="F34" s="38">
        <v>0</v>
      </c>
      <c r="G34" s="38">
        <f t="shared" si="2"/>
        <v>0</v>
      </c>
      <c r="H34" s="38">
        <v>1</v>
      </c>
      <c r="I34" s="39" t="str">
        <f t="shared" si="3"/>
        <v>OK</v>
      </c>
      <c r="J34" t="s">
        <v>338</v>
      </c>
    </row>
    <row r="35" spans="1:10" x14ac:dyDescent="0.3">
      <c r="A35" t="s">
        <v>300</v>
      </c>
      <c r="B35" t="s">
        <v>339</v>
      </c>
      <c r="C35" t="s">
        <v>333</v>
      </c>
      <c r="D35" t="s">
        <v>340</v>
      </c>
      <c r="E35" s="38">
        <f>SUMPRODUCT(ABS('CapEx Depreciation'!C12:W12-('CapEx Depreciation'!C7:W7+'CapEx Depreciation'!C8:W8+'CapEx Depreciation'!C9:W9-'CapEx Depreciation'!C11:W11)))</f>
        <v>0</v>
      </c>
      <c r="F35" s="38">
        <v>0</v>
      </c>
      <c r="G35" s="38">
        <f t="shared" si="2"/>
        <v>0</v>
      </c>
      <c r="H35" s="38">
        <v>1</v>
      </c>
      <c r="I35" s="39" t="str">
        <f t="shared" si="3"/>
        <v>OK</v>
      </c>
      <c r="J35" t="s">
        <v>341</v>
      </c>
    </row>
    <row r="36" spans="1:10" x14ac:dyDescent="0.3">
      <c r="A36" t="s">
        <v>300</v>
      </c>
      <c r="B36" t="s">
        <v>342</v>
      </c>
      <c r="C36" t="s">
        <v>333</v>
      </c>
      <c r="D36" t="s">
        <v>343</v>
      </c>
      <c r="E36" s="38">
        <f>SUMPRODUCT(ABS('CapEx Depreciation'!D13:W13-'CapEx Depreciation'!C14:V14))</f>
        <v>0</v>
      </c>
      <c r="F36" s="38">
        <v>0</v>
      </c>
      <c r="G36" s="38">
        <f t="shared" si="2"/>
        <v>0</v>
      </c>
      <c r="H36" s="38">
        <v>1</v>
      </c>
      <c r="I36" s="39" t="str">
        <f t="shared" si="3"/>
        <v>OK</v>
      </c>
      <c r="J36" t="s">
        <v>344</v>
      </c>
    </row>
    <row r="37" spans="1:10" x14ac:dyDescent="0.3">
      <c r="A37" t="s">
        <v>300</v>
      </c>
      <c r="B37" t="s">
        <v>345</v>
      </c>
      <c r="C37" t="s">
        <v>333</v>
      </c>
      <c r="D37" t="s">
        <v>346</v>
      </c>
      <c r="E37" s="38">
        <f>SUMPRODUCT(ABS('CapEx Depreciation'!C14:W14-('CapEx Depreciation'!C13:W13-'CapEx Depreciation'!C11:W11)))</f>
        <v>0</v>
      </c>
      <c r="F37" s="38">
        <v>0</v>
      </c>
      <c r="G37" s="38">
        <f t="shared" si="2"/>
        <v>0</v>
      </c>
      <c r="H37" s="38">
        <v>1</v>
      </c>
      <c r="I37" s="39" t="str">
        <f t="shared" si="3"/>
        <v>OK</v>
      </c>
      <c r="J37" t="s">
        <v>347</v>
      </c>
    </row>
    <row r="39" spans="1:10" x14ac:dyDescent="0.3">
      <c r="A39" s="51" t="s">
        <v>348</v>
      </c>
      <c r="B39" s="52"/>
      <c r="C39" s="52"/>
      <c r="D39" s="52"/>
      <c r="E39" s="52"/>
      <c r="F39" s="52"/>
      <c r="G39" s="52"/>
      <c r="H39" s="52"/>
      <c r="I39" s="52"/>
      <c r="J39" s="52"/>
    </row>
    <row r="40" spans="1:10" x14ac:dyDescent="0.3">
      <c r="A40" t="s">
        <v>349</v>
      </c>
      <c r="B40" t="s">
        <v>350</v>
      </c>
      <c r="C40" t="s">
        <v>82</v>
      </c>
      <c r="D40" t="s">
        <v>272</v>
      </c>
      <c r="E40" s="38">
        <f>21</f>
        <v>21</v>
      </c>
      <c r="F40" s="38">
        <v>21</v>
      </c>
      <c r="G40" s="38">
        <f t="shared" ref="G40:G71" si="4">E40-F40</f>
        <v>0</v>
      </c>
      <c r="H40" s="38">
        <v>0</v>
      </c>
      <c r="I40" s="39" t="str">
        <f t="shared" ref="I40:I71" si="5">IF(G40=0,"OK","FAIL")</f>
        <v>OK</v>
      </c>
      <c r="J40" t="s">
        <v>351</v>
      </c>
    </row>
    <row r="41" spans="1:10" x14ac:dyDescent="0.3">
      <c r="A41" t="s">
        <v>349</v>
      </c>
      <c r="B41" t="s">
        <v>352</v>
      </c>
      <c r="C41" t="s">
        <v>82</v>
      </c>
      <c r="D41" t="s">
        <v>307</v>
      </c>
      <c r="E41" s="38">
        <f>21</f>
        <v>21</v>
      </c>
      <c r="F41" s="38">
        <v>21</v>
      </c>
      <c r="G41" s="38">
        <f t="shared" si="4"/>
        <v>0</v>
      </c>
      <c r="H41" s="38">
        <v>0</v>
      </c>
      <c r="I41" s="39" t="str">
        <f t="shared" si="5"/>
        <v>OK</v>
      </c>
      <c r="J41" t="s">
        <v>351</v>
      </c>
    </row>
    <row r="42" spans="1:10" x14ac:dyDescent="0.3">
      <c r="A42" t="s">
        <v>349</v>
      </c>
      <c r="B42" t="s">
        <v>353</v>
      </c>
      <c r="C42" t="s">
        <v>82</v>
      </c>
      <c r="D42" t="s">
        <v>354</v>
      </c>
      <c r="E42" s="38">
        <f>21</f>
        <v>21</v>
      </c>
      <c r="F42" s="38">
        <v>21</v>
      </c>
      <c r="G42" s="38">
        <f t="shared" si="4"/>
        <v>0</v>
      </c>
      <c r="H42" s="38">
        <v>0</v>
      </c>
      <c r="I42" s="39" t="str">
        <f t="shared" si="5"/>
        <v>OK</v>
      </c>
      <c r="J42" t="s">
        <v>351</v>
      </c>
    </row>
    <row r="43" spans="1:10" x14ac:dyDescent="0.3">
      <c r="A43" t="s">
        <v>349</v>
      </c>
      <c r="B43" t="s">
        <v>355</v>
      </c>
      <c r="C43" t="s">
        <v>111</v>
      </c>
      <c r="D43" t="s">
        <v>356</v>
      </c>
      <c r="E43" s="38">
        <f>21</f>
        <v>21</v>
      </c>
      <c r="F43" s="38">
        <v>21</v>
      </c>
      <c r="G43" s="38">
        <f t="shared" si="4"/>
        <v>0</v>
      </c>
      <c r="H43" s="38">
        <v>0</v>
      </c>
      <c r="I43" s="39" t="str">
        <f t="shared" si="5"/>
        <v>OK</v>
      </c>
      <c r="J43" t="s">
        <v>351</v>
      </c>
    </row>
    <row r="44" spans="1:10" x14ac:dyDescent="0.3">
      <c r="A44" t="s">
        <v>349</v>
      </c>
      <c r="B44" t="s">
        <v>357</v>
      </c>
      <c r="C44" t="s">
        <v>111</v>
      </c>
      <c r="D44" t="s">
        <v>358</v>
      </c>
      <c r="E44" s="38">
        <f>21</f>
        <v>21</v>
      </c>
      <c r="F44" s="38">
        <v>21</v>
      </c>
      <c r="G44" s="38">
        <f t="shared" si="4"/>
        <v>0</v>
      </c>
      <c r="H44" s="38">
        <v>0</v>
      </c>
      <c r="I44" s="39" t="str">
        <f t="shared" si="5"/>
        <v>OK</v>
      </c>
      <c r="J44" t="s">
        <v>351</v>
      </c>
    </row>
    <row r="45" spans="1:10" x14ac:dyDescent="0.3">
      <c r="A45" t="s">
        <v>349</v>
      </c>
      <c r="B45" t="s">
        <v>359</v>
      </c>
      <c r="C45" t="s">
        <v>111</v>
      </c>
      <c r="D45" t="s">
        <v>360</v>
      </c>
      <c r="E45" s="38">
        <f>21</f>
        <v>21</v>
      </c>
      <c r="F45" s="38">
        <v>21</v>
      </c>
      <c r="G45" s="38">
        <f t="shared" si="4"/>
        <v>0</v>
      </c>
      <c r="H45" s="38">
        <v>0</v>
      </c>
      <c r="I45" s="39" t="str">
        <f t="shared" si="5"/>
        <v>OK</v>
      </c>
      <c r="J45" t="s">
        <v>351</v>
      </c>
    </row>
    <row r="46" spans="1:10" x14ac:dyDescent="0.3">
      <c r="A46" t="s">
        <v>349</v>
      </c>
      <c r="B46" t="s">
        <v>361</v>
      </c>
      <c r="C46" t="s">
        <v>111</v>
      </c>
      <c r="D46" t="s">
        <v>362</v>
      </c>
      <c r="E46" s="38">
        <f>21</f>
        <v>21</v>
      </c>
      <c r="F46" s="38">
        <v>21</v>
      </c>
      <c r="G46" s="38">
        <f t="shared" si="4"/>
        <v>0</v>
      </c>
      <c r="H46" s="38">
        <v>0</v>
      </c>
      <c r="I46" s="39" t="str">
        <f t="shared" si="5"/>
        <v>OK</v>
      </c>
      <c r="J46" t="s">
        <v>351</v>
      </c>
    </row>
    <row r="47" spans="1:10" x14ac:dyDescent="0.3">
      <c r="A47" t="s">
        <v>349</v>
      </c>
      <c r="B47" t="s">
        <v>363</v>
      </c>
      <c r="C47" t="s">
        <v>111</v>
      </c>
      <c r="D47" t="s">
        <v>364</v>
      </c>
      <c r="E47" s="38">
        <f>21</f>
        <v>21</v>
      </c>
      <c r="F47" s="38">
        <v>21</v>
      </c>
      <c r="G47" s="38">
        <f t="shared" si="4"/>
        <v>0</v>
      </c>
      <c r="H47" s="38">
        <v>0</v>
      </c>
      <c r="I47" s="39" t="str">
        <f t="shared" si="5"/>
        <v>OK</v>
      </c>
      <c r="J47" t="s">
        <v>351</v>
      </c>
    </row>
    <row r="48" spans="1:10" x14ac:dyDescent="0.3">
      <c r="A48" t="s">
        <v>349</v>
      </c>
      <c r="B48" t="s">
        <v>365</v>
      </c>
      <c r="C48" t="s">
        <v>111</v>
      </c>
      <c r="D48" t="s">
        <v>366</v>
      </c>
      <c r="E48" s="38">
        <f>21</f>
        <v>21</v>
      </c>
      <c r="F48" s="38">
        <v>21</v>
      </c>
      <c r="G48" s="38">
        <f t="shared" si="4"/>
        <v>0</v>
      </c>
      <c r="H48" s="38">
        <v>0</v>
      </c>
      <c r="I48" s="39" t="str">
        <f t="shared" si="5"/>
        <v>OK</v>
      </c>
      <c r="J48" t="s">
        <v>351</v>
      </c>
    </row>
    <row r="49" spans="1:10" x14ac:dyDescent="0.3">
      <c r="A49" t="s">
        <v>349</v>
      </c>
      <c r="B49" t="s">
        <v>367</v>
      </c>
      <c r="C49" t="s">
        <v>111</v>
      </c>
      <c r="D49" t="s">
        <v>368</v>
      </c>
      <c r="E49" s="38">
        <f>21</f>
        <v>21</v>
      </c>
      <c r="F49" s="38">
        <v>21</v>
      </c>
      <c r="G49" s="38">
        <f t="shared" si="4"/>
        <v>0</v>
      </c>
      <c r="H49" s="38">
        <v>0</v>
      </c>
      <c r="I49" s="39" t="str">
        <f t="shared" si="5"/>
        <v>OK</v>
      </c>
      <c r="J49" t="s">
        <v>351</v>
      </c>
    </row>
    <row r="50" spans="1:10" x14ac:dyDescent="0.3">
      <c r="A50" t="s">
        <v>349</v>
      </c>
      <c r="B50" t="s">
        <v>369</v>
      </c>
      <c r="C50" t="s">
        <v>111</v>
      </c>
      <c r="D50" t="s">
        <v>370</v>
      </c>
      <c r="E50" s="38">
        <f>21</f>
        <v>21</v>
      </c>
      <c r="F50" s="38">
        <v>21</v>
      </c>
      <c r="G50" s="38">
        <f t="shared" si="4"/>
        <v>0</v>
      </c>
      <c r="H50" s="38">
        <v>0</v>
      </c>
      <c r="I50" s="39" t="str">
        <f t="shared" si="5"/>
        <v>OK</v>
      </c>
      <c r="J50" t="s">
        <v>351</v>
      </c>
    </row>
    <row r="51" spans="1:10" x14ac:dyDescent="0.3">
      <c r="A51" t="s">
        <v>349</v>
      </c>
      <c r="B51" t="s">
        <v>371</v>
      </c>
      <c r="C51" t="s">
        <v>333</v>
      </c>
      <c r="D51" t="s">
        <v>372</v>
      </c>
      <c r="E51" s="38">
        <f>20</f>
        <v>20</v>
      </c>
      <c r="F51" s="38">
        <v>20</v>
      </c>
      <c r="G51" s="38">
        <f t="shared" si="4"/>
        <v>0</v>
      </c>
      <c r="H51" s="38">
        <v>0</v>
      </c>
      <c r="I51" s="39" t="str">
        <f t="shared" si="5"/>
        <v>OK</v>
      </c>
      <c r="J51" t="s">
        <v>351</v>
      </c>
    </row>
    <row r="52" spans="1:10" x14ac:dyDescent="0.3">
      <c r="A52" t="s">
        <v>349</v>
      </c>
      <c r="B52" t="s">
        <v>373</v>
      </c>
      <c r="C52" t="s">
        <v>333</v>
      </c>
      <c r="D52" t="s">
        <v>340</v>
      </c>
      <c r="E52" s="38">
        <f>21</f>
        <v>21</v>
      </c>
      <c r="F52" s="38">
        <v>21</v>
      </c>
      <c r="G52" s="38">
        <f t="shared" si="4"/>
        <v>0</v>
      </c>
      <c r="H52" s="38">
        <v>0</v>
      </c>
      <c r="I52" s="39" t="str">
        <f t="shared" si="5"/>
        <v>OK</v>
      </c>
      <c r="J52" t="s">
        <v>351</v>
      </c>
    </row>
    <row r="53" spans="1:10" x14ac:dyDescent="0.3">
      <c r="A53" t="s">
        <v>349</v>
      </c>
      <c r="B53" t="s">
        <v>374</v>
      </c>
      <c r="C53" t="s">
        <v>155</v>
      </c>
      <c r="D53" t="s">
        <v>310</v>
      </c>
      <c r="E53" s="38">
        <f>20</f>
        <v>20</v>
      </c>
      <c r="F53" s="38">
        <v>20</v>
      </c>
      <c r="G53" s="38">
        <f t="shared" si="4"/>
        <v>0</v>
      </c>
      <c r="H53" s="38">
        <v>0</v>
      </c>
      <c r="I53" s="39" t="str">
        <f t="shared" si="5"/>
        <v>OK</v>
      </c>
      <c r="J53" t="s">
        <v>375</v>
      </c>
    </row>
    <row r="54" spans="1:10" x14ac:dyDescent="0.3">
      <c r="A54" t="s">
        <v>349</v>
      </c>
      <c r="B54" t="s">
        <v>376</v>
      </c>
      <c r="C54" t="s">
        <v>155</v>
      </c>
      <c r="D54" t="s">
        <v>278</v>
      </c>
      <c r="E54" s="38">
        <f>21</f>
        <v>21</v>
      </c>
      <c r="F54" s="38">
        <v>21</v>
      </c>
      <c r="G54" s="38">
        <f t="shared" si="4"/>
        <v>0</v>
      </c>
      <c r="H54" s="38">
        <v>0</v>
      </c>
      <c r="I54" s="39" t="str">
        <f t="shared" si="5"/>
        <v>OK</v>
      </c>
      <c r="J54" t="s">
        <v>375</v>
      </c>
    </row>
    <row r="55" spans="1:10" x14ac:dyDescent="0.3">
      <c r="A55" t="s">
        <v>349</v>
      </c>
      <c r="B55" t="s">
        <v>377</v>
      </c>
      <c r="C55" t="s">
        <v>155</v>
      </c>
      <c r="D55" t="s">
        <v>315</v>
      </c>
      <c r="E55" s="38">
        <f>21</f>
        <v>21</v>
      </c>
      <c r="F55" s="38">
        <v>21</v>
      </c>
      <c r="G55" s="38">
        <f t="shared" si="4"/>
        <v>0</v>
      </c>
      <c r="H55" s="38">
        <v>0</v>
      </c>
      <c r="I55" s="39" t="str">
        <f t="shared" si="5"/>
        <v>OK</v>
      </c>
      <c r="J55" t="s">
        <v>375</v>
      </c>
    </row>
    <row r="56" spans="1:10" x14ac:dyDescent="0.3">
      <c r="A56" t="s">
        <v>349</v>
      </c>
      <c r="B56" t="s">
        <v>378</v>
      </c>
      <c r="C56" t="s">
        <v>155</v>
      </c>
      <c r="D56" t="s">
        <v>318</v>
      </c>
      <c r="E56" s="38">
        <f>21</f>
        <v>21</v>
      </c>
      <c r="F56" s="38">
        <v>21</v>
      </c>
      <c r="G56" s="38">
        <f t="shared" si="4"/>
        <v>0</v>
      </c>
      <c r="H56" s="38">
        <v>0</v>
      </c>
      <c r="I56" s="39" t="str">
        <f t="shared" si="5"/>
        <v>OK</v>
      </c>
      <c r="J56" t="s">
        <v>375</v>
      </c>
    </row>
    <row r="57" spans="1:10" x14ac:dyDescent="0.3">
      <c r="A57" t="s">
        <v>349</v>
      </c>
      <c r="B57" t="s">
        <v>379</v>
      </c>
      <c r="C57" t="s">
        <v>155</v>
      </c>
      <c r="D57" t="s">
        <v>321</v>
      </c>
      <c r="E57" s="38">
        <f>21</f>
        <v>21</v>
      </c>
      <c r="F57" s="38">
        <v>21</v>
      </c>
      <c r="G57" s="38">
        <f t="shared" si="4"/>
        <v>0</v>
      </c>
      <c r="H57" s="38">
        <v>0</v>
      </c>
      <c r="I57" s="39" t="str">
        <f t="shared" si="5"/>
        <v>OK</v>
      </c>
      <c r="J57" t="s">
        <v>375</v>
      </c>
    </row>
    <row r="58" spans="1:10" x14ac:dyDescent="0.3">
      <c r="A58" t="s">
        <v>349</v>
      </c>
      <c r="B58" t="s">
        <v>380</v>
      </c>
      <c r="C58" t="s">
        <v>155</v>
      </c>
      <c r="D58" t="s">
        <v>324</v>
      </c>
      <c r="E58" s="38">
        <f>20</f>
        <v>20</v>
      </c>
      <c r="F58" s="38">
        <v>20</v>
      </c>
      <c r="G58" s="38">
        <f t="shared" si="4"/>
        <v>0</v>
      </c>
      <c r="H58" s="38">
        <v>0</v>
      </c>
      <c r="I58" s="39" t="str">
        <f t="shared" si="5"/>
        <v>OK</v>
      </c>
      <c r="J58" t="s">
        <v>375</v>
      </c>
    </row>
    <row r="59" spans="1:10" x14ac:dyDescent="0.3">
      <c r="A59" t="s">
        <v>349</v>
      </c>
      <c r="B59" t="s">
        <v>381</v>
      </c>
      <c r="C59" t="s">
        <v>155</v>
      </c>
      <c r="D59" t="s">
        <v>327</v>
      </c>
      <c r="E59" s="38">
        <f>21</f>
        <v>21</v>
      </c>
      <c r="F59" s="38">
        <v>21</v>
      </c>
      <c r="G59" s="38">
        <f t="shared" si="4"/>
        <v>0</v>
      </c>
      <c r="H59" s="38">
        <v>0</v>
      </c>
      <c r="I59" s="39" t="str">
        <f t="shared" si="5"/>
        <v>OK</v>
      </c>
      <c r="J59" t="s">
        <v>375</v>
      </c>
    </row>
    <row r="60" spans="1:10" x14ac:dyDescent="0.3">
      <c r="A60" t="s">
        <v>349</v>
      </c>
      <c r="B60" t="s">
        <v>382</v>
      </c>
      <c r="C60" t="s">
        <v>155</v>
      </c>
      <c r="D60" t="s">
        <v>330</v>
      </c>
      <c r="E60" s="38">
        <f>21</f>
        <v>21</v>
      </c>
      <c r="F60" s="38">
        <v>21</v>
      </c>
      <c r="G60" s="38">
        <f t="shared" si="4"/>
        <v>0</v>
      </c>
      <c r="H60" s="38">
        <v>0</v>
      </c>
      <c r="I60" s="39" t="str">
        <f t="shared" si="5"/>
        <v>OK</v>
      </c>
      <c r="J60" t="s">
        <v>375</v>
      </c>
    </row>
    <row r="61" spans="1:10" x14ac:dyDescent="0.3">
      <c r="A61" t="s">
        <v>349</v>
      </c>
      <c r="B61" t="s">
        <v>383</v>
      </c>
      <c r="C61" t="s">
        <v>111</v>
      </c>
      <c r="D61" t="s">
        <v>384</v>
      </c>
      <c r="E61" s="38">
        <f>60</f>
        <v>60</v>
      </c>
      <c r="F61" s="38">
        <v>60</v>
      </c>
      <c r="G61" s="38">
        <f t="shared" si="4"/>
        <v>0</v>
      </c>
      <c r="H61" s="38">
        <v>0</v>
      </c>
      <c r="I61" s="39" t="str">
        <f t="shared" si="5"/>
        <v>OK</v>
      </c>
      <c r="J61" t="s">
        <v>385</v>
      </c>
    </row>
    <row r="62" spans="1:10" x14ac:dyDescent="0.3">
      <c r="A62" t="s">
        <v>349</v>
      </c>
      <c r="B62" t="s">
        <v>386</v>
      </c>
      <c r="C62" t="s">
        <v>111</v>
      </c>
      <c r="D62" t="s">
        <v>387</v>
      </c>
      <c r="E62" s="38">
        <f>60</f>
        <v>60</v>
      </c>
      <c r="F62" s="38">
        <v>60</v>
      </c>
      <c r="G62" s="38">
        <f t="shared" si="4"/>
        <v>0</v>
      </c>
      <c r="H62" s="38">
        <v>0</v>
      </c>
      <c r="I62" s="39" t="str">
        <f t="shared" si="5"/>
        <v>OK</v>
      </c>
      <c r="J62" t="s">
        <v>385</v>
      </c>
    </row>
    <row r="63" spans="1:10" x14ac:dyDescent="0.3">
      <c r="A63" t="s">
        <v>349</v>
      </c>
      <c r="B63" t="s">
        <v>388</v>
      </c>
      <c r="C63" t="s">
        <v>111</v>
      </c>
      <c r="D63" t="s">
        <v>389</v>
      </c>
      <c r="E63" s="38">
        <f>60</f>
        <v>60</v>
      </c>
      <c r="F63" s="38">
        <v>60</v>
      </c>
      <c r="G63" s="38">
        <f t="shared" si="4"/>
        <v>0</v>
      </c>
      <c r="H63" s="38">
        <v>0</v>
      </c>
      <c r="I63" s="39" t="str">
        <f t="shared" si="5"/>
        <v>OK</v>
      </c>
      <c r="J63" t="s">
        <v>385</v>
      </c>
    </row>
    <row r="64" spans="1:10" x14ac:dyDescent="0.3">
      <c r="A64" t="s">
        <v>349</v>
      </c>
      <c r="B64" t="s">
        <v>390</v>
      </c>
      <c r="C64" t="s">
        <v>111</v>
      </c>
      <c r="D64" t="s">
        <v>391</v>
      </c>
      <c r="E64" s="38">
        <f>60</f>
        <v>60</v>
      </c>
      <c r="F64" s="38">
        <v>60</v>
      </c>
      <c r="G64" s="38">
        <f t="shared" si="4"/>
        <v>0</v>
      </c>
      <c r="H64" s="38">
        <v>0</v>
      </c>
      <c r="I64" s="39" t="str">
        <f t="shared" si="5"/>
        <v>OK</v>
      </c>
      <c r="J64" t="s">
        <v>385</v>
      </c>
    </row>
    <row r="65" spans="1:10" x14ac:dyDescent="0.3">
      <c r="A65" t="s">
        <v>349</v>
      </c>
      <c r="B65" t="s">
        <v>392</v>
      </c>
      <c r="C65" t="s">
        <v>111</v>
      </c>
      <c r="D65" t="s">
        <v>393</v>
      </c>
      <c r="E65" s="38">
        <f>60</f>
        <v>60</v>
      </c>
      <c r="F65" s="38">
        <v>60</v>
      </c>
      <c r="G65" s="38">
        <f t="shared" si="4"/>
        <v>0</v>
      </c>
      <c r="H65" s="38">
        <v>0</v>
      </c>
      <c r="I65" s="39" t="str">
        <f t="shared" si="5"/>
        <v>OK</v>
      </c>
      <c r="J65" t="s">
        <v>385</v>
      </c>
    </row>
    <row r="66" spans="1:10" x14ac:dyDescent="0.3">
      <c r="A66" t="s">
        <v>349</v>
      </c>
      <c r="B66" t="s">
        <v>394</v>
      </c>
      <c r="C66" t="s">
        <v>218</v>
      </c>
      <c r="D66" t="s">
        <v>395</v>
      </c>
      <c r="E66" s="38">
        <f>21</f>
        <v>21</v>
      </c>
      <c r="F66" s="38">
        <v>21</v>
      </c>
      <c r="G66" s="38">
        <f t="shared" si="4"/>
        <v>0</v>
      </c>
      <c r="H66" s="38">
        <v>0</v>
      </c>
      <c r="I66" s="39" t="str">
        <f t="shared" si="5"/>
        <v>OK</v>
      </c>
      <c r="J66" t="s">
        <v>396</v>
      </c>
    </row>
    <row r="67" spans="1:10" x14ac:dyDescent="0.3">
      <c r="A67" t="s">
        <v>349</v>
      </c>
      <c r="B67" t="s">
        <v>397</v>
      </c>
      <c r="C67" t="s">
        <v>218</v>
      </c>
      <c r="D67" t="s">
        <v>398</v>
      </c>
      <c r="E67" s="38">
        <f>21</f>
        <v>21</v>
      </c>
      <c r="F67" s="38">
        <v>21</v>
      </c>
      <c r="G67" s="38">
        <f t="shared" si="4"/>
        <v>0</v>
      </c>
      <c r="H67" s="38">
        <v>0</v>
      </c>
      <c r="I67" s="39" t="str">
        <f t="shared" si="5"/>
        <v>OK</v>
      </c>
      <c r="J67" t="s">
        <v>396</v>
      </c>
    </row>
    <row r="68" spans="1:10" x14ac:dyDescent="0.3">
      <c r="A68" t="s">
        <v>349</v>
      </c>
      <c r="B68" t="s">
        <v>399</v>
      </c>
      <c r="C68" t="s">
        <v>218</v>
      </c>
      <c r="D68" t="s">
        <v>400</v>
      </c>
      <c r="E68" s="38">
        <f>21</f>
        <v>21</v>
      </c>
      <c r="F68" s="38">
        <v>21</v>
      </c>
      <c r="G68" s="38">
        <f t="shared" si="4"/>
        <v>0</v>
      </c>
      <c r="H68" s="38">
        <v>0</v>
      </c>
      <c r="I68" s="39" t="str">
        <f t="shared" si="5"/>
        <v>OK</v>
      </c>
      <c r="J68" t="s">
        <v>396</v>
      </c>
    </row>
    <row r="69" spans="1:10" x14ac:dyDescent="0.3">
      <c r="A69" t="s">
        <v>349</v>
      </c>
      <c r="B69" t="s">
        <v>401</v>
      </c>
      <c r="C69" t="s">
        <v>218</v>
      </c>
      <c r="D69" t="s">
        <v>402</v>
      </c>
      <c r="E69" s="38">
        <f>21</f>
        <v>21</v>
      </c>
      <c r="F69" s="38">
        <v>21</v>
      </c>
      <c r="G69" s="38">
        <f t="shared" si="4"/>
        <v>0</v>
      </c>
      <c r="H69" s="38">
        <v>0</v>
      </c>
      <c r="I69" s="39" t="str">
        <f t="shared" si="5"/>
        <v>OK</v>
      </c>
      <c r="J69" t="s">
        <v>396</v>
      </c>
    </row>
    <row r="70" spans="1:10" x14ac:dyDescent="0.3">
      <c r="A70" t="s">
        <v>349</v>
      </c>
      <c r="B70" t="s">
        <v>403</v>
      </c>
      <c r="C70" t="s">
        <v>218</v>
      </c>
      <c r="D70" t="s">
        <v>404</v>
      </c>
      <c r="E70" s="38">
        <f>21</f>
        <v>21</v>
      </c>
      <c r="F70" s="38">
        <v>21</v>
      </c>
      <c r="G70" s="38">
        <f t="shared" si="4"/>
        <v>0</v>
      </c>
      <c r="H70" s="38">
        <v>0</v>
      </c>
      <c r="I70" s="39" t="str">
        <f t="shared" si="5"/>
        <v>OK</v>
      </c>
      <c r="J70" t="s">
        <v>396</v>
      </c>
    </row>
    <row r="71" spans="1:10" x14ac:dyDescent="0.3">
      <c r="A71" t="s">
        <v>349</v>
      </c>
      <c r="B71" t="s">
        <v>405</v>
      </c>
      <c r="C71" t="s">
        <v>218</v>
      </c>
      <c r="D71" t="s">
        <v>406</v>
      </c>
      <c r="E71" s="38">
        <f>21</f>
        <v>21</v>
      </c>
      <c r="F71" s="38">
        <v>21</v>
      </c>
      <c r="G71" s="38">
        <f t="shared" si="4"/>
        <v>0</v>
      </c>
      <c r="H71" s="38">
        <v>0</v>
      </c>
      <c r="I71" s="39" t="str">
        <f t="shared" si="5"/>
        <v>OK</v>
      </c>
      <c r="J71" t="s">
        <v>396</v>
      </c>
    </row>
    <row r="72" spans="1:10" x14ac:dyDescent="0.3">
      <c r="A72" t="s">
        <v>349</v>
      </c>
      <c r="B72" t="s">
        <v>407</v>
      </c>
      <c r="C72" t="s">
        <v>218</v>
      </c>
      <c r="D72" t="s">
        <v>408</v>
      </c>
      <c r="E72" s="38">
        <f>20</f>
        <v>20</v>
      </c>
      <c r="F72" s="38">
        <v>20</v>
      </c>
      <c r="G72" s="38">
        <f t="shared" ref="G72:G103" si="6">E72-F72</f>
        <v>0</v>
      </c>
      <c r="H72" s="38">
        <v>0</v>
      </c>
      <c r="I72" s="39" t="str">
        <f t="shared" ref="I72:I103" si="7">IF(G72=0,"OK","FAIL")</f>
        <v>OK</v>
      </c>
      <c r="J72" t="s">
        <v>396</v>
      </c>
    </row>
    <row r="73" spans="1:10" x14ac:dyDescent="0.3">
      <c r="A73" t="s">
        <v>349</v>
      </c>
      <c r="B73" t="s">
        <v>409</v>
      </c>
      <c r="C73" t="s">
        <v>218</v>
      </c>
      <c r="D73" t="s">
        <v>410</v>
      </c>
      <c r="E73" s="38">
        <f>21</f>
        <v>21</v>
      </c>
      <c r="F73" s="38">
        <v>21</v>
      </c>
      <c r="G73" s="38">
        <f t="shared" si="6"/>
        <v>0</v>
      </c>
      <c r="H73" s="38">
        <v>0</v>
      </c>
      <c r="I73" s="39" t="str">
        <f t="shared" si="7"/>
        <v>OK</v>
      </c>
      <c r="J73" t="s">
        <v>396</v>
      </c>
    </row>
    <row r="74" spans="1:10" x14ac:dyDescent="0.3">
      <c r="A74" t="s">
        <v>349</v>
      </c>
      <c r="B74" t="s">
        <v>411</v>
      </c>
      <c r="C74" t="s">
        <v>218</v>
      </c>
      <c r="D74" t="s">
        <v>412</v>
      </c>
      <c r="E74" s="38">
        <f>20</f>
        <v>20</v>
      </c>
      <c r="F74" s="38">
        <v>20</v>
      </c>
      <c r="G74" s="38">
        <f t="shared" si="6"/>
        <v>0</v>
      </c>
      <c r="H74" s="38">
        <v>0</v>
      </c>
      <c r="I74" s="39" t="str">
        <f t="shared" si="7"/>
        <v>OK</v>
      </c>
      <c r="J74" t="s">
        <v>396</v>
      </c>
    </row>
    <row r="75" spans="1:10" x14ac:dyDescent="0.3">
      <c r="A75" t="s">
        <v>349</v>
      </c>
      <c r="B75" t="s">
        <v>413</v>
      </c>
      <c r="C75" t="s">
        <v>218</v>
      </c>
      <c r="D75" t="s">
        <v>414</v>
      </c>
      <c r="E75" s="38">
        <f>21</f>
        <v>21</v>
      </c>
      <c r="F75" s="38">
        <v>21</v>
      </c>
      <c r="G75" s="38">
        <f t="shared" si="6"/>
        <v>0</v>
      </c>
      <c r="H75" s="38">
        <v>0</v>
      </c>
      <c r="I75" s="39" t="str">
        <f t="shared" si="7"/>
        <v>OK</v>
      </c>
      <c r="J75" t="s">
        <v>396</v>
      </c>
    </row>
    <row r="76" spans="1:10" x14ac:dyDescent="0.3">
      <c r="A76" t="s">
        <v>349</v>
      </c>
      <c r="B76" t="s">
        <v>415</v>
      </c>
      <c r="C76" t="s">
        <v>218</v>
      </c>
      <c r="D76" t="s">
        <v>416</v>
      </c>
      <c r="E76" s="38">
        <f>21</f>
        <v>21</v>
      </c>
      <c r="F76" s="38">
        <v>21</v>
      </c>
      <c r="G76" s="38">
        <f t="shared" si="6"/>
        <v>0</v>
      </c>
      <c r="H76" s="38">
        <v>0</v>
      </c>
      <c r="I76" s="39" t="str">
        <f t="shared" si="7"/>
        <v>OK</v>
      </c>
      <c r="J76" t="s">
        <v>396</v>
      </c>
    </row>
    <row r="77" spans="1:10" x14ac:dyDescent="0.3">
      <c r="A77" t="s">
        <v>349</v>
      </c>
      <c r="B77" t="s">
        <v>417</v>
      </c>
      <c r="C77" t="s">
        <v>218</v>
      </c>
      <c r="D77" t="s">
        <v>418</v>
      </c>
      <c r="E77" s="38">
        <f>21</f>
        <v>21</v>
      </c>
      <c r="F77" s="38">
        <v>21</v>
      </c>
      <c r="G77" s="38">
        <f t="shared" si="6"/>
        <v>0</v>
      </c>
      <c r="H77" s="38">
        <v>0</v>
      </c>
      <c r="I77" s="39" t="str">
        <f t="shared" si="7"/>
        <v>OK</v>
      </c>
      <c r="J77" t="s">
        <v>396</v>
      </c>
    </row>
    <row r="78" spans="1:10" x14ac:dyDescent="0.3">
      <c r="A78" t="s">
        <v>349</v>
      </c>
      <c r="B78" t="s">
        <v>419</v>
      </c>
      <c r="C78" t="s">
        <v>218</v>
      </c>
      <c r="D78" t="s">
        <v>420</v>
      </c>
      <c r="E78" s="38">
        <f>21</f>
        <v>21</v>
      </c>
      <c r="F78" s="38">
        <v>21</v>
      </c>
      <c r="G78" s="38">
        <f t="shared" si="6"/>
        <v>0</v>
      </c>
      <c r="H78" s="38">
        <v>0</v>
      </c>
      <c r="I78" s="39" t="str">
        <f t="shared" si="7"/>
        <v>OK</v>
      </c>
      <c r="J78" t="s">
        <v>396</v>
      </c>
    </row>
    <row r="79" spans="1:10" x14ac:dyDescent="0.3">
      <c r="A79" t="s">
        <v>349</v>
      </c>
      <c r="B79" t="s">
        <v>421</v>
      </c>
      <c r="C79" t="s">
        <v>218</v>
      </c>
      <c r="D79" t="s">
        <v>422</v>
      </c>
      <c r="E79" s="38">
        <f>21</f>
        <v>21</v>
      </c>
      <c r="F79" s="38">
        <v>21</v>
      </c>
      <c r="G79" s="38">
        <f t="shared" si="6"/>
        <v>0</v>
      </c>
      <c r="H79" s="38">
        <v>0</v>
      </c>
      <c r="I79" s="39" t="str">
        <f t="shared" si="7"/>
        <v>OK</v>
      </c>
      <c r="J79" t="s">
        <v>396</v>
      </c>
    </row>
    <row r="80" spans="1:10" x14ac:dyDescent="0.3">
      <c r="A80" t="s">
        <v>349</v>
      </c>
      <c r="B80" t="s">
        <v>423</v>
      </c>
      <c r="C80" t="s">
        <v>218</v>
      </c>
      <c r="D80" t="s">
        <v>424</v>
      </c>
      <c r="E80" s="38">
        <f>21</f>
        <v>21</v>
      </c>
      <c r="F80" s="38">
        <v>21</v>
      </c>
      <c r="G80" s="38">
        <f t="shared" si="6"/>
        <v>0</v>
      </c>
      <c r="H80" s="38">
        <v>0</v>
      </c>
      <c r="I80" s="39" t="str">
        <f t="shared" si="7"/>
        <v>OK</v>
      </c>
      <c r="J80" t="s">
        <v>396</v>
      </c>
    </row>
    <row r="81" spans="1:10" x14ac:dyDescent="0.3">
      <c r="A81" t="s">
        <v>349</v>
      </c>
      <c r="B81" t="s">
        <v>425</v>
      </c>
      <c r="C81" t="s">
        <v>218</v>
      </c>
      <c r="D81" t="s">
        <v>426</v>
      </c>
      <c r="E81" s="38">
        <f>21</f>
        <v>21</v>
      </c>
      <c r="F81" s="38">
        <v>21</v>
      </c>
      <c r="G81" s="38">
        <f t="shared" si="6"/>
        <v>0</v>
      </c>
      <c r="H81" s="38">
        <v>0</v>
      </c>
      <c r="I81" s="39" t="str">
        <f t="shared" si="7"/>
        <v>OK</v>
      </c>
      <c r="J81" t="s">
        <v>396</v>
      </c>
    </row>
    <row r="82" spans="1:10" x14ac:dyDescent="0.3">
      <c r="A82" t="s">
        <v>349</v>
      </c>
      <c r="B82" t="s">
        <v>427</v>
      </c>
      <c r="C82" t="s">
        <v>218</v>
      </c>
      <c r="D82" t="s">
        <v>428</v>
      </c>
      <c r="E82" s="38">
        <f>21</f>
        <v>21</v>
      </c>
      <c r="F82" s="38">
        <v>21</v>
      </c>
      <c r="G82" s="38">
        <f t="shared" si="6"/>
        <v>0</v>
      </c>
      <c r="H82" s="38">
        <v>0</v>
      </c>
      <c r="I82" s="39" t="str">
        <f t="shared" si="7"/>
        <v>OK</v>
      </c>
      <c r="J82" t="s">
        <v>396</v>
      </c>
    </row>
    <row r="83" spans="1:10" x14ac:dyDescent="0.3">
      <c r="A83" t="s">
        <v>349</v>
      </c>
      <c r="B83" t="s">
        <v>429</v>
      </c>
      <c r="C83" t="s">
        <v>218</v>
      </c>
      <c r="D83" t="s">
        <v>430</v>
      </c>
      <c r="E83" s="38">
        <f>21</f>
        <v>21</v>
      </c>
      <c r="F83" s="38">
        <v>21</v>
      </c>
      <c r="G83" s="38">
        <f t="shared" si="6"/>
        <v>0</v>
      </c>
      <c r="H83" s="38">
        <v>0</v>
      </c>
      <c r="I83" s="39" t="str">
        <f t="shared" si="7"/>
        <v>OK</v>
      </c>
      <c r="J83" t="s">
        <v>396</v>
      </c>
    </row>
    <row r="84" spans="1:10" x14ac:dyDescent="0.3">
      <c r="A84" t="s">
        <v>349</v>
      </c>
      <c r="B84" t="s">
        <v>431</v>
      </c>
      <c r="C84" t="s">
        <v>218</v>
      </c>
      <c r="D84" t="s">
        <v>432</v>
      </c>
      <c r="E84" s="38">
        <f>21</f>
        <v>21</v>
      </c>
      <c r="F84" s="38">
        <v>21</v>
      </c>
      <c r="G84" s="38">
        <f t="shared" si="6"/>
        <v>0</v>
      </c>
      <c r="H84" s="38">
        <v>0</v>
      </c>
      <c r="I84" s="39" t="str">
        <f t="shared" si="7"/>
        <v>OK</v>
      </c>
      <c r="J84" t="s">
        <v>396</v>
      </c>
    </row>
    <row r="85" spans="1:10" x14ac:dyDescent="0.3">
      <c r="A85" t="s">
        <v>349</v>
      </c>
      <c r="B85" t="s">
        <v>433</v>
      </c>
      <c r="C85" t="s">
        <v>218</v>
      </c>
      <c r="D85" t="s">
        <v>434</v>
      </c>
      <c r="E85" s="38">
        <f>21</f>
        <v>21</v>
      </c>
      <c r="F85" s="38">
        <v>21</v>
      </c>
      <c r="G85" s="38">
        <f t="shared" si="6"/>
        <v>0</v>
      </c>
      <c r="H85" s="38">
        <v>0</v>
      </c>
      <c r="I85" s="39" t="str">
        <f t="shared" si="7"/>
        <v>OK</v>
      </c>
      <c r="J85" t="s">
        <v>396</v>
      </c>
    </row>
    <row r="86" spans="1:10" x14ac:dyDescent="0.3">
      <c r="A86" t="s">
        <v>349</v>
      </c>
      <c r="B86" t="s">
        <v>435</v>
      </c>
      <c r="C86" t="s">
        <v>218</v>
      </c>
      <c r="D86" t="s">
        <v>436</v>
      </c>
      <c r="E86" s="38">
        <f>21</f>
        <v>21</v>
      </c>
      <c r="F86" s="38">
        <v>21</v>
      </c>
      <c r="G86" s="38">
        <f t="shared" si="6"/>
        <v>0</v>
      </c>
      <c r="H86" s="38">
        <v>0</v>
      </c>
      <c r="I86" s="39" t="str">
        <f t="shared" si="7"/>
        <v>OK</v>
      </c>
      <c r="J86" t="s">
        <v>396</v>
      </c>
    </row>
    <row r="87" spans="1:10" x14ac:dyDescent="0.3">
      <c r="A87" t="s">
        <v>349</v>
      </c>
      <c r="B87" t="s">
        <v>437</v>
      </c>
      <c r="C87" t="s">
        <v>218</v>
      </c>
      <c r="D87" t="s">
        <v>438</v>
      </c>
      <c r="E87" s="38">
        <f>21</f>
        <v>21</v>
      </c>
      <c r="F87" s="38">
        <v>21</v>
      </c>
      <c r="G87" s="38">
        <f t="shared" si="6"/>
        <v>0</v>
      </c>
      <c r="H87" s="38">
        <v>0</v>
      </c>
      <c r="I87" s="39" t="str">
        <f t="shared" si="7"/>
        <v>OK</v>
      </c>
      <c r="J87" t="s">
        <v>396</v>
      </c>
    </row>
    <row r="88" spans="1:10" x14ac:dyDescent="0.3">
      <c r="A88" t="s">
        <v>349</v>
      </c>
      <c r="B88" t="s">
        <v>439</v>
      </c>
      <c r="C88" t="s">
        <v>218</v>
      </c>
      <c r="D88" t="s">
        <v>440</v>
      </c>
      <c r="E88" s="38">
        <f>21</f>
        <v>21</v>
      </c>
      <c r="F88" s="38">
        <v>21</v>
      </c>
      <c r="G88" s="38">
        <f t="shared" si="6"/>
        <v>0</v>
      </c>
      <c r="H88" s="38">
        <v>0</v>
      </c>
      <c r="I88" s="39" t="str">
        <f t="shared" si="7"/>
        <v>OK</v>
      </c>
      <c r="J88" t="s">
        <v>396</v>
      </c>
    </row>
    <row r="89" spans="1:10" x14ac:dyDescent="0.3">
      <c r="A89" t="s">
        <v>349</v>
      </c>
      <c r="B89" t="s">
        <v>441</v>
      </c>
      <c r="C89" t="s">
        <v>218</v>
      </c>
      <c r="D89" t="s">
        <v>442</v>
      </c>
      <c r="E89" s="38">
        <f>21</f>
        <v>21</v>
      </c>
      <c r="F89" s="38">
        <v>21</v>
      </c>
      <c r="G89" s="38">
        <f t="shared" si="6"/>
        <v>0</v>
      </c>
      <c r="H89" s="38">
        <v>0</v>
      </c>
      <c r="I89" s="39" t="str">
        <f t="shared" si="7"/>
        <v>OK</v>
      </c>
      <c r="J89" t="s">
        <v>396</v>
      </c>
    </row>
    <row r="90" spans="1:10" x14ac:dyDescent="0.3">
      <c r="A90" t="s">
        <v>349</v>
      </c>
      <c r="B90" t="s">
        <v>443</v>
      </c>
      <c r="C90" t="s">
        <v>218</v>
      </c>
      <c r="D90" t="s">
        <v>444</v>
      </c>
      <c r="E90" s="38">
        <f>21</f>
        <v>21</v>
      </c>
      <c r="F90" s="38">
        <v>21</v>
      </c>
      <c r="G90" s="38">
        <f t="shared" si="6"/>
        <v>0</v>
      </c>
      <c r="H90" s="38">
        <v>0</v>
      </c>
      <c r="I90" s="39" t="str">
        <f t="shared" si="7"/>
        <v>OK</v>
      </c>
      <c r="J90" t="s">
        <v>396</v>
      </c>
    </row>
    <row r="91" spans="1:10" x14ac:dyDescent="0.3">
      <c r="A91" t="s">
        <v>349</v>
      </c>
      <c r="B91" t="s">
        <v>445</v>
      </c>
      <c r="C91" t="s">
        <v>218</v>
      </c>
      <c r="D91" t="s">
        <v>446</v>
      </c>
      <c r="E91" s="38">
        <f>21</f>
        <v>21</v>
      </c>
      <c r="F91" s="38">
        <v>21</v>
      </c>
      <c r="G91" s="38">
        <f t="shared" si="6"/>
        <v>0</v>
      </c>
      <c r="H91" s="38">
        <v>0</v>
      </c>
      <c r="I91" s="39" t="str">
        <f t="shared" si="7"/>
        <v>OK</v>
      </c>
      <c r="J91" t="s">
        <v>396</v>
      </c>
    </row>
    <row r="92" spans="1:10" x14ac:dyDescent="0.3">
      <c r="A92" t="s">
        <v>349</v>
      </c>
      <c r="B92" t="s">
        <v>447</v>
      </c>
      <c r="C92" t="s">
        <v>218</v>
      </c>
      <c r="D92" t="s">
        <v>448</v>
      </c>
      <c r="E92" s="38">
        <f>21</f>
        <v>21</v>
      </c>
      <c r="F92" s="38">
        <v>21</v>
      </c>
      <c r="G92" s="38">
        <f t="shared" si="6"/>
        <v>0</v>
      </c>
      <c r="H92" s="38">
        <v>0</v>
      </c>
      <c r="I92" s="39" t="str">
        <f t="shared" si="7"/>
        <v>OK</v>
      </c>
      <c r="J92" t="s">
        <v>396</v>
      </c>
    </row>
    <row r="93" spans="1:10" x14ac:dyDescent="0.3">
      <c r="A93" t="s">
        <v>349</v>
      </c>
      <c r="B93" t="s">
        <v>449</v>
      </c>
      <c r="C93" t="s">
        <v>218</v>
      </c>
      <c r="D93" t="s">
        <v>450</v>
      </c>
      <c r="E93" s="38">
        <f>21</f>
        <v>21</v>
      </c>
      <c r="F93" s="38">
        <v>21</v>
      </c>
      <c r="G93" s="38">
        <f t="shared" si="6"/>
        <v>0</v>
      </c>
      <c r="H93" s="38">
        <v>0</v>
      </c>
      <c r="I93" s="39" t="str">
        <f t="shared" si="7"/>
        <v>OK</v>
      </c>
      <c r="J93" t="s">
        <v>396</v>
      </c>
    </row>
    <row r="94" spans="1:10" x14ac:dyDescent="0.3">
      <c r="A94" t="s">
        <v>349</v>
      </c>
      <c r="B94" t="s">
        <v>451</v>
      </c>
      <c r="C94" t="s">
        <v>218</v>
      </c>
      <c r="D94" t="s">
        <v>452</v>
      </c>
      <c r="E94" s="38">
        <f>21</f>
        <v>21</v>
      </c>
      <c r="F94" s="38">
        <v>21</v>
      </c>
      <c r="G94" s="38">
        <f t="shared" si="6"/>
        <v>0</v>
      </c>
      <c r="H94" s="38">
        <v>0</v>
      </c>
      <c r="I94" s="39" t="str">
        <f t="shared" si="7"/>
        <v>OK</v>
      </c>
      <c r="J94" t="s">
        <v>396</v>
      </c>
    </row>
    <row r="95" spans="1:10" x14ac:dyDescent="0.3">
      <c r="A95" t="s">
        <v>349</v>
      </c>
      <c r="B95" t="s">
        <v>453</v>
      </c>
      <c r="C95" t="s">
        <v>218</v>
      </c>
      <c r="D95" t="s">
        <v>454</v>
      </c>
      <c r="E95" s="38">
        <f>21</f>
        <v>21</v>
      </c>
      <c r="F95" s="38">
        <v>21</v>
      </c>
      <c r="G95" s="38">
        <f t="shared" si="6"/>
        <v>0</v>
      </c>
      <c r="H95" s="38">
        <v>0</v>
      </c>
      <c r="I95" s="39" t="str">
        <f t="shared" si="7"/>
        <v>OK</v>
      </c>
      <c r="J95" t="s">
        <v>396</v>
      </c>
    </row>
    <row r="96" spans="1:10" x14ac:dyDescent="0.3">
      <c r="A96" t="s">
        <v>349</v>
      </c>
      <c r="B96" t="s">
        <v>455</v>
      </c>
      <c r="C96" t="s">
        <v>218</v>
      </c>
      <c r="D96" t="s">
        <v>456</v>
      </c>
      <c r="E96" s="38">
        <f>21</f>
        <v>21</v>
      </c>
      <c r="F96" s="38">
        <v>21</v>
      </c>
      <c r="G96" s="38">
        <f t="shared" si="6"/>
        <v>0</v>
      </c>
      <c r="H96" s="38">
        <v>0</v>
      </c>
      <c r="I96" s="39" t="str">
        <f t="shared" si="7"/>
        <v>OK</v>
      </c>
      <c r="J96" t="s">
        <v>396</v>
      </c>
    </row>
    <row r="97" spans="1:10" x14ac:dyDescent="0.3">
      <c r="A97" t="s">
        <v>349</v>
      </c>
      <c r="B97" t="s">
        <v>457</v>
      </c>
      <c r="C97" t="s">
        <v>218</v>
      </c>
      <c r="D97" t="s">
        <v>458</v>
      </c>
      <c r="E97" s="38">
        <f>21</f>
        <v>21</v>
      </c>
      <c r="F97" s="38">
        <v>21</v>
      </c>
      <c r="G97" s="38">
        <f t="shared" si="6"/>
        <v>0</v>
      </c>
      <c r="H97" s="38">
        <v>0</v>
      </c>
      <c r="I97" s="39" t="str">
        <f t="shared" si="7"/>
        <v>OK</v>
      </c>
      <c r="J97" t="s">
        <v>396</v>
      </c>
    </row>
    <row r="98" spans="1:10" x14ac:dyDescent="0.3">
      <c r="A98" t="s">
        <v>349</v>
      </c>
      <c r="B98" t="s">
        <v>459</v>
      </c>
      <c r="C98" t="s">
        <v>218</v>
      </c>
      <c r="D98" t="s">
        <v>460</v>
      </c>
      <c r="E98" s="38">
        <f>21</f>
        <v>21</v>
      </c>
      <c r="F98" s="38">
        <v>21</v>
      </c>
      <c r="G98" s="38">
        <f t="shared" si="6"/>
        <v>0</v>
      </c>
      <c r="H98" s="38">
        <v>0</v>
      </c>
      <c r="I98" s="39" t="str">
        <f t="shared" si="7"/>
        <v>OK</v>
      </c>
      <c r="J98" t="s">
        <v>396</v>
      </c>
    </row>
    <row r="99" spans="1:10" x14ac:dyDescent="0.3">
      <c r="A99" t="s">
        <v>349</v>
      </c>
      <c r="B99" t="s">
        <v>461</v>
      </c>
      <c r="C99" t="s">
        <v>218</v>
      </c>
      <c r="D99" t="s">
        <v>462</v>
      </c>
      <c r="E99" s="38">
        <f>21</f>
        <v>21</v>
      </c>
      <c r="F99" s="38">
        <v>21</v>
      </c>
      <c r="G99" s="38">
        <f t="shared" si="6"/>
        <v>0</v>
      </c>
      <c r="H99" s="38">
        <v>0</v>
      </c>
      <c r="I99" s="39" t="str">
        <f t="shared" si="7"/>
        <v>OK</v>
      </c>
      <c r="J99" t="s">
        <v>396</v>
      </c>
    </row>
    <row r="100" spans="1:10" x14ac:dyDescent="0.3">
      <c r="A100" t="s">
        <v>349</v>
      </c>
      <c r="B100" t="s">
        <v>463</v>
      </c>
      <c r="C100" t="s">
        <v>218</v>
      </c>
      <c r="D100" t="s">
        <v>464</v>
      </c>
      <c r="E100" s="38">
        <f>21</f>
        <v>21</v>
      </c>
      <c r="F100" s="38">
        <v>21</v>
      </c>
      <c r="G100" s="38">
        <f t="shared" si="6"/>
        <v>0</v>
      </c>
      <c r="H100" s="38">
        <v>0</v>
      </c>
      <c r="I100" s="39" t="str">
        <f t="shared" si="7"/>
        <v>OK</v>
      </c>
      <c r="J100" t="s">
        <v>396</v>
      </c>
    </row>
    <row r="101" spans="1:10" x14ac:dyDescent="0.3">
      <c r="A101" t="s">
        <v>349</v>
      </c>
      <c r="B101" t="s">
        <v>465</v>
      </c>
      <c r="C101" t="s">
        <v>218</v>
      </c>
      <c r="D101" t="s">
        <v>466</v>
      </c>
      <c r="E101" s="38">
        <f>21</f>
        <v>21</v>
      </c>
      <c r="F101" s="38">
        <v>21</v>
      </c>
      <c r="G101" s="38">
        <f t="shared" si="6"/>
        <v>0</v>
      </c>
      <c r="H101" s="38">
        <v>0</v>
      </c>
      <c r="I101" s="39" t="str">
        <f t="shared" si="7"/>
        <v>OK</v>
      </c>
      <c r="J101" t="s">
        <v>396</v>
      </c>
    </row>
    <row r="102" spans="1:10" x14ac:dyDescent="0.3">
      <c r="A102" t="s">
        <v>349</v>
      </c>
      <c r="B102" t="s">
        <v>467</v>
      </c>
      <c r="C102" t="s">
        <v>218</v>
      </c>
      <c r="D102" t="s">
        <v>468</v>
      </c>
      <c r="E102" s="38">
        <f>21</f>
        <v>21</v>
      </c>
      <c r="F102" s="38">
        <v>21</v>
      </c>
      <c r="G102" s="38">
        <f t="shared" si="6"/>
        <v>0</v>
      </c>
      <c r="H102" s="38">
        <v>0</v>
      </c>
      <c r="I102" s="39" t="str">
        <f t="shared" si="7"/>
        <v>OK</v>
      </c>
      <c r="J102" t="s">
        <v>396</v>
      </c>
    </row>
    <row r="103" spans="1:10" x14ac:dyDescent="0.3">
      <c r="A103" t="s">
        <v>349</v>
      </c>
      <c r="B103" t="s">
        <v>469</v>
      </c>
      <c r="C103" t="s">
        <v>218</v>
      </c>
      <c r="D103" t="s">
        <v>470</v>
      </c>
      <c r="E103" s="38">
        <f>21</f>
        <v>21</v>
      </c>
      <c r="F103" s="38">
        <v>21</v>
      </c>
      <c r="G103" s="38">
        <f t="shared" si="6"/>
        <v>0</v>
      </c>
      <c r="H103" s="38">
        <v>0</v>
      </c>
      <c r="I103" s="39" t="str">
        <f t="shared" si="7"/>
        <v>OK</v>
      </c>
      <c r="J103" t="s">
        <v>396</v>
      </c>
    </row>
    <row r="104" spans="1:10" x14ac:dyDescent="0.3">
      <c r="A104" t="s">
        <v>349</v>
      </c>
      <c r="B104" t="s">
        <v>471</v>
      </c>
      <c r="C104" t="s">
        <v>218</v>
      </c>
      <c r="D104" t="s">
        <v>472</v>
      </c>
      <c r="E104" s="38">
        <f>21</f>
        <v>21</v>
      </c>
      <c r="F104" s="38">
        <v>21</v>
      </c>
      <c r="G104" s="38">
        <f t="shared" ref="G104:G135" si="8">E104-F104</f>
        <v>0</v>
      </c>
      <c r="H104" s="38">
        <v>0</v>
      </c>
      <c r="I104" s="39" t="str">
        <f t="shared" ref="I104:I135" si="9">IF(G104=0,"OK","FAIL")</f>
        <v>OK</v>
      </c>
      <c r="J104" t="s">
        <v>396</v>
      </c>
    </row>
    <row r="105" spans="1:10" x14ac:dyDescent="0.3">
      <c r="A105" t="s">
        <v>349</v>
      </c>
      <c r="B105" t="s">
        <v>473</v>
      </c>
      <c r="C105" t="s">
        <v>0</v>
      </c>
      <c r="D105" t="s">
        <v>474</v>
      </c>
      <c r="E105" s="38">
        <f>21</f>
        <v>21</v>
      </c>
      <c r="F105" s="38">
        <v>21</v>
      </c>
      <c r="G105" s="38">
        <f t="shared" si="8"/>
        <v>0</v>
      </c>
      <c r="H105" s="38">
        <v>0</v>
      </c>
      <c r="I105" s="39" t="str">
        <f t="shared" si="9"/>
        <v>OK</v>
      </c>
      <c r="J105" t="s">
        <v>475</v>
      </c>
    </row>
    <row r="106" spans="1:10" x14ac:dyDescent="0.3">
      <c r="A106" t="s">
        <v>349</v>
      </c>
      <c r="B106" t="s">
        <v>476</v>
      </c>
      <c r="C106" t="s">
        <v>0</v>
      </c>
      <c r="D106" t="s">
        <v>477</v>
      </c>
      <c r="E106" s="38">
        <f>21</f>
        <v>21</v>
      </c>
      <c r="F106" s="38">
        <v>21</v>
      </c>
      <c r="G106" s="38">
        <f t="shared" si="8"/>
        <v>0</v>
      </c>
      <c r="H106" s="38">
        <v>0</v>
      </c>
      <c r="I106" s="39" t="str">
        <f t="shared" si="9"/>
        <v>OK</v>
      </c>
      <c r="J106" t="s">
        <v>475</v>
      </c>
    </row>
    <row r="107" spans="1:10" x14ac:dyDescent="0.3">
      <c r="A107" t="s">
        <v>349</v>
      </c>
      <c r="B107" t="s">
        <v>478</v>
      </c>
      <c r="C107" t="s">
        <v>0</v>
      </c>
      <c r="D107" t="s">
        <v>479</v>
      </c>
      <c r="E107" s="38">
        <f>21</f>
        <v>21</v>
      </c>
      <c r="F107" s="38">
        <v>21</v>
      </c>
      <c r="G107" s="38">
        <f t="shared" si="8"/>
        <v>0</v>
      </c>
      <c r="H107" s="38">
        <v>0</v>
      </c>
      <c r="I107" s="39" t="str">
        <f t="shared" si="9"/>
        <v>OK</v>
      </c>
      <c r="J107" t="s">
        <v>475</v>
      </c>
    </row>
    <row r="108" spans="1:10" x14ac:dyDescent="0.3">
      <c r="A108" t="s">
        <v>349</v>
      </c>
      <c r="B108" t="s">
        <v>480</v>
      </c>
      <c r="C108" t="s">
        <v>0</v>
      </c>
      <c r="D108" t="s">
        <v>481</v>
      </c>
      <c r="E108" s="38">
        <f>21</f>
        <v>21</v>
      </c>
      <c r="F108" s="38">
        <v>21</v>
      </c>
      <c r="G108" s="38">
        <f t="shared" si="8"/>
        <v>0</v>
      </c>
      <c r="H108" s="38">
        <v>0</v>
      </c>
      <c r="I108" s="39" t="str">
        <f t="shared" si="9"/>
        <v>OK</v>
      </c>
      <c r="J108" t="s">
        <v>475</v>
      </c>
    </row>
    <row r="109" spans="1:10" x14ac:dyDescent="0.3">
      <c r="A109" t="s">
        <v>349</v>
      </c>
      <c r="B109" t="s">
        <v>482</v>
      </c>
      <c r="C109" t="s">
        <v>0</v>
      </c>
      <c r="D109" t="s">
        <v>483</v>
      </c>
      <c r="E109" s="38">
        <f>21</f>
        <v>21</v>
      </c>
      <c r="F109" s="38">
        <v>21</v>
      </c>
      <c r="G109" s="38">
        <f t="shared" si="8"/>
        <v>0</v>
      </c>
      <c r="H109" s="38">
        <v>0</v>
      </c>
      <c r="I109" s="39" t="str">
        <f t="shared" si="9"/>
        <v>OK</v>
      </c>
      <c r="J109" t="s">
        <v>475</v>
      </c>
    </row>
    <row r="110" spans="1:10" x14ac:dyDescent="0.3">
      <c r="A110" t="s">
        <v>349</v>
      </c>
      <c r="B110" t="s">
        <v>484</v>
      </c>
      <c r="C110" t="s">
        <v>0</v>
      </c>
      <c r="D110" t="s">
        <v>485</v>
      </c>
      <c r="E110" s="38">
        <f>21</f>
        <v>21</v>
      </c>
      <c r="F110" s="38">
        <v>21</v>
      </c>
      <c r="G110" s="38">
        <f t="shared" si="8"/>
        <v>0</v>
      </c>
      <c r="H110" s="38">
        <v>0</v>
      </c>
      <c r="I110" s="39" t="str">
        <f t="shared" si="9"/>
        <v>OK</v>
      </c>
      <c r="J110" t="s">
        <v>475</v>
      </c>
    </row>
    <row r="111" spans="1:10" x14ac:dyDescent="0.3">
      <c r="A111" t="s">
        <v>349</v>
      </c>
      <c r="B111" t="s">
        <v>486</v>
      </c>
      <c r="C111" t="s">
        <v>0</v>
      </c>
      <c r="D111" t="s">
        <v>487</v>
      </c>
      <c r="E111" s="38">
        <f>21</f>
        <v>21</v>
      </c>
      <c r="F111" s="38">
        <v>21</v>
      </c>
      <c r="G111" s="38">
        <f t="shared" si="8"/>
        <v>0</v>
      </c>
      <c r="H111" s="38">
        <v>0</v>
      </c>
      <c r="I111" s="39" t="str">
        <f t="shared" si="9"/>
        <v>OK</v>
      </c>
      <c r="J111" t="s">
        <v>475</v>
      </c>
    </row>
    <row r="112" spans="1:10" x14ac:dyDescent="0.3">
      <c r="A112" t="s">
        <v>349</v>
      </c>
      <c r="B112" t="s">
        <v>488</v>
      </c>
      <c r="C112" t="s">
        <v>0</v>
      </c>
      <c r="D112" t="s">
        <v>489</v>
      </c>
      <c r="E112" s="38">
        <f>21</f>
        <v>21</v>
      </c>
      <c r="F112" s="38">
        <v>21</v>
      </c>
      <c r="G112" s="38">
        <f t="shared" si="8"/>
        <v>0</v>
      </c>
      <c r="H112" s="38">
        <v>0</v>
      </c>
      <c r="I112" s="39" t="str">
        <f t="shared" si="9"/>
        <v>OK</v>
      </c>
      <c r="J112" t="s">
        <v>475</v>
      </c>
    </row>
    <row r="113" spans="1:10" x14ac:dyDescent="0.3">
      <c r="A113" t="s">
        <v>349</v>
      </c>
      <c r="B113" t="s">
        <v>490</v>
      </c>
      <c r="C113" t="s">
        <v>0</v>
      </c>
      <c r="D113" t="s">
        <v>491</v>
      </c>
      <c r="E113" s="38">
        <f>21</f>
        <v>21</v>
      </c>
      <c r="F113" s="38">
        <v>21</v>
      </c>
      <c r="G113" s="38">
        <f t="shared" si="8"/>
        <v>0</v>
      </c>
      <c r="H113" s="38">
        <v>0</v>
      </c>
      <c r="I113" s="39" t="str">
        <f t="shared" si="9"/>
        <v>OK</v>
      </c>
      <c r="J113" t="s">
        <v>475</v>
      </c>
    </row>
    <row r="114" spans="1:10" x14ac:dyDescent="0.3">
      <c r="A114" t="s">
        <v>349</v>
      </c>
      <c r="B114" t="s">
        <v>492</v>
      </c>
      <c r="C114" t="s">
        <v>0</v>
      </c>
      <c r="D114" t="s">
        <v>493</v>
      </c>
      <c r="E114" s="38">
        <f>21</f>
        <v>21</v>
      </c>
      <c r="F114" s="38">
        <v>21</v>
      </c>
      <c r="G114" s="38">
        <f t="shared" si="8"/>
        <v>0</v>
      </c>
      <c r="H114" s="38">
        <v>0</v>
      </c>
      <c r="I114" s="39" t="str">
        <f t="shared" si="9"/>
        <v>OK</v>
      </c>
      <c r="J114" t="s">
        <v>475</v>
      </c>
    </row>
    <row r="115" spans="1:10" x14ac:dyDescent="0.3">
      <c r="A115" t="s">
        <v>349</v>
      </c>
      <c r="B115" t="s">
        <v>494</v>
      </c>
      <c r="C115" t="s">
        <v>0</v>
      </c>
      <c r="D115" t="s">
        <v>495</v>
      </c>
      <c r="E115" s="38">
        <f>21</f>
        <v>21</v>
      </c>
      <c r="F115" s="38">
        <v>21</v>
      </c>
      <c r="G115" s="38">
        <f t="shared" si="8"/>
        <v>0</v>
      </c>
      <c r="H115" s="38">
        <v>0</v>
      </c>
      <c r="I115" s="39" t="str">
        <f t="shared" si="9"/>
        <v>OK</v>
      </c>
      <c r="J115" t="s">
        <v>475</v>
      </c>
    </row>
    <row r="116" spans="1:10" x14ac:dyDescent="0.3">
      <c r="A116" t="s">
        <v>349</v>
      </c>
      <c r="B116" t="s">
        <v>496</v>
      </c>
      <c r="C116" t="s">
        <v>0</v>
      </c>
      <c r="D116" t="s">
        <v>497</v>
      </c>
      <c r="E116" s="38">
        <f>21</f>
        <v>21</v>
      </c>
      <c r="F116" s="38">
        <v>21</v>
      </c>
      <c r="G116" s="38">
        <f t="shared" si="8"/>
        <v>0</v>
      </c>
      <c r="H116" s="38">
        <v>0</v>
      </c>
      <c r="I116" s="39" t="str">
        <f t="shared" si="9"/>
        <v>OK</v>
      </c>
      <c r="J116" t="s">
        <v>475</v>
      </c>
    </row>
    <row r="117" spans="1:10" x14ac:dyDescent="0.3">
      <c r="A117" t="s">
        <v>349</v>
      </c>
      <c r="B117" t="s">
        <v>498</v>
      </c>
      <c r="C117" t="s">
        <v>0</v>
      </c>
      <c r="D117" t="s">
        <v>499</v>
      </c>
      <c r="E117" s="38">
        <f>21</f>
        <v>21</v>
      </c>
      <c r="F117" s="38">
        <v>21</v>
      </c>
      <c r="G117" s="38">
        <f t="shared" si="8"/>
        <v>0</v>
      </c>
      <c r="H117" s="38">
        <v>0</v>
      </c>
      <c r="I117" s="39" t="str">
        <f t="shared" si="9"/>
        <v>OK</v>
      </c>
      <c r="J117" t="s">
        <v>475</v>
      </c>
    </row>
    <row r="118" spans="1:10" x14ac:dyDescent="0.3">
      <c r="A118" t="s">
        <v>349</v>
      </c>
      <c r="B118" t="s">
        <v>500</v>
      </c>
      <c r="C118" t="s">
        <v>0</v>
      </c>
      <c r="D118" t="s">
        <v>501</v>
      </c>
      <c r="E118" s="38">
        <f>21</f>
        <v>21</v>
      </c>
      <c r="F118" s="38">
        <v>21</v>
      </c>
      <c r="G118" s="38">
        <f t="shared" si="8"/>
        <v>0</v>
      </c>
      <c r="H118" s="38">
        <v>0</v>
      </c>
      <c r="I118" s="39" t="str">
        <f t="shared" si="9"/>
        <v>OK</v>
      </c>
      <c r="J118" t="s">
        <v>475</v>
      </c>
    </row>
    <row r="119" spans="1:10" x14ac:dyDescent="0.3">
      <c r="A119" t="s">
        <v>349</v>
      </c>
      <c r="B119" t="s">
        <v>502</v>
      </c>
      <c r="C119" t="s">
        <v>0</v>
      </c>
      <c r="D119" t="s">
        <v>503</v>
      </c>
      <c r="E119" s="38">
        <f>21</f>
        <v>21</v>
      </c>
      <c r="F119" s="38">
        <v>21</v>
      </c>
      <c r="G119" s="38">
        <f t="shared" si="8"/>
        <v>0</v>
      </c>
      <c r="H119" s="38">
        <v>0</v>
      </c>
      <c r="I119" s="39" t="str">
        <f t="shared" si="9"/>
        <v>OK</v>
      </c>
      <c r="J119" t="s">
        <v>475</v>
      </c>
    </row>
    <row r="120" spans="1:10" x14ac:dyDescent="0.3">
      <c r="A120" t="s">
        <v>349</v>
      </c>
      <c r="B120" t="s">
        <v>504</v>
      </c>
      <c r="C120" t="s">
        <v>0</v>
      </c>
      <c r="D120" t="s">
        <v>505</v>
      </c>
      <c r="E120" s="38">
        <f>21</f>
        <v>21</v>
      </c>
      <c r="F120" s="38">
        <v>21</v>
      </c>
      <c r="G120" s="38">
        <f t="shared" si="8"/>
        <v>0</v>
      </c>
      <c r="H120" s="38">
        <v>0</v>
      </c>
      <c r="I120" s="39" t="str">
        <f t="shared" si="9"/>
        <v>OK</v>
      </c>
      <c r="J120" t="s">
        <v>475</v>
      </c>
    </row>
    <row r="121" spans="1:10" x14ac:dyDescent="0.3">
      <c r="A121" t="s">
        <v>349</v>
      </c>
      <c r="B121" t="s">
        <v>506</v>
      </c>
      <c r="C121" t="s">
        <v>0</v>
      </c>
      <c r="D121" t="s">
        <v>507</v>
      </c>
      <c r="E121" s="38">
        <f>21</f>
        <v>21</v>
      </c>
      <c r="F121" s="38">
        <v>21</v>
      </c>
      <c r="G121" s="38">
        <f t="shared" si="8"/>
        <v>0</v>
      </c>
      <c r="H121" s="38">
        <v>0</v>
      </c>
      <c r="I121" s="39" t="str">
        <f t="shared" si="9"/>
        <v>OK</v>
      </c>
      <c r="J121" t="s">
        <v>475</v>
      </c>
    </row>
    <row r="122" spans="1:10" x14ac:dyDescent="0.3">
      <c r="A122" t="s">
        <v>349</v>
      </c>
      <c r="B122" t="s">
        <v>508</v>
      </c>
      <c r="C122" t="s">
        <v>0</v>
      </c>
      <c r="D122" t="s">
        <v>509</v>
      </c>
      <c r="E122" s="38">
        <f>21</f>
        <v>21</v>
      </c>
      <c r="F122" s="38">
        <v>21</v>
      </c>
      <c r="G122" s="38">
        <f t="shared" si="8"/>
        <v>0</v>
      </c>
      <c r="H122" s="38">
        <v>0</v>
      </c>
      <c r="I122" s="39" t="str">
        <f t="shared" si="9"/>
        <v>OK</v>
      </c>
      <c r="J122" t="s">
        <v>475</v>
      </c>
    </row>
    <row r="123" spans="1:10" x14ac:dyDescent="0.3">
      <c r="A123" t="s">
        <v>349</v>
      </c>
      <c r="B123" t="s">
        <v>510</v>
      </c>
      <c r="C123" t="s">
        <v>0</v>
      </c>
      <c r="D123" t="s">
        <v>511</v>
      </c>
      <c r="E123" s="38">
        <f>21</f>
        <v>21</v>
      </c>
      <c r="F123" s="38">
        <v>21</v>
      </c>
      <c r="G123" s="38">
        <f t="shared" si="8"/>
        <v>0</v>
      </c>
      <c r="H123" s="38">
        <v>0</v>
      </c>
      <c r="I123" s="39" t="str">
        <f t="shared" si="9"/>
        <v>OK</v>
      </c>
      <c r="J123" t="s">
        <v>475</v>
      </c>
    </row>
    <row r="124" spans="1:10" x14ac:dyDescent="0.3">
      <c r="A124" t="s">
        <v>349</v>
      </c>
      <c r="B124" t="s">
        <v>512</v>
      </c>
      <c r="C124" t="s">
        <v>0</v>
      </c>
      <c r="D124" t="s">
        <v>513</v>
      </c>
      <c r="E124" s="38">
        <f>21</f>
        <v>21</v>
      </c>
      <c r="F124" s="38">
        <v>21</v>
      </c>
      <c r="G124" s="38">
        <f t="shared" si="8"/>
        <v>0</v>
      </c>
      <c r="H124" s="38">
        <v>0</v>
      </c>
      <c r="I124" s="39" t="str">
        <f t="shared" si="9"/>
        <v>OK</v>
      </c>
      <c r="J124" t="s">
        <v>475</v>
      </c>
    </row>
    <row r="125" spans="1:10" x14ac:dyDescent="0.3">
      <c r="A125" t="s">
        <v>349</v>
      </c>
      <c r="B125" t="s">
        <v>514</v>
      </c>
      <c r="C125" t="s">
        <v>0</v>
      </c>
      <c r="D125" t="s">
        <v>515</v>
      </c>
      <c r="E125" s="38">
        <f>21</f>
        <v>21</v>
      </c>
      <c r="F125" s="38">
        <v>21</v>
      </c>
      <c r="G125" s="38">
        <f t="shared" si="8"/>
        <v>0</v>
      </c>
      <c r="H125" s="38">
        <v>0</v>
      </c>
      <c r="I125" s="39" t="str">
        <f t="shared" si="9"/>
        <v>OK</v>
      </c>
      <c r="J125" t="s">
        <v>475</v>
      </c>
    </row>
    <row r="126" spans="1:10" x14ac:dyDescent="0.3">
      <c r="A126" t="s">
        <v>349</v>
      </c>
      <c r="B126" t="s">
        <v>516</v>
      </c>
      <c r="C126" t="s">
        <v>0</v>
      </c>
      <c r="D126" t="s">
        <v>517</v>
      </c>
      <c r="E126" s="38">
        <f>21</f>
        <v>21</v>
      </c>
      <c r="F126" s="38">
        <v>21</v>
      </c>
      <c r="G126" s="38">
        <f t="shared" si="8"/>
        <v>0</v>
      </c>
      <c r="H126" s="38">
        <v>0</v>
      </c>
      <c r="I126" s="39" t="str">
        <f t="shared" si="9"/>
        <v>OK</v>
      </c>
      <c r="J126" t="s">
        <v>475</v>
      </c>
    </row>
    <row r="127" spans="1:10" x14ac:dyDescent="0.3">
      <c r="A127" t="s">
        <v>349</v>
      </c>
      <c r="B127" t="s">
        <v>518</v>
      </c>
      <c r="C127" t="s">
        <v>0</v>
      </c>
      <c r="D127" t="s">
        <v>519</v>
      </c>
      <c r="E127" s="38">
        <f>21</f>
        <v>21</v>
      </c>
      <c r="F127" s="38">
        <v>21</v>
      </c>
      <c r="G127" s="38">
        <f t="shared" si="8"/>
        <v>0</v>
      </c>
      <c r="H127" s="38">
        <v>0</v>
      </c>
      <c r="I127" s="39" t="str">
        <f t="shared" si="9"/>
        <v>OK</v>
      </c>
      <c r="J127" t="s">
        <v>475</v>
      </c>
    </row>
    <row r="128" spans="1:10" x14ac:dyDescent="0.3">
      <c r="A128" t="s">
        <v>349</v>
      </c>
      <c r="B128" t="s">
        <v>520</v>
      </c>
      <c r="C128" t="s">
        <v>0</v>
      </c>
      <c r="D128" t="s">
        <v>521</v>
      </c>
      <c r="E128" s="38">
        <f>21</f>
        <v>21</v>
      </c>
      <c r="F128" s="38">
        <v>21</v>
      </c>
      <c r="G128" s="38">
        <f t="shared" si="8"/>
        <v>0</v>
      </c>
      <c r="H128" s="38">
        <v>0</v>
      </c>
      <c r="I128" s="39" t="str">
        <f t="shared" si="9"/>
        <v>OK</v>
      </c>
      <c r="J128" t="s">
        <v>475</v>
      </c>
    </row>
    <row r="129" spans="1:10" x14ac:dyDescent="0.3">
      <c r="A129" t="s">
        <v>349</v>
      </c>
      <c r="B129" t="s">
        <v>522</v>
      </c>
      <c r="C129" t="s">
        <v>0</v>
      </c>
      <c r="D129" t="s">
        <v>523</v>
      </c>
      <c r="E129" s="38">
        <f>21</f>
        <v>21</v>
      </c>
      <c r="F129" s="38">
        <v>21</v>
      </c>
      <c r="G129" s="38">
        <f t="shared" si="8"/>
        <v>0</v>
      </c>
      <c r="H129" s="38">
        <v>0</v>
      </c>
      <c r="I129" s="39" t="str">
        <f t="shared" si="9"/>
        <v>OK</v>
      </c>
      <c r="J129" t="s">
        <v>475</v>
      </c>
    </row>
    <row r="130" spans="1:10" x14ac:dyDescent="0.3">
      <c r="A130" t="s">
        <v>349</v>
      </c>
      <c r="B130" t="s">
        <v>524</v>
      </c>
      <c r="C130" t="s">
        <v>0</v>
      </c>
      <c r="D130" t="s">
        <v>525</v>
      </c>
      <c r="E130" s="38">
        <f>21</f>
        <v>21</v>
      </c>
      <c r="F130" s="38">
        <v>21</v>
      </c>
      <c r="G130" s="38">
        <f t="shared" si="8"/>
        <v>0</v>
      </c>
      <c r="H130" s="38">
        <v>0</v>
      </c>
      <c r="I130" s="39" t="str">
        <f t="shared" si="9"/>
        <v>OK</v>
      </c>
      <c r="J130" t="s">
        <v>475</v>
      </c>
    </row>
    <row r="131" spans="1:10" x14ac:dyDescent="0.3">
      <c r="A131" t="s">
        <v>349</v>
      </c>
      <c r="B131" t="s">
        <v>526</v>
      </c>
      <c r="C131" t="s">
        <v>0</v>
      </c>
      <c r="D131" t="s">
        <v>527</v>
      </c>
      <c r="E131" s="38">
        <f>21</f>
        <v>21</v>
      </c>
      <c r="F131" s="38">
        <v>21</v>
      </c>
      <c r="G131" s="38">
        <f t="shared" si="8"/>
        <v>0</v>
      </c>
      <c r="H131" s="38">
        <v>0</v>
      </c>
      <c r="I131" s="39" t="str">
        <f t="shared" si="9"/>
        <v>OK</v>
      </c>
      <c r="J131" t="s">
        <v>475</v>
      </c>
    </row>
    <row r="132" spans="1:10" x14ac:dyDescent="0.3">
      <c r="A132" t="s">
        <v>349</v>
      </c>
      <c r="B132" t="s">
        <v>528</v>
      </c>
      <c r="C132" t="s">
        <v>0</v>
      </c>
      <c r="D132" t="s">
        <v>529</v>
      </c>
      <c r="E132" s="38">
        <f>21</f>
        <v>21</v>
      </c>
      <c r="F132" s="38">
        <v>21</v>
      </c>
      <c r="G132" s="38">
        <f t="shared" si="8"/>
        <v>0</v>
      </c>
      <c r="H132" s="38">
        <v>0</v>
      </c>
      <c r="I132" s="39" t="str">
        <f t="shared" si="9"/>
        <v>OK</v>
      </c>
      <c r="J132" t="s">
        <v>475</v>
      </c>
    </row>
    <row r="133" spans="1:10" x14ac:dyDescent="0.3">
      <c r="A133" t="s">
        <v>349</v>
      </c>
      <c r="B133" t="s">
        <v>530</v>
      </c>
      <c r="C133" t="s">
        <v>0</v>
      </c>
      <c r="D133" t="s">
        <v>531</v>
      </c>
      <c r="E133" s="38">
        <f>21</f>
        <v>21</v>
      </c>
      <c r="F133" s="38">
        <v>21</v>
      </c>
      <c r="G133" s="38">
        <f t="shared" si="8"/>
        <v>0</v>
      </c>
      <c r="H133" s="38">
        <v>0</v>
      </c>
      <c r="I133" s="39" t="str">
        <f t="shared" si="9"/>
        <v>OK</v>
      </c>
      <c r="J133" t="s">
        <v>475</v>
      </c>
    </row>
    <row r="134" spans="1:10" x14ac:dyDescent="0.3">
      <c r="A134" t="s">
        <v>349</v>
      </c>
      <c r="B134" t="s">
        <v>532</v>
      </c>
      <c r="C134" t="s">
        <v>0</v>
      </c>
      <c r="D134" t="s">
        <v>533</v>
      </c>
      <c r="E134" s="38">
        <f>21</f>
        <v>21</v>
      </c>
      <c r="F134" s="38">
        <v>21</v>
      </c>
      <c r="G134" s="38">
        <f t="shared" si="8"/>
        <v>0</v>
      </c>
      <c r="H134" s="38">
        <v>0</v>
      </c>
      <c r="I134" s="39" t="str">
        <f t="shared" si="9"/>
        <v>OK</v>
      </c>
      <c r="J134" t="s">
        <v>475</v>
      </c>
    </row>
    <row r="135" spans="1:10" x14ac:dyDescent="0.3">
      <c r="A135" t="s">
        <v>349</v>
      </c>
      <c r="B135" t="s">
        <v>534</v>
      </c>
      <c r="C135" t="s">
        <v>0</v>
      </c>
      <c r="D135" t="s">
        <v>535</v>
      </c>
      <c r="E135" s="38">
        <f>21</f>
        <v>21</v>
      </c>
      <c r="F135" s="38">
        <v>21</v>
      </c>
      <c r="G135" s="38">
        <f t="shared" si="8"/>
        <v>0</v>
      </c>
      <c r="H135" s="38">
        <v>0</v>
      </c>
      <c r="I135" s="39" t="str">
        <f t="shared" si="9"/>
        <v>OK</v>
      </c>
      <c r="J135" t="s">
        <v>475</v>
      </c>
    </row>
    <row r="136" spans="1:10" x14ac:dyDescent="0.3">
      <c r="A136" t="s">
        <v>349</v>
      </c>
      <c r="B136" t="s">
        <v>536</v>
      </c>
      <c r="C136" t="s">
        <v>0</v>
      </c>
      <c r="D136" t="s">
        <v>537</v>
      </c>
      <c r="E136" s="38">
        <f>21</f>
        <v>21</v>
      </c>
      <c r="F136" s="38">
        <v>21</v>
      </c>
      <c r="G136" s="38">
        <f t="shared" ref="G136:G154" si="10">E136-F136</f>
        <v>0</v>
      </c>
      <c r="H136" s="38">
        <v>0</v>
      </c>
      <c r="I136" s="39" t="str">
        <f t="shared" ref="I136:I154" si="11">IF(G136=0,"OK","FAIL")</f>
        <v>OK</v>
      </c>
      <c r="J136" t="s">
        <v>475</v>
      </c>
    </row>
    <row r="137" spans="1:10" x14ac:dyDescent="0.3">
      <c r="A137" t="s">
        <v>349</v>
      </c>
      <c r="B137" t="s">
        <v>538</v>
      </c>
      <c r="C137" t="s">
        <v>0</v>
      </c>
      <c r="D137" t="s">
        <v>539</v>
      </c>
      <c r="E137" s="38">
        <f>21</f>
        <v>21</v>
      </c>
      <c r="F137" s="38">
        <v>21</v>
      </c>
      <c r="G137" s="38">
        <f t="shared" si="10"/>
        <v>0</v>
      </c>
      <c r="H137" s="38">
        <v>0</v>
      </c>
      <c r="I137" s="39" t="str">
        <f t="shared" si="11"/>
        <v>OK</v>
      </c>
      <c r="J137" t="s">
        <v>475</v>
      </c>
    </row>
    <row r="138" spans="1:10" x14ac:dyDescent="0.3">
      <c r="A138" t="s">
        <v>349</v>
      </c>
      <c r="B138" t="s">
        <v>540</v>
      </c>
      <c r="C138" t="s">
        <v>0</v>
      </c>
      <c r="D138" t="s">
        <v>541</v>
      </c>
      <c r="E138" s="38">
        <f>21</f>
        <v>21</v>
      </c>
      <c r="F138" s="38">
        <v>21</v>
      </c>
      <c r="G138" s="38">
        <f t="shared" si="10"/>
        <v>0</v>
      </c>
      <c r="H138" s="38">
        <v>0</v>
      </c>
      <c r="I138" s="39" t="str">
        <f t="shared" si="11"/>
        <v>OK</v>
      </c>
      <c r="J138" t="s">
        <v>475</v>
      </c>
    </row>
    <row r="139" spans="1:10" x14ac:dyDescent="0.3">
      <c r="A139" t="s">
        <v>349</v>
      </c>
      <c r="B139" t="s">
        <v>542</v>
      </c>
      <c r="C139" t="s">
        <v>0</v>
      </c>
      <c r="D139" t="s">
        <v>543</v>
      </c>
      <c r="E139" s="38">
        <f>21</f>
        <v>21</v>
      </c>
      <c r="F139" s="38">
        <v>21</v>
      </c>
      <c r="G139" s="38">
        <f t="shared" si="10"/>
        <v>0</v>
      </c>
      <c r="H139" s="38">
        <v>0</v>
      </c>
      <c r="I139" s="39" t="str">
        <f t="shared" si="11"/>
        <v>OK</v>
      </c>
      <c r="J139" t="s">
        <v>475</v>
      </c>
    </row>
    <row r="140" spans="1:10" x14ac:dyDescent="0.3">
      <c r="A140" t="s">
        <v>349</v>
      </c>
      <c r="B140" t="s">
        <v>544</v>
      </c>
      <c r="C140" t="s">
        <v>0</v>
      </c>
      <c r="D140" t="s">
        <v>545</v>
      </c>
      <c r="E140" s="38">
        <f>21</f>
        <v>21</v>
      </c>
      <c r="F140" s="38">
        <v>21</v>
      </c>
      <c r="G140" s="38">
        <f t="shared" si="10"/>
        <v>0</v>
      </c>
      <c r="H140" s="38">
        <v>0</v>
      </c>
      <c r="I140" s="39" t="str">
        <f t="shared" si="11"/>
        <v>OK</v>
      </c>
      <c r="J140" t="s">
        <v>475</v>
      </c>
    </row>
    <row r="141" spans="1:10" x14ac:dyDescent="0.3">
      <c r="A141" t="s">
        <v>349</v>
      </c>
      <c r="B141" t="s">
        <v>546</v>
      </c>
      <c r="C141" t="s">
        <v>0</v>
      </c>
      <c r="D141" t="s">
        <v>547</v>
      </c>
      <c r="E141" s="38">
        <f>21</f>
        <v>21</v>
      </c>
      <c r="F141" s="38">
        <v>21</v>
      </c>
      <c r="G141" s="38">
        <f t="shared" si="10"/>
        <v>0</v>
      </c>
      <c r="H141" s="38">
        <v>0</v>
      </c>
      <c r="I141" s="39" t="str">
        <f t="shared" si="11"/>
        <v>OK</v>
      </c>
      <c r="J141" t="s">
        <v>475</v>
      </c>
    </row>
    <row r="142" spans="1:10" x14ac:dyDescent="0.3">
      <c r="A142" t="s">
        <v>349</v>
      </c>
      <c r="B142" t="s">
        <v>548</v>
      </c>
      <c r="C142" t="s">
        <v>0</v>
      </c>
      <c r="D142" t="s">
        <v>549</v>
      </c>
      <c r="E142" s="38">
        <f>21</f>
        <v>21</v>
      </c>
      <c r="F142" s="38">
        <v>21</v>
      </c>
      <c r="G142" s="38">
        <f t="shared" si="10"/>
        <v>0</v>
      </c>
      <c r="H142" s="38">
        <v>0</v>
      </c>
      <c r="I142" s="39" t="str">
        <f t="shared" si="11"/>
        <v>OK</v>
      </c>
      <c r="J142" t="s">
        <v>475</v>
      </c>
    </row>
    <row r="143" spans="1:10" x14ac:dyDescent="0.3">
      <c r="A143" t="s">
        <v>349</v>
      </c>
      <c r="B143" t="s">
        <v>550</v>
      </c>
      <c r="C143" t="s">
        <v>0</v>
      </c>
      <c r="D143" t="s">
        <v>551</v>
      </c>
      <c r="E143" s="38">
        <f>21</f>
        <v>21</v>
      </c>
      <c r="F143" s="38">
        <v>21</v>
      </c>
      <c r="G143" s="38">
        <f t="shared" si="10"/>
        <v>0</v>
      </c>
      <c r="H143" s="38">
        <v>0</v>
      </c>
      <c r="I143" s="39" t="str">
        <f t="shared" si="11"/>
        <v>OK</v>
      </c>
      <c r="J143" t="s">
        <v>475</v>
      </c>
    </row>
    <row r="144" spans="1:10" x14ac:dyDescent="0.3">
      <c r="A144" t="s">
        <v>349</v>
      </c>
      <c r="B144" t="s">
        <v>552</v>
      </c>
      <c r="C144" t="s">
        <v>0</v>
      </c>
      <c r="D144" t="s">
        <v>553</v>
      </c>
      <c r="E144" s="38">
        <f>21</f>
        <v>21</v>
      </c>
      <c r="F144" s="38">
        <v>21</v>
      </c>
      <c r="G144" s="38">
        <f t="shared" si="10"/>
        <v>0</v>
      </c>
      <c r="H144" s="38">
        <v>0</v>
      </c>
      <c r="I144" s="39" t="str">
        <f t="shared" si="11"/>
        <v>OK</v>
      </c>
      <c r="J144" t="s">
        <v>475</v>
      </c>
    </row>
    <row r="145" spans="1:10" x14ac:dyDescent="0.3">
      <c r="A145" t="s">
        <v>349</v>
      </c>
      <c r="B145" t="s">
        <v>554</v>
      </c>
      <c r="C145" t="s">
        <v>0</v>
      </c>
      <c r="D145" t="s">
        <v>555</v>
      </c>
      <c r="E145" s="38">
        <f>21</f>
        <v>21</v>
      </c>
      <c r="F145" s="38">
        <v>21</v>
      </c>
      <c r="G145" s="38">
        <f t="shared" si="10"/>
        <v>0</v>
      </c>
      <c r="H145" s="38">
        <v>0</v>
      </c>
      <c r="I145" s="39" t="str">
        <f t="shared" si="11"/>
        <v>OK</v>
      </c>
      <c r="J145" t="s">
        <v>475</v>
      </c>
    </row>
    <row r="146" spans="1:10" x14ac:dyDescent="0.3">
      <c r="A146" t="s">
        <v>349</v>
      </c>
      <c r="B146" t="s">
        <v>556</v>
      </c>
      <c r="C146" t="s">
        <v>0</v>
      </c>
      <c r="D146" t="s">
        <v>557</v>
      </c>
      <c r="E146" s="38">
        <f>21</f>
        <v>21</v>
      </c>
      <c r="F146" s="38">
        <v>21</v>
      </c>
      <c r="G146" s="38">
        <f t="shared" si="10"/>
        <v>0</v>
      </c>
      <c r="H146" s="38">
        <v>0</v>
      </c>
      <c r="I146" s="39" t="str">
        <f t="shared" si="11"/>
        <v>OK</v>
      </c>
      <c r="J146" t="s">
        <v>475</v>
      </c>
    </row>
    <row r="147" spans="1:10" x14ac:dyDescent="0.3">
      <c r="A147" t="s">
        <v>349</v>
      </c>
      <c r="B147" t="s">
        <v>558</v>
      </c>
      <c r="C147" t="s">
        <v>0</v>
      </c>
      <c r="D147" t="s">
        <v>559</v>
      </c>
      <c r="E147" s="38">
        <f>21</f>
        <v>21</v>
      </c>
      <c r="F147" s="38">
        <v>21</v>
      </c>
      <c r="G147" s="38">
        <f t="shared" si="10"/>
        <v>0</v>
      </c>
      <c r="H147" s="38">
        <v>0</v>
      </c>
      <c r="I147" s="39" t="str">
        <f t="shared" si="11"/>
        <v>OK</v>
      </c>
      <c r="J147" t="s">
        <v>475</v>
      </c>
    </row>
    <row r="148" spans="1:10" x14ac:dyDescent="0.3">
      <c r="A148" t="s">
        <v>349</v>
      </c>
      <c r="B148" t="s">
        <v>560</v>
      </c>
      <c r="C148" t="s">
        <v>0</v>
      </c>
      <c r="D148" t="s">
        <v>561</v>
      </c>
      <c r="E148" s="38">
        <f>21</f>
        <v>21</v>
      </c>
      <c r="F148" s="38">
        <v>21</v>
      </c>
      <c r="G148" s="38">
        <f t="shared" si="10"/>
        <v>0</v>
      </c>
      <c r="H148" s="38">
        <v>0</v>
      </c>
      <c r="I148" s="39" t="str">
        <f t="shared" si="11"/>
        <v>OK</v>
      </c>
      <c r="J148" t="s">
        <v>475</v>
      </c>
    </row>
    <row r="149" spans="1:10" x14ac:dyDescent="0.3">
      <c r="A149" t="s">
        <v>349</v>
      </c>
      <c r="B149" t="s">
        <v>562</v>
      </c>
      <c r="C149" t="s">
        <v>0</v>
      </c>
      <c r="D149" t="s">
        <v>563</v>
      </c>
      <c r="E149" s="38">
        <f>21</f>
        <v>21</v>
      </c>
      <c r="F149" s="38">
        <v>21</v>
      </c>
      <c r="G149" s="38">
        <f t="shared" si="10"/>
        <v>0</v>
      </c>
      <c r="H149" s="38">
        <v>0</v>
      </c>
      <c r="I149" s="39" t="str">
        <f t="shared" si="11"/>
        <v>OK</v>
      </c>
      <c r="J149" t="s">
        <v>475</v>
      </c>
    </row>
    <row r="150" spans="1:10" x14ac:dyDescent="0.3">
      <c r="A150" t="s">
        <v>349</v>
      </c>
      <c r="B150" t="s">
        <v>564</v>
      </c>
      <c r="C150" t="s">
        <v>0</v>
      </c>
      <c r="D150" t="s">
        <v>565</v>
      </c>
      <c r="E150" s="38">
        <f>21</f>
        <v>21</v>
      </c>
      <c r="F150" s="38">
        <v>21</v>
      </c>
      <c r="G150" s="38">
        <f t="shared" si="10"/>
        <v>0</v>
      </c>
      <c r="H150" s="38">
        <v>0</v>
      </c>
      <c r="I150" s="39" t="str">
        <f t="shared" si="11"/>
        <v>OK</v>
      </c>
      <c r="J150" t="s">
        <v>475</v>
      </c>
    </row>
    <row r="151" spans="1:10" x14ac:dyDescent="0.3">
      <c r="A151" t="s">
        <v>349</v>
      </c>
      <c r="B151" t="s">
        <v>566</v>
      </c>
      <c r="C151" t="s">
        <v>0</v>
      </c>
      <c r="D151" t="s">
        <v>567</v>
      </c>
      <c r="E151" s="38">
        <f>21</f>
        <v>21</v>
      </c>
      <c r="F151" s="38">
        <v>21</v>
      </c>
      <c r="G151" s="38">
        <f t="shared" si="10"/>
        <v>0</v>
      </c>
      <c r="H151" s="38">
        <v>0</v>
      </c>
      <c r="I151" s="39" t="str">
        <f t="shared" si="11"/>
        <v>OK</v>
      </c>
      <c r="J151" t="s">
        <v>475</v>
      </c>
    </row>
    <row r="152" spans="1:10" x14ac:dyDescent="0.3">
      <c r="A152" t="s">
        <v>349</v>
      </c>
      <c r="B152" t="s">
        <v>568</v>
      </c>
      <c r="C152" t="s">
        <v>0</v>
      </c>
      <c r="D152" t="s">
        <v>569</v>
      </c>
      <c r="E152" s="38">
        <f>21</f>
        <v>21</v>
      </c>
      <c r="F152" s="38">
        <v>21</v>
      </c>
      <c r="G152" s="38">
        <f t="shared" si="10"/>
        <v>0</v>
      </c>
      <c r="H152" s="38">
        <v>0</v>
      </c>
      <c r="I152" s="39" t="str">
        <f t="shared" si="11"/>
        <v>OK</v>
      </c>
      <c r="J152" t="s">
        <v>475</v>
      </c>
    </row>
    <row r="153" spans="1:10" x14ac:dyDescent="0.3">
      <c r="A153" t="s">
        <v>349</v>
      </c>
      <c r="B153" t="s">
        <v>570</v>
      </c>
      <c r="C153" t="s">
        <v>0</v>
      </c>
      <c r="D153" t="s">
        <v>571</v>
      </c>
      <c r="E153" s="38">
        <f>21</f>
        <v>21</v>
      </c>
      <c r="F153" s="38">
        <v>21</v>
      </c>
      <c r="G153" s="38">
        <f t="shared" si="10"/>
        <v>0</v>
      </c>
      <c r="H153" s="38">
        <v>0</v>
      </c>
      <c r="I153" s="39" t="str">
        <f t="shared" si="11"/>
        <v>OK</v>
      </c>
      <c r="J153" t="s">
        <v>475</v>
      </c>
    </row>
    <row r="154" spans="1:10" x14ac:dyDescent="0.3">
      <c r="A154" t="s">
        <v>349</v>
      </c>
      <c r="B154" t="s">
        <v>572</v>
      </c>
      <c r="C154" t="s">
        <v>0</v>
      </c>
      <c r="D154" t="s">
        <v>573</v>
      </c>
      <c r="E154" s="38">
        <f>21</f>
        <v>21</v>
      </c>
      <c r="F154" s="38">
        <v>21</v>
      </c>
      <c r="G154" s="38">
        <f t="shared" si="10"/>
        <v>0</v>
      </c>
      <c r="H154" s="38">
        <v>0</v>
      </c>
      <c r="I154" s="39" t="str">
        <f t="shared" si="11"/>
        <v>OK</v>
      </c>
      <c r="J154" t="s">
        <v>475</v>
      </c>
    </row>
    <row r="156" spans="1:10" x14ac:dyDescent="0.3">
      <c r="A156" s="51" t="s">
        <v>574</v>
      </c>
      <c r="B156" s="52"/>
      <c r="C156" s="52"/>
      <c r="D156" s="52"/>
      <c r="E156" s="52"/>
      <c r="F156" s="52"/>
      <c r="G156" s="52"/>
      <c r="H156" s="52"/>
      <c r="I156" s="52"/>
      <c r="J156" s="52"/>
    </row>
    <row r="157" spans="1:10" x14ac:dyDescent="0.3">
      <c r="A157" t="s">
        <v>575</v>
      </c>
      <c r="B157" t="s">
        <v>576</v>
      </c>
      <c r="C157" t="s">
        <v>82</v>
      </c>
      <c r="D157" t="s">
        <v>577</v>
      </c>
      <c r="E157" s="38">
        <f>SUMPRODUCT(--ISERROR('Revenue Drivers'!C7:W28))</f>
        <v>0</v>
      </c>
      <c r="F157" s="38">
        <v>0</v>
      </c>
      <c r="G157" s="38">
        <f t="shared" ref="G157:G163" si="12">E157-F157</f>
        <v>0</v>
      </c>
      <c r="H157" s="38">
        <v>0</v>
      </c>
      <c r="I157" s="39" t="str">
        <f t="shared" ref="I157:I163" si="13">IF(E157=0,"OK","FAIL")</f>
        <v>OK</v>
      </c>
      <c r="J157" t="s">
        <v>578</v>
      </c>
    </row>
    <row r="158" spans="1:10" x14ac:dyDescent="0.3">
      <c r="A158" t="s">
        <v>575</v>
      </c>
      <c r="B158" t="s">
        <v>579</v>
      </c>
      <c r="C158" t="s">
        <v>111</v>
      </c>
      <c r="D158" t="s">
        <v>580</v>
      </c>
      <c r="E158" s="38">
        <f>SUMPRODUCT(--ISERROR('Payroll Schedule'!C15:W86))</f>
        <v>0</v>
      </c>
      <c r="F158" s="38">
        <v>0</v>
      </c>
      <c r="G158" s="38">
        <f t="shared" si="12"/>
        <v>0</v>
      </c>
      <c r="H158" s="38">
        <v>0</v>
      </c>
      <c r="I158" s="39" t="str">
        <f t="shared" si="13"/>
        <v>OK</v>
      </c>
      <c r="J158" t="s">
        <v>578</v>
      </c>
    </row>
    <row r="159" spans="1:10" x14ac:dyDescent="0.3">
      <c r="A159" t="s">
        <v>575</v>
      </c>
      <c r="B159" t="s">
        <v>581</v>
      </c>
      <c r="C159" t="s">
        <v>155</v>
      </c>
      <c r="D159" t="s">
        <v>582</v>
      </c>
      <c r="E159" s="38">
        <f>SUMPRODUCT(--ISERROR('Debt Schedule'!C7:W26))</f>
        <v>0</v>
      </c>
      <c r="F159" s="38">
        <v>0</v>
      </c>
      <c r="G159" s="38">
        <f t="shared" si="12"/>
        <v>0</v>
      </c>
      <c r="H159" s="38">
        <v>0</v>
      </c>
      <c r="I159" s="39" t="str">
        <f t="shared" si="13"/>
        <v>OK</v>
      </c>
      <c r="J159" t="s">
        <v>578</v>
      </c>
    </row>
    <row r="160" spans="1:10" x14ac:dyDescent="0.3">
      <c r="A160" t="s">
        <v>575</v>
      </c>
      <c r="B160" t="s">
        <v>583</v>
      </c>
      <c r="C160" t="s">
        <v>333</v>
      </c>
      <c r="D160" t="s">
        <v>584</v>
      </c>
      <c r="E160" s="38">
        <f>SUMPRODUCT(--ISERROR('CapEx Depreciation'!C7:W14))</f>
        <v>0</v>
      </c>
      <c r="F160" s="38">
        <v>0</v>
      </c>
      <c r="G160" s="38">
        <f t="shared" si="12"/>
        <v>0</v>
      </c>
      <c r="H160" s="38">
        <v>0</v>
      </c>
      <c r="I160" s="39" t="str">
        <f t="shared" si="13"/>
        <v>OK</v>
      </c>
      <c r="J160" t="s">
        <v>578</v>
      </c>
    </row>
    <row r="161" spans="1:10" x14ac:dyDescent="0.3">
      <c r="A161" t="s">
        <v>575</v>
      </c>
      <c r="B161" t="s">
        <v>585</v>
      </c>
      <c r="C161" t="s">
        <v>586</v>
      </c>
      <c r="D161" t="s">
        <v>587</v>
      </c>
      <c r="E161" s="38">
        <f>SUMPRODUCT(--ISERROR('Cash Equity Schedule'!C7:W12))</f>
        <v>0</v>
      </c>
      <c r="F161" s="38">
        <v>0</v>
      </c>
      <c r="G161" s="38">
        <f t="shared" si="12"/>
        <v>0</v>
      </c>
      <c r="H161" s="38">
        <v>0</v>
      </c>
      <c r="I161" s="39" t="str">
        <f t="shared" si="13"/>
        <v>OK</v>
      </c>
      <c r="J161" t="s">
        <v>578</v>
      </c>
    </row>
    <row r="162" spans="1:10" x14ac:dyDescent="0.3">
      <c r="A162" t="s">
        <v>575</v>
      </c>
      <c r="B162" t="s">
        <v>588</v>
      </c>
      <c r="C162" t="s">
        <v>218</v>
      </c>
      <c r="D162" t="s">
        <v>589</v>
      </c>
      <c r="E162" s="38">
        <f>SUMPRODUCT(--ISERROR('Model Inputs'!C7:W54))</f>
        <v>0</v>
      </c>
      <c r="F162" s="38">
        <v>0</v>
      </c>
      <c r="G162" s="38">
        <f t="shared" si="12"/>
        <v>0</v>
      </c>
      <c r="H162" s="38">
        <v>0</v>
      </c>
      <c r="I162" s="39" t="str">
        <f t="shared" si="13"/>
        <v>OK</v>
      </c>
      <c r="J162" t="s">
        <v>578</v>
      </c>
    </row>
    <row r="163" spans="1:10" x14ac:dyDescent="0.3">
      <c r="A163" t="s">
        <v>575</v>
      </c>
      <c r="B163" t="s">
        <v>590</v>
      </c>
      <c r="C163" t="s">
        <v>0</v>
      </c>
      <c r="D163" t="s">
        <v>591</v>
      </c>
      <c r="E163" s="38">
        <f>SUMPRODUCT(--ISERROR(FINMO!C8:W61))</f>
        <v>0</v>
      </c>
      <c r="F163" s="38">
        <v>0</v>
      </c>
      <c r="G163" s="38">
        <f t="shared" si="12"/>
        <v>0</v>
      </c>
      <c r="H163" s="38">
        <v>0</v>
      </c>
      <c r="I163" s="39" t="str">
        <f t="shared" si="13"/>
        <v>OK</v>
      </c>
      <c r="J163" t="s">
        <v>578</v>
      </c>
    </row>
    <row r="165" spans="1:10" x14ac:dyDescent="0.3">
      <c r="A165" s="51" t="s">
        <v>592</v>
      </c>
      <c r="B165" s="52"/>
      <c r="C165" s="52"/>
      <c r="D165" s="52"/>
      <c r="E165" s="52"/>
      <c r="F165" s="52"/>
      <c r="G165" s="52"/>
      <c r="H165" s="52"/>
      <c r="I165" s="52"/>
      <c r="J165" s="52"/>
    </row>
    <row r="166" spans="1:10" x14ac:dyDescent="0.3">
      <c r="A166" t="s">
        <v>593</v>
      </c>
      <c r="B166" t="s">
        <v>594</v>
      </c>
      <c r="C166" t="s">
        <v>595</v>
      </c>
      <c r="D166" t="s">
        <v>596</v>
      </c>
      <c r="E166" s="38">
        <f>FINMO!W8</f>
        <v>6048000</v>
      </c>
      <c r="F166" s="38">
        <f>'Audit Source'!W7</f>
        <v>6048000</v>
      </c>
      <c r="G166" s="38">
        <f t="shared" ref="G166:G172" si="14">E166-F166</f>
        <v>0</v>
      </c>
      <c r="H166" s="38">
        <v>1</v>
      </c>
      <c r="I166" s="39" t="str">
        <f t="shared" ref="I166:I172" si="15">IF(ABS(G166)&lt;=H166,"MATCH","CHANGED")</f>
        <v>MATCH</v>
      </c>
      <c r="J166" t="s">
        <v>597</v>
      </c>
    </row>
    <row r="167" spans="1:10" x14ac:dyDescent="0.3">
      <c r="A167" t="s">
        <v>593</v>
      </c>
      <c r="B167" t="s">
        <v>598</v>
      </c>
      <c r="C167" t="s">
        <v>595</v>
      </c>
      <c r="D167" t="s">
        <v>599</v>
      </c>
      <c r="E167" s="38">
        <f>FINMO!W14</f>
        <v>437286.45500000002</v>
      </c>
      <c r="F167" s="38">
        <f>'Audit Source'!W13</f>
        <v>437286</v>
      </c>
      <c r="G167" s="38">
        <f t="shared" si="14"/>
        <v>0.45500000001629815</v>
      </c>
      <c r="H167" s="38">
        <v>1</v>
      </c>
      <c r="I167" s="39" t="str">
        <f t="shared" si="15"/>
        <v>MATCH</v>
      </c>
      <c r="J167" t="s">
        <v>597</v>
      </c>
    </row>
    <row r="168" spans="1:10" x14ac:dyDescent="0.3">
      <c r="A168" t="s">
        <v>593</v>
      </c>
      <c r="B168" t="s">
        <v>600</v>
      </c>
      <c r="C168" t="s">
        <v>595</v>
      </c>
      <c r="D168" t="s">
        <v>601</v>
      </c>
      <c r="E168" s="38">
        <f>FINMO!W20</f>
        <v>969634.05944768991</v>
      </c>
      <c r="F168" s="38">
        <f>'Audit Source'!W19</f>
        <v>969634.42102799995</v>
      </c>
      <c r="G168" s="38">
        <f t="shared" si="14"/>
        <v>-0.36158031004015356</v>
      </c>
      <c r="H168" s="38">
        <v>1</v>
      </c>
      <c r="I168" s="39" t="str">
        <f t="shared" si="15"/>
        <v>MATCH</v>
      </c>
      <c r="J168" t="s">
        <v>597</v>
      </c>
    </row>
    <row r="169" spans="1:10" x14ac:dyDescent="0.3">
      <c r="A169" t="s">
        <v>593</v>
      </c>
      <c r="B169" t="s">
        <v>602</v>
      </c>
      <c r="C169" t="s">
        <v>595</v>
      </c>
      <c r="D169" t="s">
        <v>603</v>
      </c>
      <c r="E169" s="38">
        <f>FINMO!W23</f>
        <v>3218563.9393050913</v>
      </c>
      <c r="F169" s="38">
        <f>'Audit Source'!W23</f>
        <v>3218564.3614759999</v>
      </c>
      <c r="G169" s="38">
        <f t="shared" si="14"/>
        <v>-0.42217090865597129</v>
      </c>
      <c r="H169" s="38">
        <v>1</v>
      </c>
      <c r="I169" s="39" t="str">
        <f t="shared" si="15"/>
        <v>MATCH</v>
      </c>
      <c r="J169" t="s">
        <v>597</v>
      </c>
    </row>
    <row r="170" spans="1:10" x14ac:dyDescent="0.3">
      <c r="A170" t="s">
        <v>593</v>
      </c>
      <c r="B170" t="s">
        <v>604</v>
      </c>
      <c r="C170" t="s">
        <v>595</v>
      </c>
      <c r="D170" t="s">
        <v>267</v>
      </c>
      <c r="E170" s="38">
        <f>FINMO!W31</f>
        <v>4336447.0162281683</v>
      </c>
      <c r="F170" s="38">
        <f>'Audit Source'!W29</f>
        <v>4336447.4383990001</v>
      </c>
      <c r="G170" s="38">
        <f t="shared" si="14"/>
        <v>-0.42217083182185888</v>
      </c>
      <c r="H170" s="38">
        <v>1</v>
      </c>
      <c r="I170" s="39" t="str">
        <f t="shared" si="15"/>
        <v>MATCH</v>
      </c>
      <c r="J170" t="s">
        <v>597</v>
      </c>
    </row>
    <row r="171" spans="1:10" x14ac:dyDescent="0.3">
      <c r="A171" t="s">
        <v>593</v>
      </c>
      <c r="B171" t="s">
        <v>605</v>
      </c>
      <c r="C171" t="s">
        <v>595</v>
      </c>
      <c r="D171" t="s">
        <v>606</v>
      </c>
      <c r="E171" s="38">
        <f>FINMO!W43</f>
        <v>4336447.0162281673</v>
      </c>
      <c r="F171" s="38">
        <f>'Audit Source'!W41</f>
        <v>4336447.4383990001</v>
      </c>
      <c r="G171" s="38">
        <f t="shared" si="14"/>
        <v>-0.42217083275318146</v>
      </c>
      <c r="H171" s="38">
        <v>1</v>
      </c>
      <c r="I171" s="39" t="str">
        <f t="shared" si="15"/>
        <v>MATCH</v>
      </c>
      <c r="J171" t="s">
        <v>597</v>
      </c>
    </row>
    <row r="172" spans="1:10" x14ac:dyDescent="0.3">
      <c r="A172" t="s">
        <v>593</v>
      </c>
      <c r="B172" t="s">
        <v>607</v>
      </c>
      <c r="C172" t="s">
        <v>595</v>
      </c>
      <c r="D172" t="s">
        <v>269</v>
      </c>
      <c r="E172" s="38">
        <f>FINMO!W61</f>
        <v>3218563.9393050913</v>
      </c>
      <c r="F172" s="38">
        <f>'Audit Source'!W59</f>
        <v>3218564.3614759999</v>
      </c>
      <c r="G172" s="38">
        <f t="shared" si="14"/>
        <v>-0.42217090865597129</v>
      </c>
      <c r="H172" s="38">
        <v>1</v>
      </c>
      <c r="I172" s="39" t="str">
        <f t="shared" si="15"/>
        <v>MATCH</v>
      </c>
      <c r="J172" t="s">
        <v>597</v>
      </c>
    </row>
  </sheetData>
  <mergeCells count="6">
    <mergeCell ref="A165:J165"/>
    <mergeCell ref="A6:J6"/>
    <mergeCell ref="B3:F3"/>
    <mergeCell ref="A21:J21"/>
    <mergeCell ref="A39:J39"/>
    <mergeCell ref="A156:J156"/>
  </mergeCells>
  <conditionalFormatting sqref="I7:I172">
    <cfRule type="cellIs" dxfId="2" priority="1" operator="equal">
      <formula>"FAIL"</formula>
    </cfRule>
    <cfRule type="cellIs" dxfId="1" priority="2" operator="equal">
      <formula>"OK"</formula>
    </cfRule>
    <cfRule type="cellIs" dxfId="0" priority="3" operator="equal">
      <formula>"CHANGED"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48" customWidth="1"/>
    <col min="2" max="2" width="36" customWidth="1"/>
    <col min="3" max="3" width="14" customWidth="1"/>
  </cols>
  <sheetData>
    <row r="1" spans="1:3" ht="24" customHeight="1" x14ac:dyDescent="0.4">
      <c r="A1" s="41" t="s">
        <v>608</v>
      </c>
    </row>
    <row r="3" spans="1:3" ht="22.05" customHeight="1" x14ac:dyDescent="0.3">
      <c r="A3" s="42" t="s">
        <v>609</v>
      </c>
      <c r="B3" s="43"/>
      <c r="C3" s="43"/>
    </row>
    <row r="4" spans="1:3" x14ac:dyDescent="0.3">
      <c r="A4" s="44" t="s">
        <v>610</v>
      </c>
      <c r="B4" s="45" t="s">
        <v>611</v>
      </c>
    </row>
    <row r="5" spans="1:3" x14ac:dyDescent="0.3">
      <c r="A5" s="44" t="s">
        <v>612</v>
      </c>
      <c r="B5" s="45" t="s">
        <v>613</v>
      </c>
    </row>
    <row r="6" spans="1:3" x14ac:dyDescent="0.3">
      <c r="A6" s="44" t="s">
        <v>614</v>
      </c>
      <c r="B6" s="45" t="s">
        <v>615</v>
      </c>
    </row>
    <row r="7" spans="1:3" x14ac:dyDescent="0.3">
      <c r="A7" s="44" t="s">
        <v>616</v>
      </c>
      <c r="B7" s="45" t="s">
        <v>617</v>
      </c>
    </row>
    <row r="8" spans="1:3" x14ac:dyDescent="0.3">
      <c r="A8" s="44" t="s">
        <v>618</v>
      </c>
      <c r="B8" s="45" t="s">
        <v>619</v>
      </c>
    </row>
    <row r="9" spans="1:3" x14ac:dyDescent="0.3">
      <c r="A9" s="44" t="s">
        <v>620</v>
      </c>
      <c r="B9" s="45" t="s">
        <v>621</v>
      </c>
    </row>
    <row r="10" spans="1:3" x14ac:dyDescent="0.3">
      <c r="A10" s="44" t="s">
        <v>622</v>
      </c>
      <c r="B10" s="45" t="s">
        <v>623</v>
      </c>
    </row>
    <row r="11" spans="1:3" x14ac:dyDescent="0.3">
      <c r="A11" s="44" t="s">
        <v>624</v>
      </c>
      <c r="B11" s="45" t="s">
        <v>625</v>
      </c>
    </row>
    <row r="13" spans="1:3" ht="22.05" customHeight="1" x14ac:dyDescent="0.3">
      <c r="A13" s="42" t="s">
        <v>626</v>
      </c>
      <c r="B13" s="43"/>
      <c r="C13" s="43"/>
    </row>
    <row r="14" spans="1:3" x14ac:dyDescent="0.3">
      <c r="A14" s="44" t="s">
        <v>627</v>
      </c>
      <c r="B14" s="45" t="s">
        <v>628</v>
      </c>
    </row>
    <row r="15" spans="1:3" x14ac:dyDescent="0.3">
      <c r="A15" s="44" t="s">
        <v>629</v>
      </c>
      <c r="B15" s="45" t="s">
        <v>630</v>
      </c>
    </row>
    <row r="17" spans="1:3" ht="22.05" customHeight="1" x14ac:dyDescent="0.3">
      <c r="A17" s="42" t="s">
        <v>631</v>
      </c>
      <c r="B17" s="43"/>
      <c r="C17" s="43"/>
    </row>
    <row r="18" spans="1:3" x14ac:dyDescent="0.3">
      <c r="A18" s="44" t="s">
        <v>632</v>
      </c>
      <c r="B18" s="45" t="s">
        <v>633</v>
      </c>
    </row>
    <row r="19" spans="1:3" x14ac:dyDescent="0.3">
      <c r="A19" s="44" t="s">
        <v>255</v>
      </c>
      <c r="B19" s="45" t="s">
        <v>634</v>
      </c>
    </row>
    <row r="20" spans="1:3" x14ac:dyDescent="0.3">
      <c r="A20" s="44" t="s">
        <v>635</v>
      </c>
      <c r="B20" s="45" t="s">
        <v>636</v>
      </c>
    </row>
    <row r="21" spans="1:3" x14ac:dyDescent="0.3">
      <c r="A21" s="44" t="s">
        <v>637</v>
      </c>
      <c r="B21" s="45" t="s">
        <v>638</v>
      </c>
    </row>
    <row r="22" spans="1:3" x14ac:dyDescent="0.3">
      <c r="A22" s="44" t="s">
        <v>639</v>
      </c>
      <c r="B22" s="45" t="s">
        <v>640</v>
      </c>
    </row>
    <row r="24" spans="1:3" ht="22.05" customHeight="1" x14ac:dyDescent="0.3">
      <c r="A24" s="42" t="s">
        <v>641</v>
      </c>
      <c r="B24" s="43"/>
      <c r="C24" s="43"/>
    </row>
    <row r="25" spans="1:3" x14ac:dyDescent="0.3">
      <c r="A25" s="46" t="s">
        <v>642</v>
      </c>
      <c r="B25" s="47" t="s">
        <v>255</v>
      </c>
    </row>
    <row r="26" spans="1:3" x14ac:dyDescent="0.3">
      <c r="A26" s="45" t="s">
        <v>643</v>
      </c>
      <c r="B26" s="48" t="s">
        <v>644</v>
      </c>
    </row>
    <row r="27" spans="1:3" x14ac:dyDescent="0.3">
      <c r="A27" s="49" t="s">
        <v>645</v>
      </c>
      <c r="B27" s="50" t="s">
        <v>644</v>
      </c>
    </row>
    <row r="28" spans="1:3" x14ac:dyDescent="0.3">
      <c r="A28" s="45" t="s">
        <v>646</v>
      </c>
      <c r="B28" s="48" t="s">
        <v>644</v>
      </c>
    </row>
    <row r="29" spans="1:3" x14ac:dyDescent="0.3">
      <c r="A29" s="49" t="s">
        <v>647</v>
      </c>
      <c r="B29" s="50" t="s">
        <v>644</v>
      </c>
    </row>
    <row r="30" spans="1:3" x14ac:dyDescent="0.3">
      <c r="A30" s="45" t="s">
        <v>648</v>
      </c>
      <c r="B30" s="48" t="s">
        <v>644</v>
      </c>
    </row>
    <row r="31" spans="1:3" x14ac:dyDescent="0.3">
      <c r="A31" s="49" t="s">
        <v>649</v>
      </c>
      <c r="B31" s="50" t="s">
        <v>644</v>
      </c>
    </row>
    <row r="32" spans="1:3" x14ac:dyDescent="0.3">
      <c r="A32" s="45" t="s">
        <v>650</v>
      </c>
      <c r="B32" s="48" t="s">
        <v>644</v>
      </c>
    </row>
    <row r="33" spans="1:2" x14ac:dyDescent="0.3">
      <c r="A33" s="49" t="s">
        <v>651</v>
      </c>
      <c r="B33" s="50" t="s">
        <v>644</v>
      </c>
    </row>
    <row r="34" spans="1:2" x14ac:dyDescent="0.3">
      <c r="A34" s="45" t="s">
        <v>652</v>
      </c>
      <c r="B34" s="48" t="s">
        <v>644</v>
      </c>
    </row>
    <row r="35" spans="1:2" x14ac:dyDescent="0.3">
      <c r="A35" s="49" t="s">
        <v>653</v>
      </c>
      <c r="B35" s="50" t="s">
        <v>644</v>
      </c>
    </row>
    <row r="36" spans="1:2" x14ac:dyDescent="0.3">
      <c r="A36" s="45" t="s">
        <v>654</v>
      </c>
      <c r="B36" s="48" t="s">
        <v>644</v>
      </c>
    </row>
    <row r="37" spans="1:2" x14ac:dyDescent="0.3">
      <c r="A37" s="49" t="s">
        <v>655</v>
      </c>
      <c r="B37" s="50" t="s">
        <v>644</v>
      </c>
    </row>
    <row r="38" spans="1:2" x14ac:dyDescent="0.3">
      <c r="A38" s="45" t="s">
        <v>656</v>
      </c>
      <c r="B38" s="48" t="s">
        <v>644</v>
      </c>
    </row>
    <row r="39" spans="1:2" x14ac:dyDescent="0.3">
      <c r="A39" s="49" t="s">
        <v>657</v>
      </c>
      <c r="B39" s="50" t="s">
        <v>644</v>
      </c>
    </row>
    <row r="40" spans="1:2" x14ac:dyDescent="0.3">
      <c r="A40" s="45" t="s">
        <v>658</v>
      </c>
      <c r="B40" s="48" t="s">
        <v>644</v>
      </c>
    </row>
    <row r="41" spans="1:2" x14ac:dyDescent="0.3">
      <c r="A41" s="49" t="s">
        <v>659</v>
      </c>
      <c r="B41" s="50" t="s">
        <v>644</v>
      </c>
    </row>
    <row r="42" spans="1:2" x14ac:dyDescent="0.3">
      <c r="A42" s="45" t="s">
        <v>660</v>
      </c>
      <c r="B42" s="48" t="s">
        <v>644</v>
      </c>
    </row>
    <row r="43" spans="1:2" x14ac:dyDescent="0.3">
      <c r="A43" s="49" t="s">
        <v>661</v>
      </c>
      <c r="B43" s="50" t="s">
        <v>644</v>
      </c>
    </row>
    <row r="44" spans="1:2" x14ac:dyDescent="0.3">
      <c r="A44" s="45" t="s">
        <v>662</v>
      </c>
      <c r="B44" s="48" t="s">
        <v>644</v>
      </c>
    </row>
    <row r="45" spans="1:2" x14ac:dyDescent="0.3">
      <c r="A45" s="49" t="s">
        <v>663</v>
      </c>
      <c r="B45" s="50" t="s">
        <v>644</v>
      </c>
    </row>
    <row r="46" spans="1:2" x14ac:dyDescent="0.3">
      <c r="A46" s="45" t="s">
        <v>664</v>
      </c>
      <c r="B46" s="48" t="s">
        <v>644</v>
      </c>
    </row>
    <row r="47" spans="1:2" x14ac:dyDescent="0.3">
      <c r="A47" s="49" t="s">
        <v>665</v>
      </c>
      <c r="B47" s="50" t="s">
        <v>644</v>
      </c>
    </row>
    <row r="48" spans="1:2" x14ac:dyDescent="0.3">
      <c r="A48" s="45" t="s">
        <v>666</v>
      </c>
      <c r="B48" s="48" t="s">
        <v>644</v>
      </c>
    </row>
    <row r="49" spans="1:2" x14ac:dyDescent="0.3">
      <c r="A49" s="49" t="s">
        <v>667</v>
      </c>
      <c r="B49" s="50" t="s">
        <v>644</v>
      </c>
    </row>
    <row r="50" spans="1:2" x14ac:dyDescent="0.3">
      <c r="A50" s="45" t="s">
        <v>668</v>
      </c>
      <c r="B50" s="48" t="s">
        <v>644</v>
      </c>
    </row>
    <row r="51" spans="1:2" x14ac:dyDescent="0.3">
      <c r="A51" s="49" t="s">
        <v>669</v>
      </c>
      <c r="B51" s="50" t="s">
        <v>644</v>
      </c>
    </row>
    <row r="52" spans="1:2" x14ac:dyDescent="0.3">
      <c r="A52" s="45" t="s">
        <v>670</v>
      </c>
      <c r="B52" s="48" t="s">
        <v>644</v>
      </c>
    </row>
    <row r="53" spans="1:2" x14ac:dyDescent="0.3">
      <c r="A53" s="49" t="s">
        <v>671</v>
      </c>
      <c r="B53" s="50" t="s">
        <v>644</v>
      </c>
    </row>
    <row r="54" spans="1:2" x14ac:dyDescent="0.3">
      <c r="A54" s="45" t="s">
        <v>672</v>
      </c>
      <c r="B54" s="48" t="s">
        <v>644</v>
      </c>
    </row>
    <row r="55" spans="1:2" x14ac:dyDescent="0.3">
      <c r="A55" s="49" t="s">
        <v>673</v>
      </c>
      <c r="B55" s="50" t="s">
        <v>644</v>
      </c>
    </row>
    <row r="56" spans="1:2" x14ac:dyDescent="0.3">
      <c r="A56" s="45" t="s">
        <v>674</v>
      </c>
      <c r="B56" s="48" t="s">
        <v>644</v>
      </c>
    </row>
    <row r="57" spans="1:2" x14ac:dyDescent="0.3">
      <c r="A57" s="49" t="s">
        <v>675</v>
      </c>
      <c r="B57" s="50" t="s">
        <v>644</v>
      </c>
    </row>
    <row r="58" spans="1:2" x14ac:dyDescent="0.3">
      <c r="A58" s="45" t="s">
        <v>676</v>
      </c>
      <c r="B58" s="48" t="s">
        <v>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Revenue Drivers</vt:lpstr>
      <vt:lpstr>Payroll Schedule</vt:lpstr>
      <vt:lpstr>Debt Schedule</vt:lpstr>
      <vt:lpstr>CapEx Depreciation</vt:lpstr>
      <vt:lpstr>Working Capital</vt:lpstr>
      <vt:lpstr>Cash Equity Schedule</vt:lpstr>
      <vt:lpstr>Model Inputs</vt:lpstr>
      <vt:lpstr>FINMO</vt:lpstr>
      <vt:lpstr>Audit Source</vt:lpstr>
      <vt:lpstr>Checks</vt:lpstr>
      <vt:lpstr>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Skyward Express Airlines Financial Model</dc:title>
  <dc:subject>Client financial model workbook</dc:subject>
  <dc:creator>Business Plan Generator</dc:creator>
  <cp:lastModifiedBy>Ignatius Henry</cp:lastModifiedBy>
  <dcterms:created xsi:type="dcterms:W3CDTF">2026-05-21T05:51:08Z</dcterms:created>
  <dcterms:modified xsi:type="dcterms:W3CDTF">2026-05-21T05:51:54Z</dcterms:modified>
</cp:coreProperties>
</file>