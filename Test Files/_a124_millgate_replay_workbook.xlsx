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3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3"/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print job</t>
        </is>
      </c>
    </row>
    <row r="8">
      <c r="A8" s="8" t="inlineStr">
        <is>
          <t>Primary line of business / print job - Capacity</t>
        </is>
      </c>
      <c r="B8" s="8" t="inlineStr">
        <is>
          <t>Source driver</t>
        </is>
      </c>
      <c r="C8" s="9" t="n">
        <v>390.168129</v>
      </c>
      <c r="D8" s="9" t="n">
        <v>390</v>
      </c>
      <c r="E8" s="9" t="n">
        <v>390</v>
      </c>
      <c r="F8" s="9" t="n">
        <v>390</v>
      </c>
      <c r="G8" s="9" t="n">
        <v>390</v>
      </c>
      <c r="H8" s="9" t="n">
        <v>390</v>
      </c>
      <c r="I8" s="9" t="n">
        <v>390</v>
      </c>
      <c r="J8" s="9" t="n">
        <v>390</v>
      </c>
      <c r="K8" s="9" t="n">
        <v>390</v>
      </c>
      <c r="L8" s="9" t="n">
        <v>390</v>
      </c>
      <c r="M8" s="9" t="n">
        <v>390</v>
      </c>
      <c r="N8" s="9" t="n">
        <v>390</v>
      </c>
      <c r="O8" s="9" t="n">
        <v>390</v>
      </c>
      <c r="P8" s="9" t="n">
        <v>390</v>
      </c>
      <c r="Q8" s="9" t="n">
        <v>390</v>
      </c>
      <c r="R8" s="9" t="n">
        <v>390</v>
      </c>
      <c r="S8" s="9" t="n">
        <v>390</v>
      </c>
      <c r="T8" s="9" t="n">
        <v>390</v>
      </c>
      <c r="U8" s="9" t="n">
        <v>390</v>
      </c>
      <c r="V8" s="9" t="n">
        <v>390</v>
      </c>
      <c r="W8" s="9" t="n">
        <v>390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print job - Unit Price</t>
        </is>
      </c>
      <c r="B9" s="8" t="inlineStr">
        <is>
          <t>Source driver</t>
        </is>
      </c>
      <c r="C9" s="11" t="n">
        <v>760</v>
      </c>
      <c r="D9" s="11" t="n">
        <v>760</v>
      </c>
      <c r="E9" s="11" t="n">
        <v>760</v>
      </c>
      <c r="F9" s="11" t="n">
        <v>760</v>
      </c>
      <c r="G9" s="11" t="n">
        <v>760</v>
      </c>
      <c r="H9" s="11" t="n">
        <v>760</v>
      </c>
      <c r="I9" s="11" t="n">
        <v>760</v>
      </c>
      <c r="J9" s="11" t="n">
        <v>760</v>
      </c>
      <c r="K9" s="11" t="n">
        <v>760</v>
      </c>
      <c r="L9" s="11" t="n">
        <v>760</v>
      </c>
      <c r="M9" s="11" t="n">
        <v>760</v>
      </c>
      <c r="N9" s="11" t="n">
        <v>760</v>
      </c>
      <c r="O9" s="11" t="n">
        <v>760</v>
      </c>
      <c r="P9" s="11" t="n">
        <v>760</v>
      </c>
      <c r="Q9" s="11" t="n">
        <v>760</v>
      </c>
      <c r="R9" s="11" t="n">
        <v>760</v>
      </c>
      <c r="S9" s="11" t="n">
        <v>760</v>
      </c>
      <c r="T9" s="11" t="n">
        <v>760</v>
      </c>
      <c r="U9" s="11" t="n">
        <v>760</v>
      </c>
      <c r="V9" s="11" t="n">
        <v>760</v>
      </c>
      <c r="W9" s="11" t="n">
        <v>760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print job - Utilization</t>
        </is>
      </c>
      <c r="B10" s="8" t="inlineStr">
        <is>
          <t>Source driver</t>
        </is>
      </c>
      <c r="C10" s="13" t="n">
        <v>0.72</v>
      </c>
      <c r="D10" s="13" t="n">
        <v>0.72</v>
      </c>
      <c r="E10" s="13" t="n">
        <v>0.72</v>
      </c>
      <c r="F10" s="13" t="n">
        <v>0.72</v>
      </c>
      <c r="G10" s="13" t="n">
        <v>0.72</v>
      </c>
      <c r="H10" s="13" t="n">
        <v>0.72</v>
      </c>
      <c r="I10" s="13" t="n">
        <v>0.72</v>
      </c>
      <c r="J10" s="13" t="n">
        <v>0.72</v>
      </c>
      <c r="K10" s="13" t="n">
        <v>0.72</v>
      </c>
      <c r="L10" s="13" t="n">
        <v>0.72</v>
      </c>
      <c r="M10" s="13" t="n">
        <v>0.72</v>
      </c>
      <c r="N10" s="13" t="n">
        <v>0.72</v>
      </c>
      <c r="O10" s="13" t="n">
        <v>0.72</v>
      </c>
      <c r="P10" s="13" t="n">
        <v>0.72</v>
      </c>
      <c r="Q10" s="13" t="n">
        <v>0.72</v>
      </c>
      <c r="R10" s="13" t="n">
        <v>0.72</v>
      </c>
      <c r="S10" s="13" t="n">
        <v>0.72</v>
      </c>
      <c r="T10" s="13" t="n">
        <v>0.72</v>
      </c>
      <c r="U10" s="13" t="n">
        <v>0.72</v>
      </c>
      <c r="V10" s="13" t="n">
        <v>0.72</v>
      </c>
      <c r="W10" s="13" t="n">
        <v>0.72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print job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2"/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5"/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0.02</v>
      </c>
      <c r="E18" s="13" t="n">
        <v>0.02</v>
      </c>
      <c r="F18" s="13" t="n">
        <v>0.02</v>
      </c>
      <c r="G18" s="13" t="n">
        <v>0.02</v>
      </c>
      <c r="H18" s="13" t="n">
        <v>0.02</v>
      </c>
      <c r="I18" s="13" t="n">
        <v>0.02</v>
      </c>
      <c r="J18" s="13" t="n">
        <v>0.02</v>
      </c>
      <c r="K18" s="13" t="n">
        <v>0.02</v>
      </c>
      <c r="L18" s="13" t="n">
        <v>0.01</v>
      </c>
      <c r="M18" s="13" t="n">
        <v>0.01</v>
      </c>
      <c r="N18" s="13" t="n">
        <v>0.01</v>
      </c>
      <c r="O18" s="13" t="n">
        <v>0.01</v>
      </c>
      <c r="P18" s="13" t="n">
        <v>0.01</v>
      </c>
      <c r="Q18" s="13" t="n">
        <v>0.01</v>
      </c>
      <c r="R18" s="13" t="n">
        <v>0.01</v>
      </c>
      <c r="S18" s="13" t="n">
        <v>0.01</v>
      </c>
      <c r="T18" s="13" t="n">
        <v>0.01</v>
      </c>
      <c r="U18" s="13" t="n">
        <v>0.01</v>
      </c>
      <c r="V18" s="13" t="n">
        <v>0.01</v>
      </c>
      <c r="W18" s="13" t="n">
        <v>0.01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0.05</v>
      </c>
      <c r="E19" s="13" t="n">
        <v>0.05</v>
      </c>
      <c r="F19" s="13" t="n">
        <v>0.05</v>
      </c>
      <c r="G19" s="13" t="n">
        <v>0.05</v>
      </c>
      <c r="H19" s="13" t="n">
        <v>0.05</v>
      </c>
      <c r="I19" s="13" t="n">
        <v>0.05</v>
      </c>
      <c r="J19" s="13" t="n">
        <v>0.05</v>
      </c>
      <c r="K19" s="13" t="n">
        <v>0.05</v>
      </c>
      <c r="L19" s="13" t="n">
        <v>0.05</v>
      </c>
      <c r="M19" s="13" t="n">
        <v>0.05</v>
      </c>
      <c r="N19" s="13" t="n">
        <v>0.05</v>
      </c>
      <c r="O19" s="13" t="n">
        <v>0.05</v>
      </c>
      <c r="P19" s="13" t="n">
        <v>0.05</v>
      </c>
      <c r="Q19" s="13" t="n">
        <v>0.05</v>
      </c>
      <c r="R19" s="13" t="n">
        <v>0.05</v>
      </c>
      <c r="S19" s="13" t="n">
        <v>0.05</v>
      </c>
      <c r="T19" s="13" t="n">
        <v>0.05</v>
      </c>
      <c r="U19" s="13" t="n">
        <v>0.05</v>
      </c>
      <c r="V19" s="13" t="n">
        <v>0.05</v>
      </c>
      <c r="W19" s="13" t="n">
        <v>0.05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0.05</v>
      </c>
      <c r="E20" s="13" t="n">
        <v>0.05</v>
      </c>
      <c r="F20" s="13" t="n">
        <v>0.05</v>
      </c>
      <c r="G20" s="13" t="n">
        <v>0.05</v>
      </c>
      <c r="H20" s="13" t="n">
        <v>0.05</v>
      </c>
      <c r="I20" s="13" t="n">
        <v>0.05</v>
      </c>
      <c r="J20" s="13" t="n">
        <v>0.05</v>
      </c>
      <c r="K20" s="13" t="n">
        <v>0.05</v>
      </c>
      <c r="L20" s="13" t="n">
        <v>0.05</v>
      </c>
      <c r="M20" s="13" t="n">
        <v>0.05</v>
      </c>
      <c r="N20" s="13" t="n">
        <v>0.05</v>
      </c>
      <c r="O20" s="13" t="n">
        <v>0.05</v>
      </c>
      <c r="P20" s="13" t="n">
        <v>0.05</v>
      </c>
      <c r="Q20" s="13" t="n">
        <v>0.05</v>
      </c>
      <c r="R20" s="13" t="n">
        <v>0.05</v>
      </c>
      <c r="S20" s="13" t="n">
        <v>0.05</v>
      </c>
      <c r="T20" s="13" t="n">
        <v>0.05</v>
      </c>
      <c r="U20" s="13" t="n">
        <v>0.05</v>
      </c>
      <c r="V20" s="13" t="n">
        <v>0.05</v>
      </c>
      <c r="W20" s="13" t="n">
        <v>0.05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0.44</v>
      </c>
      <c r="E22" s="13" t="n">
        <v>0.44</v>
      </c>
      <c r="F22" s="13" t="n">
        <v>0.44</v>
      </c>
      <c r="G22" s="13" t="n">
        <v>0.43</v>
      </c>
      <c r="H22" s="13" t="n">
        <v>0.43</v>
      </c>
      <c r="I22" s="13" t="n">
        <v>0.43</v>
      </c>
      <c r="J22" s="13" t="n">
        <v>0.43</v>
      </c>
      <c r="K22" s="13" t="n">
        <v>0.43</v>
      </c>
      <c r="L22" s="13" t="n">
        <v>0.42</v>
      </c>
      <c r="M22" s="13" t="n">
        <v>0.42</v>
      </c>
      <c r="N22" s="13" t="n">
        <v>0.42</v>
      </c>
      <c r="O22" s="13" t="n">
        <v>0.42</v>
      </c>
      <c r="P22" s="13" t="n">
        <v>0.42</v>
      </c>
      <c r="Q22" s="13" t="n">
        <v>0.42</v>
      </c>
      <c r="R22" s="13" t="n">
        <v>0.42</v>
      </c>
      <c r="S22" s="13" t="n">
        <v>0.41</v>
      </c>
      <c r="T22" s="13" t="n">
        <v>0.41</v>
      </c>
      <c r="U22" s="13" t="n">
        <v>0.41</v>
      </c>
      <c r="V22" s="13" t="n">
        <v>0.41</v>
      </c>
      <c r="W22" s="13" t="n">
        <v>0.41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0.44</v>
      </c>
      <c r="E23" s="13" t="n">
        <v>0.44</v>
      </c>
      <c r="F23" s="13" t="n">
        <v>0.44</v>
      </c>
      <c r="G23" s="13" t="n">
        <v>0.44</v>
      </c>
      <c r="H23" s="13" t="n">
        <v>0.44</v>
      </c>
      <c r="I23" s="13" t="n">
        <v>0.44</v>
      </c>
      <c r="J23" s="13" t="n">
        <v>0.44</v>
      </c>
      <c r="K23" s="13" t="n">
        <v>0.44</v>
      </c>
      <c r="L23" s="13" t="n">
        <v>0.44</v>
      </c>
      <c r="M23" s="13" t="n">
        <v>0.44</v>
      </c>
      <c r="N23" s="13" t="n">
        <v>0.44</v>
      </c>
      <c r="O23" s="13" t="n">
        <v>0.44</v>
      </c>
      <c r="P23" s="13" t="n">
        <v>0.44</v>
      </c>
      <c r="Q23" s="13" t="n">
        <v>0.45</v>
      </c>
      <c r="R23" s="13" t="n">
        <v>0.45</v>
      </c>
      <c r="S23" s="13" t="n">
        <v>0.45</v>
      </c>
      <c r="T23" s="13" t="n">
        <v>0.45</v>
      </c>
      <c r="U23" s="13" t="n">
        <v>0.45</v>
      </c>
      <c r="V23" s="13" t="n">
        <v>0.45</v>
      </c>
      <c r="W23" s="13" t="n">
        <v>0.45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0.01</v>
      </c>
      <c r="E24" s="13" t="n">
        <v>0.01</v>
      </c>
      <c r="F24" s="13" t="n">
        <v>0.01</v>
      </c>
      <c r="G24" s="13" t="n">
        <v>0.01</v>
      </c>
      <c r="H24" s="13" t="n">
        <v>0.01</v>
      </c>
      <c r="I24" s="13" t="n">
        <v>0.01</v>
      </c>
      <c r="J24" s="13" t="n">
        <v>0.01</v>
      </c>
      <c r="K24" s="13" t="n">
        <v>0.01</v>
      </c>
      <c r="L24" s="13" t="n">
        <v>0.01</v>
      </c>
      <c r="M24" s="13" t="n">
        <v>0.01</v>
      </c>
      <c r="N24" s="13" t="n">
        <v>0.01</v>
      </c>
      <c r="O24" s="13" t="n">
        <v>0.01</v>
      </c>
      <c r="P24" s="13" t="n">
        <v>0.01</v>
      </c>
      <c r="Q24" s="13" t="n">
        <v>0.01</v>
      </c>
      <c r="R24" s="13" t="n">
        <v>0.01</v>
      </c>
      <c r="S24" s="13" t="n">
        <v>0.01</v>
      </c>
      <c r="T24" s="13" t="n">
        <v>0.01</v>
      </c>
      <c r="U24" s="13" t="n">
        <v>0.01</v>
      </c>
      <c r="V24" s="13" t="n">
        <v>0.01</v>
      </c>
      <c r="W24" s="13" t="n">
        <v>0.01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0.04</v>
      </c>
      <c r="E26" s="13" t="n">
        <v>0.04</v>
      </c>
      <c r="F26" s="13" t="n">
        <v>0.04</v>
      </c>
      <c r="G26" s="13" t="n">
        <v>0.04</v>
      </c>
      <c r="H26" s="13" t="n">
        <v>0.03</v>
      </c>
      <c r="I26" s="13" t="n">
        <v>0.03</v>
      </c>
      <c r="J26" s="13" t="n">
        <v>0.03</v>
      </c>
      <c r="K26" s="13" t="n">
        <v>0.03</v>
      </c>
      <c r="L26" s="13" t="n">
        <v>0.03</v>
      </c>
      <c r="M26" s="13" t="n">
        <v>0.03</v>
      </c>
      <c r="N26" s="13" t="n">
        <v>0.03</v>
      </c>
      <c r="O26" s="13" t="n">
        <v>0.03</v>
      </c>
      <c r="P26" s="13" t="n">
        <v>0.03</v>
      </c>
      <c r="Q26" s="13" t="n">
        <v>0.03</v>
      </c>
      <c r="R26" s="13" t="n">
        <v>0.03</v>
      </c>
      <c r="S26" s="13" t="n">
        <v>0.03</v>
      </c>
      <c r="T26" s="13" t="n">
        <v>0.03</v>
      </c>
      <c r="U26" s="13" t="n">
        <v>0.03</v>
      </c>
      <c r="V26" s="13" t="n">
        <v>0.03</v>
      </c>
      <c r="W26" s="13" t="n">
        <v>0.03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0.12</v>
      </c>
      <c r="E27" s="13" t="n">
        <v>0.12</v>
      </c>
      <c r="F27" s="13" t="n">
        <v>0.12</v>
      </c>
      <c r="G27" s="13" t="n">
        <v>0.12</v>
      </c>
      <c r="H27" s="13" t="n">
        <v>0.12</v>
      </c>
      <c r="I27" s="13" t="n">
        <v>0.12</v>
      </c>
      <c r="J27" s="13" t="n">
        <v>0.12</v>
      </c>
      <c r="K27" s="13" t="n">
        <v>0.12</v>
      </c>
      <c r="L27" s="13" t="n">
        <v>0.12</v>
      </c>
      <c r="M27" s="13" t="n">
        <v>0.12</v>
      </c>
      <c r="N27" s="13" t="n">
        <v>0.12</v>
      </c>
      <c r="O27" s="13" t="n">
        <v>0.12</v>
      </c>
      <c r="P27" s="13" t="n">
        <v>0.12</v>
      </c>
      <c r="Q27" s="13" t="n">
        <v>0.12</v>
      </c>
      <c r="R27" s="13" t="n">
        <v>0.12</v>
      </c>
      <c r="S27" s="13" t="n">
        <v>0.12</v>
      </c>
      <c r="T27" s="13" t="n">
        <v>0.12</v>
      </c>
      <c r="U27" s="13" t="n">
        <v>0.12</v>
      </c>
      <c r="V27" s="13" t="n">
        <v>0.12</v>
      </c>
      <c r="W27" s="13" t="n">
        <v>0.12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0.02</v>
      </c>
      <c r="E28" s="13" t="n">
        <v>0.02</v>
      </c>
      <c r="F28" s="13" t="n">
        <v>0.02</v>
      </c>
      <c r="G28" s="13" t="n">
        <v>0.02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3"/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system_driven</t>
        </is>
      </c>
    </row>
    <row r="8">
      <c r="A8" t="inlineStr">
        <is>
          <t>Labor Intensity Class</t>
        </is>
      </c>
      <c r="B8" t="inlineStr">
        <is>
          <t>low</t>
        </is>
      </c>
    </row>
    <row r="9">
      <c r="A9" t="inlineStr">
        <is>
          <t>Wage Positioning Tier</t>
        </is>
      </c>
      <c r="B9" t="inlineStr">
        <is>
          <t>floor</t>
        </is>
      </c>
    </row>
    <row r="10">
      <c r="A10" t="inlineStr">
        <is>
          <t>Wage Positioning Multiplier</t>
        </is>
      </c>
      <c r="B10" t="n">
        <v>1</v>
      </c>
    </row>
    <row r="11">
      <c r="A11" t="inlineStr">
        <is>
          <t>Capacity Units per Supporting FTE</t>
        </is>
      </c>
      <c r="B11" t="n">
        <v>780</v>
      </c>
    </row>
    <row r="12">
      <c r="A12" t="inlineStr">
        <is>
          <t>Target Payroll % of Revenue</t>
        </is>
      </c>
      <c r="B12" t="n">
        <v>0.19</v>
      </c>
    </row>
    <row r="13"/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3"/>
    <row r="24"/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Lead Press Operator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48000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client_override</t>
        </is>
      </c>
    </row>
    <row r="28">
      <c r="A28" t="n">
        <v>1</v>
      </c>
      <c r="B28" t="inlineStr">
        <is>
          <t>key_person</t>
        </is>
      </c>
      <c r="C28" t="inlineStr">
        <is>
          <t>Owner and General Manager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66000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client_override</t>
        </is>
      </c>
    </row>
    <row r="29">
      <c r="A29" t="n">
        <v>1</v>
      </c>
      <c r="B29" t="inlineStr">
        <is>
          <t>supporting_staff</t>
        </is>
      </c>
      <c r="C29" t="inlineStr">
        <is>
          <t>Printing Press Operators</t>
        </is>
      </c>
      <c r="D29" t="inlineStr">
        <is>
          <t>Printing Press Operators</t>
        </is>
      </c>
      <c r="E29" s="29" t="n">
        <v>0.5</v>
      </c>
      <c r="F29" s="29" t="n">
        <v>0</v>
      </c>
      <c r="G29" s="30">
        <f>E29+F29</f>
        <v/>
      </c>
      <c r="H29" s="30">
        <f>(E29+G29)/2</f>
        <v/>
      </c>
      <c r="I29" s="31" t="n">
        <v>41020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oews_title_catalog:oews_median</t>
        </is>
      </c>
    </row>
    <row r="30">
      <c r="A30" t="n">
        <v>2</v>
      </c>
      <c r="B30" t="inlineStr">
        <is>
          <t>key_person</t>
        </is>
      </c>
      <c r="C30" t="inlineStr">
        <is>
          <t>Lead Press Operator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48000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client_override</t>
        </is>
      </c>
    </row>
    <row r="31">
      <c r="A31" t="n">
        <v>2</v>
      </c>
      <c r="B31" t="inlineStr">
        <is>
          <t>key_person</t>
        </is>
      </c>
      <c r="C31" t="inlineStr">
        <is>
          <t>Owner and General Manager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66000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client_override</t>
        </is>
      </c>
    </row>
    <row r="32">
      <c r="A32" t="n">
        <v>2</v>
      </c>
      <c r="B32" t="inlineStr">
        <is>
          <t>supporting_staff</t>
        </is>
      </c>
      <c r="C32" t="inlineStr">
        <is>
          <t>Printing Press Operators</t>
        </is>
      </c>
      <c r="D32" t="inlineStr">
        <is>
          <t>Printing Press Operators</t>
        </is>
      </c>
      <c r="E32" s="29" t="n">
        <v>0.5</v>
      </c>
      <c r="F32" s="29" t="n">
        <v>0</v>
      </c>
      <c r="G32" s="30">
        <f>E32+F32</f>
        <v/>
      </c>
      <c r="H32" s="30">
        <f>(E32+G32)/2</f>
        <v/>
      </c>
      <c r="I32" s="31" t="n">
        <v>41020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oews_title_catalog:oews_median</t>
        </is>
      </c>
    </row>
    <row r="33">
      <c r="A33" t="n">
        <v>3</v>
      </c>
      <c r="B33" t="inlineStr">
        <is>
          <t>key_person</t>
        </is>
      </c>
      <c r="C33" t="inlineStr">
        <is>
          <t>Lead Press Operator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48000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client_override</t>
        </is>
      </c>
    </row>
    <row r="34">
      <c r="A34" t="n">
        <v>3</v>
      </c>
      <c r="B34" t="inlineStr">
        <is>
          <t>key_person</t>
        </is>
      </c>
      <c r="C34" t="inlineStr">
        <is>
          <t>Owner and General Manager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66000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client_override</t>
        </is>
      </c>
    </row>
    <row r="35">
      <c r="A35" t="n">
        <v>3</v>
      </c>
      <c r="B35" t="inlineStr">
        <is>
          <t>supporting_staff</t>
        </is>
      </c>
      <c r="C35" t="inlineStr">
        <is>
          <t>Printing Press Operators</t>
        </is>
      </c>
      <c r="D35" t="inlineStr">
        <is>
          <t>Printing Press Operators</t>
        </is>
      </c>
      <c r="E35" s="29" t="n">
        <v>0.5</v>
      </c>
      <c r="F35" s="29" t="n">
        <v>0</v>
      </c>
      <c r="G35" s="30">
        <f>E35+F35</f>
        <v/>
      </c>
      <c r="H35" s="30">
        <f>(E35+G35)/2</f>
        <v/>
      </c>
      <c r="I35" s="31" t="n">
        <v>41020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oews_title_catalog:oews_median</t>
        </is>
      </c>
    </row>
    <row r="36">
      <c r="A36" t="n">
        <v>4</v>
      </c>
      <c r="B36" t="inlineStr">
        <is>
          <t>key_person</t>
        </is>
      </c>
      <c r="C36" t="inlineStr">
        <is>
          <t>Lead Press Operator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48000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client_override</t>
        </is>
      </c>
    </row>
    <row r="37">
      <c r="A37" t="n">
        <v>4</v>
      </c>
      <c r="B37" t="inlineStr">
        <is>
          <t>key_person</t>
        </is>
      </c>
      <c r="C37" t="inlineStr">
        <is>
          <t>Owner and General Manager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66000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client_override</t>
        </is>
      </c>
    </row>
    <row r="38">
      <c r="A38" t="n">
        <v>4</v>
      </c>
      <c r="B38" t="inlineStr">
        <is>
          <t>supporting_staff</t>
        </is>
      </c>
      <c r="C38" t="inlineStr">
        <is>
          <t>Printing Press Operators</t>
        </is>
      </c>
      <c r="D38" t="inlineStr">
        <is>
          <t>Printing Press Operators</t>
        </is>
      </c>
      <c r="E38" s="29" t="n">
        <v>0.5</v>
      </c>
      <c r="F38" s="29" t="n">
        <v>0</v>
      </c>
      <c r="G38" s="30">
        <f>E38+F38</f>
        <v/>
      </c>
      <c r="H38" s="30">
        <f>(E38+G38)/2</f>
        <v/>
      </c>
      <c r="I38" s="31" t="n">
        <v>41020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oews_title_catalog:oews_median</t>
        </is>
      </c>
    </row>
    <row r="39">
      <c r="A39" t="n">
        <v>5</v>
      </c>
      <c r="B39" t="inlineStr">
        <is>
          <t>key_person</t>
        </is>
      </c>
      <c r="C39" t="inlineStr">
        <is>
          <t>Lead Press Operator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49440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client_override</t>
        </is>
      </c>
    </row>
    <row r="40">
      <c r="A40" t="n">
        <v>5</v>
      </c>
      <c r="B40" t="inlineStr">
        <is>
          <t>key_person</t>
        </is>
      </c>
      <c r="C40" t="inlineStr">
        <is>
          <t>Owner and General Manager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67980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client_override</t>
        </is>
      </c>
    </row>
    <row r="41">
      <c r="A41" t="n">
        <v>5</v>
      </c>
      <c r="B41" t="inlineStr">
        <is>
          <t>supporting_staff</t>
        </is>
      </c>
      <c r="C41" t="inlineStr">
        <is>
          <t>Printing Press Operators</t>
        </is>
      </c>
      <c r="D41" t="inlineStr">
        <is>
          <t>Printing Press Operators</t>
        </is>
      </c>
      <c r="E41" s="29" t="n">
        <v>0.5</v>
      </c>
      <c r="F41" s="29" t="n">
        <v>0</v>
      </c>
      <c r="G41" s="30">
        <f>E41+F41</f>
        <v/>
      </c>
      <c r="H41" s="30">
        <f>(E41+G41)/2</f>
        <v/>
      </c>
      <c r="I41" s="31" t="n">
        <v>42251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oews_title_catalog:oews_median</t>
        </is>
      </c>
    </row>
    <row r="42">
      <c r="A42" t="n">
        <v>6</v>
      </c>
      <c r="B42" t="inlineStr">
        <is>
          <t>key_person</t>
        </is>
      </c>
      <c r="C42" t="inlineStr">
        <is>
          <t>Lead Press Operator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49440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client_override</t>
        </is>
      </c>
    </row>
    <row r="43">
      <c r="A43" t="n">
        <v>6</v>
      </c>
      <c r="B43" t="inlineStr">
        <is>
          <t>key_person</t>
        </is>
      </c>
      <c r="C43" t="inlineStr">
        <is>
          <t>Owner and General Manager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67980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client_override</t>
        </is>
      </c>
    </row>
    <row r="44">
      <c r="A44" t="n">
        <v>6</v>
      </c>
      <c r="B44" t="inlineStr">
        <is>
          <t>supporting_staff</t>
        </is>
      </c>
      <c r="C44" t="inlineStr">
        <is>
          <t>Printing Press Operators</t>
        </is>
      </c>
      <c r="D44" t="inlineStr">
        <is>
          <t>Printing Press Operators</t>
        </is>
      </c>
      <c r="E44" s="29" t="n">
        <v>0.5</v>
      </c>
      <c r="F44" s="29" t="n">
        <v>0</v>
      </c>
      <c r="G44" s="30">
        <f>E44+F44</f>
        <v/>
      </c>
      <c r="H44" s="30">
        <f>(E44+G44)/2</f>
        <v/>
      </c>
      <c r="I44" s="31" t="n">
        <v>42251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oews_title_catalog:oews_median</t>
        </is>
      </c>
    </row>
    <row r="45">
      <c r="A45" t="n">
        <v>7</v>
      </c>
      <c r="B45" t="inlineStr">
        <is>
          <t>key_person</t>
        </is>
      </c>
      <c r="C45" t="inlineStr">
        <is>
          <t>Lead Press Operator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49440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client_override</t>
        </is>
      </c>
    </row>
    <row r="46">
      <c r="A46" t="n">
        <v>7</v>
      </c>
      <c r="B46" t="inlineStr">
        <is>
          <t>key_person</t>
        </is>
      </c>
      <c r="C46" t="inlineStr">
        <is>
          <t>Owner and General Manager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67980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client_override</t>
        </is>
      </c>
    </row>
    <row r="47">
      <c r="A47" t="n">
        <v>7</v>
      </c>
      <c r="B47" t="inlineStr">
        <is>
          <t>supporting_staff</t>
        </is>
      </c>
      <c r="C47" t="inlineStr">
        <is>
          <t>Printing Press Operators</t>
        </is>
      </c>
      <c r="D47" t="inlineStr">
        <is>
          <t>Printing Press Operators</t>
        </is>
      </c>
      <c r="E47" s="29" t="n">
        <v>0.5</v>
      </c>
      <c r="F47" s="29" t="n">
        <v>0</v>
      </c>
      <c r="G47" s="30">
        <f>E47+F47</f>
        <v/>
      </c>
      <c r="H47" s="30">
        <f>(E47+G47)/2</f>
        <v/>
      </c>
      <c r="I47" s="31" t="n">
        <v>42251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oews_title_catalog:oews_median</t>
        </is>
      </c>
    </row>
    <row r="48">
      <c r="A48" t="n">
        <v>8</v>
      </c>
      <c r="B48" t="inlineStr">
        <is>
          <t>key_person</t>
        </is>
      </c>
      <c r="C48" t="inlineStr">
        <is>
          <t>Lead Press Operator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49440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client_override</t>
        </is>
      </c>
    </row>
    <row r="49">
      <c r="A49" t="n">
        <v>8</v>
      </c>
      <c r="B49" t="inlineStr">
        <is>
          <t>key_person</t>
        </is>
      </c>
      <c r="C49" t="inlineStr">
        <is>
          <t>Owner and General Manager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67980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client_override</t>
        </is>
      </c>
    </row>
    <row r="50">
      <c r="A50" t="n">
        <v>8</v>
      </c>
      <c r="B50" t="inlineStr">
        <is>
          <t>supporting_staff</t>
        </is>
      </c>
      <c r="C50" t="inlineStr">
        <is>
          <t>Printing Press Operators</t>
        </is>
      </c>
      <c r="D50" t="inlineStr">
        <is>
          <t>Printing Press Operators</t>
        </is>
      </c>
      <c r="E50" s="29" t="n">
        <v>0.5</v>
      </c>
      <c r="F50" s="29" t="n">
        <v>0</v>
      </c>
      <c r="G50" s="30">
        <f>E50+F50</f>
        <v/>
      </c>
      <c r="H50" s="30">
        <f>(E50+G50)/2</f>
        <v/>
      </c>
      <c r="I50" s="31" t="n">
        <v>42251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oews_title_catalog:oews_median</t>
        </is>
      </c>
    </row>
    <row r="51">
      <c r="A51" t="n">
        <v>9</v>
      </c>
      <c r="B51" t="inlineStr">
        <is>
          <t>key_person</t>
        </is>
      </c>
      <c r="C51" t="inlineStr">
        <is>
          <t>Lead Press Operator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50923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client_override</t>
        </is>
      </c>
    </row>
    <row r="52">
      <c r="A52" t="n">
        <v>9</v>
      </c>
      <c r="B52" t="inlineStr">
        <is>
          <t>key_person</t>
        </is>
      </c>
      <c r="C52" t="inlineStr">
        <is>
          <t>Owner and General Manager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70019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client_override</t>
        </is>
      </c>
    </row>
    <row r="53">
      <c r="A53" t="n">
        <v>9</v>
      </c>
      <c r="B53" t="inlineStr">
        <is>
          <t>supporting_staff</t>
        </is>
      </c>
      <c r="C53" t="inlineStr">
        <is>
          <t>Printing Press Operators</t>
        </is>
      </c>
      <c r="D53" t="inlineStr">
        <is>
          <t>Printing Press Operators</t>
        </is>
      </c>
      <c r="E53" s="29" t="n">
        <v>0.5</v>
      </c>
      <c r="F53" s="29" t="n">
        <v>0</v>
      </c>
      <c r="G53" s="30">
        <f>E53+F53</f>
        <v/>
      </c>
      <c r="H53" s="30">
        <f>(E53+G53)/2</f>
        <v/>
      </c>
      <c r="I53" s="31" t="n">
        <v>43518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oews_title_catalog:oews_median</t>
        </is>
      </c>
    </row>
    <row r="54">
      <c r="A54" t="n">
        <v>10</v>
      </c>
      <c r="B54" t="inlineStr">
        <is>
          <t>key_person</t>
        </is>
      </c>
      <c r="C54" t="inlineStr">
        <is>
          <t>Lead Press Operator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50923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client_override</t>
        </is>
      </c>
    </row>
    <row r="55">
      <c r="A55" t="n">
        <v>10</v>
      </c>
      <c r="B55" t="inlineStr">
        <is>
          <t>key_person</t>
        </is>
      </c>
      <c r="C55" t="inlineStr">
        <is>
          <t>Owner and General Manager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70019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client_override</t>
        </is>
      </c>
    </row>
    <row r="56">
      <c r="A56" t="n">
        <v>10</v>
      </c>
      <c r="B56" t="inlineStr">
        <is>
          <t>supporting_staff</t>
        </is>
      </c>
      <c r="C56" t="inlineStr">
        <is>
          <t>Printing Press Operators</t>
        </is>
      </c>
      <c r="D56" t="inlineStr">
        <is>
          <t>Printing Press Operators</t>
        </is>
      </c>
      <c r="E56" s="29" t="n">
        <v>0.5</v>
      </c>
      <c r="F56" s="29" t="n">
        <v>0</v>
      </c>
      <c r="G56" s="30">
        <f>E56+F56</f>
        <v/>
      </c>
      <c r="H56" s="30">
        <f>(E56+G56)/2</f>
        <v/>
      </c>
      <c r="I56" s="31" t="n">
        <v>43518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oews_title_catalog:oews_median</t>
        </is>
      </c>
    </row>
    <row r="57">
      <c r="A57" t="n">
        <v>11</v>
      </c>
      <c r="B57" t="inlineStr">
        <is>
          <t>key_person</t>
        </is>
      </c>
      <c r="C57" t="inlineStr">
        <is>
          <t>Lead Press Operator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50923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client_override</t>
        </is>
      </c>
    </row>
    <row r="58">
      <c r="A58" t="n">
        <v>11</v>
      </c>
      <c r="B58" t="inlineStr">
        <is>
          <t>key_person</t>
        </is>
      </c>
      <c r="C58" t="inlineStr">
        <is>
          <t>Owner and General Manager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70019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client_override</t>
        </is>
      </c>
    </row>
    <row r="59">
      <c r="A59" t="n">
        <v>11</v>
      </c>
      <c r="B59" t="inlineStr">
        <is>
          <t>supporting_staff</t>
        </is>
      </c>
      <c r="C59" t="inlineStr">
        <is>
          <t>Printing Press Operators</t>
        </is>
      </c>
      <c r="D59" t="inlineStr">
        <is>
          <t>Printing Press Operators</t>
        </is>
      </c>
      <c r="E59" s="29" t="n">
        <v>0.5</v>
      </c>
      <c r="F59" s="29" t="n">
        <v>0</v>
      </c>
      <c r="G59" s="30">
        <f>E59+F59</f>
        <v/>
      </c>
      <c r="H59" s="30">
        <f>(E59+G59)/2</f>
        <v/>
      </c>
      <c r="I59" s="31" t="n">
        <v>43518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oews_title_catalog:oews_median</t>
        </is>
      </c>
    </row>
    <row r="60">
      <c r="A60" t="n">
        <v>12</v>
      </c>
      <c r="B60" t="inlineStr">
        <is>
          <t>key_person</t>
        </is>
      </c>
      <c r="C60" t="inlineStr">
        <is>
          <t>Lead Press Operator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50923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client_override</t>
        </is>
      </c>
    </row>
    <row r="61">
      <c r="A61" t="n">
        <v>12</v>
      </c>
      <c r="B61" t="inlineStr">
        <is>
          <t>key_person</t>
        </is>
      </c>
      <c r="C61" t="inlineStr">
        <is>
          <t>Owner and General Manager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70019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client_override</t>
        </is>
      </c>
    </row>
    <row r="62">
      <c r="A62" t="n">
        <v>12</v>
      </c>
      <c r="B62" t="inlineStr">
        <is>
          <t>supporting_staff</t>
        </is>
      </c>
      <c r="C62" t="inlineStr">
        <is>
          <t>Printing Press Operators</t>
        </is>
      </c>
      <c r="D62" t="inlineStr">
        <is>
          <t>Printing Press Operators</t>
        </is>
      </c>
      <c r="E62" s="29" t="n">
        <v>0.5</v>
      </c>
      <c r="F62" s="29" t="n">
        <v>0</v>
      </c>
      <c r="G62" s="30">
        <f>E62+F62</f>
        <v/>
      </c>
      <c r="H62" s="30">
        <f>(E62+G62)/2</f>
        <v/>
      </c>
      <c r="I62" s="31" t="n">
        <v>43518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oews_title_catalog:oews_median</t>
        </is>
      </c>
    </row>
    <row r="63">
      <c r="A63" t="n">
        <v>13</v>
      </c>
      <c r="B63" t="inlineStr">
        <is>
          <t>key_person</t>
        </is>
      </c>
      <c r="C63" t="inlineStr">
        <is>
          <t>Lead Press Operator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52451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client_override</t>
        </is>
      </c>
    </row>
    <row r="64">
      <c r="A64" t="n">
        <v>13</v>
      </c>
      <c r="B64" t="inlineStr">
        <is>
          <t>key_person</t>
        </is>
      </c>
      <c r="C64" t="inlineStr">
        <is>
          <t>Owner and General Manager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72120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client_override</t>
        </is>
      </c>
    </row>
    <row r="65">
      <c r="A65" t="n">
        <v>13</v>
      </c>
      <c r="B65" t="inlineStr">
        <is>
          <t>supporting_staff</t>
        </is>
      </c>
      <c r="C65" t="inlineStr">
        <is>
          <t>Printing Press Operators</t>
        </is>
      </c>
      <c r="D65" t="inlineStr">
        <is>
          <t>Printing Press Operators</t>
        </is>
      </c>
      <c r="E65" s="29" t="n">
        <v>0.5</v>
      </c>
      <c r="F65" s="29" t="n">
        <v>0</v>
      </c>
      <c r="G65" s="30">
        <f>E65+F65</f>
        <v/>
      </c>
      <c r="H65" s="30">
        <f>(E65+G65)/2</f>
        <v/>
      </c>
      <c r="I65" s="31" t="n">
        <v>44824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oews_title_catalog:oews_median</t>
        </is>
      </c>
    </row>
    <row r="66">
      <c r="A66" t="n">
        <v>14</v>
      </c>
      <c r="B66" t="inlineStr">
        <is>
          <t>key_person</t>
        </is>
      </c>
      <c r="C66" t="inlineStr">
        <is>
          <t>Lead Press Operator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52451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client_override</t>
        </is>
      </c>
    </row>
    <row r="67">
      <c r="A67" t="n">
        <v>14</v>
      </c>
      <c r="B67" t="inlineStr">
        <is>
          <t>key_person</t>
        </is>
      </c>
      <c r="C67" t="inlineStr">
        <is>
          <t>Owner and General Manager</t>
        </is>
      </c>
      <c r="D67" t="inlineStr"/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72120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client_override</t>
        </is>
      </c>
    </row>
    <row r="68">
      <c r="A68" t="n">
        <v>14</v>
      </c>
      <c r="B68" t="inlineStr">
        <is>
          <t>supporting_staff</t>
        </is>
      </c>
      <c r="C68" t="inlineStr">
        <is>
          <t>Printing Press Operators</t>
        </is>
      </c>
      <c r="D68" t="inlineStr">
        <is>
          <t>Printing Press Operators</t>
        </is>
      </c>
      <c r="E68" s="29" t="n">
        <v>0.5</v>
      </c>
      <c r="F68" s="29" t="n">
        <v>0</v>
      </c>
      <c r="G68" s="30">
        <f>E68+F68</f>
        <v/>
      </c>
      <c r="H68" s="30">
        <f>(E68+G68)/2</f>
        <v/>
      </c>
      <c r="I68" s="31" t="n">
        <v>44824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15</v>
      </c>
      <c r="B69" t="inlineStr">
        <is>
          <t>key_person</t>
        </is>
      </c>
      <c r="C69" t="inlineStr">
        <is>
          <t>Lead Press Operator</t>
        </is>
      </c>
      <c r="D69" t="inlineStr"/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52451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client_override</t>
        </is>
      </c>
    </row>
    <row r="70">
      <c r="A70" t="n">
        <v>15</v>
      </c>
      <c r="B70" t="inlineStr">
        <is>
          <t>key_person</t>
        </is>
      </c>
      <c r="C70" t="inlineStr">
        <is>
          <t>Owner and General Manager</t>
        </is>
      </c>
      <c r="D70" t="inlineStr"/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72120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client_override</t>
        </is>
      </c>
    </row>
    <row r="71">
      <c r="A71" t="n">
        <v>15</v>
      </c>
      <c r="B71" t="inlineStr">
        <is>
          <t>supporting_staff</t>
        </is>
      </c>
      <c r="C71" t="inlineStr">
        <is>
          <t>Printing Press Operators</t>
        </is>
      </c>
      <c r="D71" t="inlineStr">
        <is>
          <t>Printing Press Operators</t>
        </is>
      </c>
      <c r="E71" s="29" t="n">
        <v>0.5</v>
      </c>
      <c r="F71" s="29" t="n">
        <v>0</v>
      </c>
      <c r="G71" s="30">
        <f>E71+F71</f>
        <v/>
      </c>
      <c r="H71" s="30">
        <f>(E71+G71)/2</f>
        <v/>
      </c>
      <c r="I71" s="31" t="n">
        <v>44824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16</v>
      </c>
      <c r="B72" t="inlineStr">
        <is>
          <t>key_person</t>
        </is>
      </c>
      <c r="C72" t="inlineStr">
        <is>
          <t>Lead Press Operator</t>
        </is>
      </c>
      <c r="D72" t="inlineStr"/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52451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client_override</t>
        </is>
      </c>
    </row>
    <row r="73">
      <c r="A73" t="n">
        <v>16</v>
      </c>
      <c r="B73" t="inlineStr">
        <is>
          <t>key_person</t>
        </is>
      </c>
      <c r="C73" t="inlineStr">
        <is>
          <t>Owner and General Manager</t>
        </is>
      </c>
      <c r="D73" t="inlineStr"/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72120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client_override</t>
        </is>
      </c>
    </row>
    <row r="74">
      <c r="A74" t="n">
        <v>16</v>
      </c>
      <c r="B74" t="inlineStr">
        <is>
          <t>supporting_staff</t>
        </is>
      </c>
      <c r="C74" t="inlineStr">
        <is>
          <t>Printing Press Operators</t>
        </is>
      </c>
      <c r="D74" t="inlineStr">
        <is>
          <t>Printing Press Operators</t>
        </is>
      </c>
      <c r="E74" s="29" t="n">
        <v>0.5</v>
      </c>
      <c r="F74" s="29" t="n">
        <v>0</v>
      </c>
      <c r="G74" s="30">
        <f>E74+F74</f>
        <v/>
      </c>
      <c r="H74" s="30">
        <f>(E74+G74)/2</f>
        <v/>
      </c>
      <c r="I74" s="31" t="n">
        <v>44824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17</v>
      </c>
      <c r="B75" t="inlineStr">
        <is>
          <t>key_person</t>
        </is>
      </c>
      <c r="C75" t="inlineStr">
        <is>
          <t>Lead Press Operator</t>
        </is>
      </c>
      <c r="D75" t="inlineStr"/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54024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client_override</t>
        </is>
      </c>
    </row>
    <row r="76">
      <c r="A76" t="n">
        <v>17</v>
      </c>
      <c r="B76" t="inlineStr">
        <is>
          <t>key_person</t>
        </is>
      </c>
      <c r="C76" t="inlineStr">
        <is>
          <t>Owner and General Manager</t>
        </is>
      </c>
      <c r="D76" t="inlineStr"/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74284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client_override</t>
        </is>
      </c>
    </row>
    <row r="77">
      <c r="A77" t="n">
        <v>17</v>
      </c>
      <c r="B77" t="inlineStr">
        <is>
          <t>supporting_staff</t>
        </is>
      </c>
      <c r="C77" t="inlineStr">
        <is>
          <t>Printing Press Operators</t>
        </is>
      </c>
      <c r="D77" t="inlineStr">
        <is>
          <t>Printing Press Operators</t>
        </is>
      </c>
      <c r="E77" s="29" t="n">
        <v>0.5</v>
      </c>
      <c r="F77" s="29" t="n">
        <v>0</v>
      </c>
      <c r="G77" s="30">
        <f>E77+F77</f>
        <v/>
      </c>
      <c r="H77" s="30">
        <f>(E77+G77)/2</f>
        <v/>
      </c>
      <c r="I77" s="31" t="n">
        <v>46168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18</v>
      </c>
      <c r="B78" t="inlineStr">
        <is>
          <t>key_person</t>
        </is>
      </c>
      <c r="C78" t="inlineStr">
        <is>
          <t>Lead Press Operator</t>
        </is>
      </c>
      <c r="D78" t="inlineStr"/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54024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client_override</t>
        </is>
      </c>
    </row>
    <row r="79">
      <c r="A79" t="n">
        <v>18</v>
      </c>
      <c r="B79" t="inlineStr">
        <is>
          <t>key_person</t>
        </is>
      </c>
      <c r="C79" t="inlineStr">
        <is>
          <t>Owner and General Manager</t>
        </is>
      </c>
      <c r="D79" t="inlineStr"/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74284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client_override</t>
        </is>
      </c>
    </row>
    <row r="80">
      <c r="A80" t="n">
        <v>18</v>
      </c>
      <c r="B80" t="inlineStr">
        <is>
          <t>supporting_staff</t>
        </is>
      </c>
      <c r="C80" t="inlineStr">
        <is>
          <t>Printing Press Operators</t>
        </is>
      </c>
      <c r="D80" t="inlineStr">
        <is>
          <t>Printing Press Operators</t>
        </is>
      </c>
      <c r="E80" s="29" t="n">
        <v>0.5</v>
      </c>
      <c r="F80" s="29" t="n">
        <v>0</v>
      </c>
      <c r="G80" s="30">
        <f>E80+F80</f>
        <v/>
      </c>
      <c r="H80" s="30">
        <f>(E80+G80)/2</f>
        <v/>
      </c>
      <c r="I80" s="31" t="n">
        <v>46168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19</v>
      </c>
      <c r="B81" t="inlineStr">
        <is>
          <t>key_person</t>
        </is>
      </c>
      <c r="C81" t="inlineStr">
        <is>
          <t>Lead Press Operator</t>
        </is>
      </c>
      <c r="D81" t="inlineStr"/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54024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client_override</t>
        </is>
      </c>
    </row>
    <row r="82">
      <c r="A82" t="n">
        <v>19</v>
      </c>
      <c r="B82" t="inlineStr">
        <is>
          <t>key_person</t>
        </is>
      </c>
      <c r="C82" t="inlineStr">
        <is>
          <t>Owner and General Manager</t>
        </is>
      </c>
      <c r="D82" t="inlineStr"/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74284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client_override</t>
        </is>
      </c>
    </row>
    <row r="83">
      <c r="A83" t="n">
        <v>19</v>
      </c>
      <c r="B83" t="inlineStr">
        <is>
          <t>supporting_staff</t>
        </is>
      </c>
      <c r="C83" t="inlineStr">
        <is>
          <t>Printing Press Operators</t>
        </is>
      </c>
      <c r="D83" t="inlineStr">
        <is>
          <t>Printing Press Operators</t>
        </is>
      </c>
      <c r="E83" s="29" t="n">
        <v>0.5</v>
      </c>
      <c r="F83" s="29" t="n">
        <v>0</v>
      </c>
      <c r="G83" s="30">
        <f>E83+F83</f>
        <v/>
      </c>
      <c r="H83" s="30">
        <f>(E83+G83)/2</f>
        <v/>
      </c>
      <c r="I83" s="31" t="n">
        <v>46168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20</v>
      </c>
      <c r="B84" t="inlineStr">
        <is>
          <t>key_person</t>
        </is>
      </c>
      <c r="C84" t="inlineStr">
        <is>
          <t>Lead Press Operator</t>
        </is>
      </c>
      <c r="D84" t="inlineStr"/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54024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client_override</t>
        </is>
      </c>
    </row>
    <row r="85">
      <c r="A85" t="n">
        <v>20</v>
      </c>
      <c r="B85" t="inlineStr">
        <is>
          <t>key_person</t>
        </is>
      </c>
      <c r="C85" t="inlineStr">
        <is>
          <t>Owner and General Manager</t>
        </is>
      </c>
      <c r="D85" t="inlineStr"/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74284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client_override</t>
        </is>
      </c>
    </row>
    <row r="86">
      <c r="A86" t="n">
        <v>20</v>
      </c>
      <c r="B86" t="inlineStr">
        <is>
          <t>supporting_staff</t>
        </is>
      </c>
      <c r="C86" t="inlineStr">
        <is>
          <t>Printing Press Operators</t>
        </is>
      </c>
      <c r="D86" t="inlineStr">
        <is>
          <t>Printing Press Operators</t>
        </is>
      </c>
      <c r="E86" s="29" t="n">
        <v>0.5</v>
      </c>
      <c r="F86" s="29" t="n">
        <v>0</v>
      </c>
      <c r="G86" s="30">
        <f>E86+F86</f>
        <v/>
      </c>
      <c r="H86" s="30">
        <f>(E86+G86)/2</f>
        <v/>
      </c>
      <c r="I86" s="31" t="n">
        <v>46168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3"/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120000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0.01875</v>
      </c>
      <c r="D12" s="13" t="n">
        <v>0.015</v>
      </c>
      <c r="E12" s="13" t="n">
        <v>0.015</v>
      </c>
      <c r="F12" s="13" t="n">
        <v>0.015</v>
      </c>
      <c r="G12" s="13" t="n">
        <v>0.015</v>
      </c>
      <c r="H12" s="13" t="n">
        <v>0.015</v>
      </c>
      <c r="I12" s="13" t="n">
        <v>0.015</v>
      </c>
      <c r="J12" s="13" t="n">
        <v>0.015</v>
      </c>
      <c r="K12" s="13" t="n">
        <v>0.015</v>
      </c>
      <c r="L12" s="13" t="n">
        <v>0.015</v>
      </c>
      <c r="M12" s="13" t="n">
        <v>0.015</v>
      </c>
      <c r="N12" s="13" t="n">
        <v>0.015</v>
      </c>
      <c r="O12" s="13" t="n">
        <v>0.015</v>
      </c>
      <c r="P12" s="13" t="n">
        <v>0.015</v>
      </c>
      <c r="Q12" s="13" t="n">
        <v>0.015</v>
      </c>
      <c r="R12" s="13" t="n">
        <v>0.015</v>
      </c>
      <c r="S12" s="13" t="n">
        <v>0.015</v>
      </c>
      <c r="T12" s="13" t="n">
        <v>0.015</v>
      </c>
      <c r="U12" s="13" t="n">
        <v>0.015</v>
      </c>
      <c r="V12" s="13" t="n">
        <v>0.015</v>
      </c>
      <c r="W12" s="13" t="n">
        <v>0.015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 Existing equipment and new capital spending are depreciated straight-line over 5 years.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260000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3250</v>
      </c>
      <c r="E8" s="35" t="n">
        <v>3126.09375</v>
      </c>
      <c r="F8" s="35" t="n">
        <v>2998.683547</v>
      </c>
      <c r="G8" s="35" t="n">
        <v>2867.809002</v>
      </c>
      <c r="H8" s="35" t="n">
        <v>2733.503771</v>
      </c>
      <c r="I8" s="35" t="n">
        <v>2595.811719</v>
      </c>
      <c r="J8" s="35" t="n">
        <v>2454.776077</v>
      </c>
      <c r="K8" s="35" t="n">
        <v>2310.445063</v>
      </c>
      <c r="L8" s="35" t="n">
        <v>2162.865384</v>
      </c>
      <c r="M8" s="35" t="n">
        <v>2012.087713</v>
      </c>
      <c r="N8" s="35" t="n">
        <v>1858.169039</v>
      </c>
      <c r="O8" s="35" t="n">
        <v>1701.164904</v>
      </c>
      <c r="P8" s="35" t="n">
        <v>1541.13462</v>
      </c>
      <c r="Q8" s="35" t="n">
        <v>1378.141141</v>
      </c>
      <c r="R8" s="35" t="n">
        <v>1212.248779</v>
      </c>
      <c r="S8" s="35" t="n">
        <v>1043.525569</v>
      </c>
      <c r="T8" s="35" t="n">
        <v>872.040926</v>
      </c>
      <c r="U8" s="35" t="n">
        <v>697.867319</v>
      </c>
      <c r="V8" s="35" t="n">
        <v>521.080779</v>
      </c>
      <c r="W8" s="35" t="n">
        <v>341.758124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0.050625</v>
      </c>
      <c r="E10" s="13" t="n">
        <v>0.053257</v>
      </c>
      <c r="F10" s="13" t="n">
        <v>0.056144</v>
      </c>
      <c r="G10" s="13" t="n">
        <v>0.059332</v>
      </c>
      <c r="H10" s="13" t="n">
        <v>0.062872</v>
      </c>
      <c r="I10" s="13" t="n">
        <v>0.066832</v>
      </c>
      <c r="J10" s="13" t="n">
        <v>0.071296</v>
      </c>
      <c r="K10" s="13" t="n">
        <v>0.076375</v>
      </c>
      <c r="L10" s="13" t="n">
        <v>0.08221199999999999</v>
      </c>
      <c r="M10" s="13" t="n">
        <v>0.08899700000000001</v>
      </c>
      <c r="N10" s="13" t="n">
        <v>0.096994</v>
      </c>
      <c r="O10" s="13" t="n">
        <v>0.106571</v>
      </c>
      <c r="P10" s="13" t="n">
        <v>0.118262</v>
      </c>
      <c r="Q10" s="13" t="n">
        <v>0.132874</v>
      </c>
      <c r="R10" s="13" t="n">
        <v>0.151682</v>
      </c>
      <c r="S10" s="13" t="n">
        <v>0.176832</v>
      </c>
      <c r="T10" s="13" t="n">
        <v>0.212231</v>
      </c>
      <c r="U10" s="13" t="n">
        <v>0.265824</v>
      </c>
      <c r="V10" s="13" t="n">
        <v>0.356636</v>
      </c>
      <c r="W10" s="13" t="n">
        <v>0.544389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9.540473</v>
      </c>
      <c r="E7" s="9" t="n">
        <v>9.540473</v>
      </c>
      <c r="F7" s="9" t="n">
        <v>9.540473</v>
      </c>
      <c r="G7" s="9" t="n">
        <v>9.540473</v>
      </c>
      <c r="H7" s="9" t="n">
        <v>9.540473</v>
      </c>
      <c r="I7" s="9" t="n">
        <v>9.540473</v>
      </c>
      <c r="J7" s="9" t="n">
        <v>9.540473</v>
      </c>
      <c r="K7" s="9" t="n">
        <v>9.540473</v>
      </c>
      <c r="L7" s="9" t="n">
        <v>9.540473</v>
      </c>
      <c r="M7" s="9" t="n">
        <v>9.540473</v>
      </c>
      <c r="N7" s="9" t="n">
        <v>9.540473</v>
      </c>
      <c r="O7" s="9" t="n">
        <v>9.540473</v>
      </c>
      <c r="P7" s="9" t="n">
        <v>9.540473</v>
      </c>
      <c r="Q7" s="9" t="n">
        <v>9.540473</v>
      </c>
      <c r="R7" s="9" t="n">
        <v>9.540473</v>
      </c>
      <c r="S7" s="9" t="n">
        <v>9.540473</v>
      </c>
      <c r="T7" s="9" t="n">
        <v>9.540473</v>
      </c>
      <c r="U7" s="9" t="n">
        <v>9.540473</v>
      </c>
      <c r="V7" s="9" t="n">
        <v>9.540473</v>
      </c>
      <c r="W7" s="9" t="n">
        <v>9.540473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32.036855</v>
      </c>
      <c r="E8" s="9" t="n">
        <v>32.036855</v>
      </c>
      <c r="F8" s="9" t="n">
        <v>32.036855</v>
      </c>
      <c r="G8" s="9" t="n">
        <v>32.036855</v>
      </c>
      <c r="H8" s="9" t="n">
        <v>32.036855</v>
      </c>
      <c r="I8" s="9" t="n">
        <v>32.036855</v>
      </c>
      <c r="J8" s="9" t="n">
        <v>32.036855</v>
      </c>
      <c r="K8" s="9" t="n">
        <v>32.036855</v>
      </c>
      <c r="L8" s="9" t="n">
        <v>32.036855</v>
      </c>
      <c r="M8" s="9" t="n">
        <v>32.036855</v>
      </c>
      <c r="N8" s="9" t="n">
        <v>32.036855</v>
      </c>
      <c r="O8" s="9" t="n">
        <v>32.036855</v>
      </c>
      <c r="P8" s="9" t="n">
        <v>32.036855</v>
      </c>
      <c r="Q8" s="9" t="n">
        <v>32.036855</v>
      </c>
      <c r="R8" s="9" t="n">
        <v>32.036855</v>
      </c>
      <c r="S8" s="9" t="n">
        <v>32.036855</v>
      </c>
      <c r="T8" s="9" t="n">
        <v>32.036855</v>
      </c>
      <c r="U8" s="9" t="n">
        <v>32.036855</v>
      </c>
      <c r="V8" s="9" t="n">
        <v>32.036855</v>
      </c>
      <c r="W8" s="9" t="n">
        <v>32.036855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48.868175</v>
      </c>
      <c r="E9" s="9" t="n">
        <v>48.868175</v>
      </c>
      <c r="F9" s="9" t="n">
        <v>48.868175</v>
      </c>
      <c r="G9" s="9" t="n">
        <v>48.868175</v>
      </c>
      <c r="H9" s="9" t="n">
        <v>48.868175</v>
      </c>
      <c r="I9" s="9" t="n">
        <v>48.868175</v>
      </c>
      <c r="J9" s="9" t="n">
        <v>48.868175</v>
      </c>
      <c r="K9" s="9" t="n">
        <v>48.868175</v>
      </c>
      <c r="L9" s="9" t="n">
        <v>48.868175</v>
      </c>
      <c r="M9" s="9" t="n">
        <v>48.868175</v>
      </c>
      <c r="N9" s="9" t="n">
        <v>48.868175</v>
      </c>
      <c r="O9" s="9" t="n">
        <v>48.868175</v>
      </c>
      <c r="P9" s="9" t="n">
        <v>48.868175</v>
      </c>
      <c r="Q9" s="9" t="n">
        <v>48.868175</v>
      </c>
      <c r="R9" s="9" t="n">
        <v>48.868175</v>
      </c>
      <c r="S9" s="9" t="n">
        <v>48.868175</v>
      </c>
      <c r="T9" s="9" t="n">
        <v>48.868175</v>
      </c>
      <c r="U9" s="9" t="n">
        <v>48.868175</v>
      </c>
      <c r="V9" s="9" t="n">
        <v>48.868175</v>
      </c>
      <c r="W9" s="9" t="n">
        <v>48.868175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0.015943</v>
      </c>
      <c r="E10" s="13" t="n">
        <v>0.015943</v>
      </c>
      <c r="F10" s="13" t="n">
        <v>0.015943</v>
      </c>
      <c r="G10" s="13" t="n">
        <v>0.015943</v>
      </c>
      <c r="H10" s="13" t="n">
        <v>0.015943</v>
      </c>
      <c r="I10" s="13" t="n">
        <v>0.015943</v>
      </c>
      <c r="J10" s="13" t="n">
        <v>0.015943</v>
      </c>
      <c r="K10" s="13" t="n">
        <v>0.015943</v>
      </c>
      <c r="L10" s="13" t="n">
        <v>0.015943</v>
      </c>
      <c r="M10" s="13" t="n">
        <v>0.015943</v>
      </c>
      <c r="N10" s="13" t="n">
        <v>0.015943</v>
      </c>
      <c r="O10" s="13" t="n">
        <v>0.015943</v>
      </c>
      <c r="P10" s="13" t="n">
        <v>0.015943</v>
      </c>
      <c r="Q10" s="13" t="n">
        <v>0.015943</v>
      </c>
      <c r="R10" s="13" t="n">
        <v>0.015943</v>
      </c>
      <c r="S10" s="13" t="n">
        <v>0.015943</v>
      </c>
      <c r="T10" s="13" t="n">
        <v>0.015943</v>
      </c>
      <c r="U10" s="13" t="n">
        <v>0.015943</v>
      </c>
      <c r="V10" s="13" t="n">
        <v>0.015943</v>
      </c>
      <c r="W10" s="13" t="n">
        <v>0.015943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0.38</v>
      </c>
      <c r="E11" s="13" t="n">
        <v>0.38</v>
      </c>
      <c r="F11" s="13" t="n">
        <v>0.38</v>
      </c>
      <c r="G11" s="13" t="n">
        <v>0.38</v>
      </c>
      <c r="H11" s="13" t="n">
        <v>0.38</v>
      </c>
      <c r="I11" s="13" t="n">
        <v>0.38</v>
      </c>
      <c r="J11" s="13" t="n">
        <v>0.38</v>
      </c>
      <c r="K11" s="13" t="n">
        <v>0.38</v>
      </c>
      <c r="L11" s="13" t="n">
        <v>0.38</v>
      </c>
      <c r="M11" s="13" t="n">
        <v>0.38</v>
      </c>
      <c r="N11" s="13" t="n">
        <v>0.38</v>
      </c>
      <c r="O11" s="13" t="n">
        <v>0.38</v>
      </c>
      <c r="P11" s="13" t="n">
        <v>0.38</v>
      </c>
      <c r="Q11" s="13" t="n">
        <v>0.38</v>
      </c>
      <c r="R11" s="13" t="n">
        <v>0.38</v>
      </c>
      <c r="S11" s="13" t="n">
        <v>0.38</v>
      </c>
      <c r="T11" s="13" t="n">
        <v>0.38</v>
      </c>
      <c r="U11" s="13" t="n">
        <v>0.38</v>
      </c>
      <c r="V11" s="13" t="n">
        <v>0.38</v>
      </c>
      <c r="W11" s="13" t="n">
        <v>0.38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62000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88000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38000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54000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140000</v>
      </c>
      <c r="D7" s="11" t="n">
        <v>140000</v>
      </c>
      <c r="E7" s="11" t="n">
        <v>140000</v>
      </c>
      <c r="F7" s="11" t="n">
        <v>140000</v>
      </c>
      <c r="G7" s="11" t="n">
        <v>140000</v>
      </c>
      <c r="H7" s="11" t="n">
        <v>140000</v>
      </c>
      <c r="I7" s="11" t="n">
        <v>140000</v>
      </c>
      <c r="J7" s="11" t="n">
        <v>140000</v>
      </c>
      <c r="K7" s="11" t="n">
        <v>140000</v>
      </c>
      <c r="L7" s="11" t="n">
        <v>140000</v>
      </c>
      <c r="M7" s="11" t="n">
        <v>140000</v>
      </c>
      <c r="N7" s="11" t="n">
        <v>140000</v>
      </c>
      <c r="O7" s="11" t="n">
        <v>140000</v>
      </c>
      <c r="P7" s="11" t="n">
        <v>140000</v>
      </c>
      <c r="Q7" s="11" t="n">
        <v>140000</v>
      </c>
      <c r="R7" s="11" t="n">
        <v>140000</v>
      </c>
      <c r="S7" s="11" t="n">
        <v>140000</v>
      </c>
      <c r="T7" s="11" t="n">
        <v>140000</v>
      </c>
      <c r="U7" s="11" t="n">
        <v>140000</v>
      </c>
      <c r="V7" s="11" t="n">
        <v>140000</v>
      </c>
      <c r="W7" s="11" t="n">
        <v>140000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11400</v>
      </c>
      <c r="D12" s="11" t="n">
        <v>11400</v>
      </c>
      <c r="E12" s="11" t="n">
        <v>11400</v>
      </c>
      <c r="F12" s="11" t="n">
        <v>11400</v>
      </c>
      <c r="G12" s="11" t="n">
        <v>11400</v>
      </c>
      <c r="H12" s="11" t="n">
        <v>11400</v>
      </c>
      <c r="I12" s="11" t="n">
        <v>11400</v>
      </c>
      <c r="J12" s="11" t="n">
        <v>11400</v>
      </c>
      <c r="K12" s="11" t="n">
        <v>11400</v>
      </c>
      <c r="L12" s="11" t="n">
        <v>11400</v>
      </c>
      <c r="M12" s="11" t="n">
        <v>11400</v>
      </c>
      <c r="N12" s="11" t="n">
        <v>11400</v>
      </c>
      <c r="O12" s="11" t="n">
        <v>11400</v>
      </c>
      <c r="P12" s="11" t="n">
        <v>11400</v>
      </c>
      <c r="Q12" s="11" t="n">
        <v>11400</v>
      </c>
      <c r="R12" s="11" t="n">
        <v>11400</v>
      </c>
      <c r="S12" s="11" t="n">
        <v>11400</v>
      </c>
      <c r="T12" s="11" t="n">
        <v>11400</v>
      </c>
      <c r="U12" s="11" t="n">
        <v>11400</v>
      </c>
      <c r="V12" s="11" t="n">
        <v>11400</v>
      </c>
      <c r="W12" s="11" t="n">
        <v>11400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print job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print job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print job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print job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0.44</v>
      </c>
      <c r="D12" s="14" t="n">
        <v>0.44</v>
      </c>
      <c r="E12" s="14" t="n">
        <v>0.44</v>
      </c>
      <c r="F12" s="14" t="n">
        <v>0.44</v>
      </c>
      <c r="G12" s="14" t="n">
        <v>0.44</v>
      </c>
      <c r="H12" s="14" t="n">
        <v>0.44</v>
      </c>
      <c r="I12" s="14" t="n">
        <v>0.44</v>
      </c>
      <c r="J12" s="14" t="n">
        <v>0.44</v>
      </c>
      <c r="K12" s="14" t="n">
        <v>0.44</v>
      </c>
      <c r="L12" s="14" t="n">
        <v>0.44</v>
      </c>
      <c r="M12" s="14" t="n">
        <v>0.44</v>
      </c>
      <c r="N12" s="14" t="n">
        <v>0.44</v>
      </c>
      <c r="O12" s="14" t="n">
        <v>0.44</v>
      </c>
      <c r="P12" s="14" t="n">
        <v>0.44</v>
      </c>
      <c r="Q12" s="14" t="n">
        <v>0.44</v>
      </c>
      <c r="R12" s="14" t="n">
        <v>0.44</v>
      </c>
      <c r="S12" s="14" t="n">
        <v>0.44</v>
      </c>
      <c r="T12" s="14" t="n">
        <v>0.44</v>
      </c>
      <c r="U12" s="14" t="n">
        <v>0.44</v>
      </c>
      <c r="V12" s="14" t="n">
        <v>0.44</v>
      </c>
      <c r="W12" s="14" t="n">
        <v>0.44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0.009368</v>
      </c>
      <c r="D13" s="14" t="n">
        <v>0.009368</v>
      </c>
      <c r="E13" s="14" t="n">
        <v>0.009368</v>
      </c>
      <c r="F13" s="14" t="n">
        <v>0.009368</v>
      </c>
      <c r="G13" s="14" t="n">
        <v>0.009368</v>
      </c>
      <c r="H13" s="14" t="n">
        <v>0.009368</v>
      </c>
      <c r="I13" s="14" t="n">
        <v>0.009368</v>
      </c>
      <c r="J13" s="14" t="n">
        <v>0.009368</v>
      </c>
      <c r="K13" s="14" t="n">
        <v>0.009368</v>
      </c>
      <c r="L13" s="14" t="n">
        <v>0.009368</v>
      </c>
      <c r="M13" s="14" t="n">
        <v>0.009368</v>
      </c>
      <c r="N13" s="14" t="n">
        <v>0.009368</v>
      </c>
      <c r="O13" s="14" t="n">
        <v>0.009368</v>
      </c>
      <c r="P13" s="14" t="n">
        <v>0.009368</v>
      </c>
      <c r="Q13" s="14" t="n">
        <v>0.009368</v>
      </c>
      <c r="R13" s="14" t="n">
        <v>0.009368</v>
      </c>
      <c r="S13" s="14" t="n">
        <v>0.009368</v>
      </c>
      <c r="T13" s="14" t="n">
        <v>0.009368</v>
      </c>
      <c r="U13" s="14" t="n">
        <v>0.009368</v>
      </c>
      <c r="V13" s="14" t="n">
        <v>0.009368</v>
      </c>
      <c r="W13" s="14" t="n">
        <v>0.009368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41500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0.027701</v>
      </c>
      <c r="D17" s="14" t="n">
        <v>0.027701</v>
      </c>
      <c r="E17" s="14" t="n">
        <v>0.027701</v>
      </c>
      <c r="F17" s="14" t="n">
        <v>0.027701</v>
      </c>
      <c r="G17" s="14" t="n">
        <v>0.027701</v>
      </c>
      <c r="H17" s="14" t="n">
        <v>0.027701</v>
      </c>
      <c r="I17" s="14" t="n">
        <v>0.027701</v>
      </c>
      <c r="J17" s="14" t="n">
        <v>0.027701</v>
      </c>
      <c r="K17" s="14" t="n">
        <v>0.027701</v>
      </c>
      <c r="L17" s="14" t="n">
        <v>0.027701</v>
      </c>
      <c r="M17" s="14" t="n">
        <v>0.027701</v>
      </c>
      <c r="N17" s="14" t="n">
        <v>0.027701</v>
      </c>
      <c r="O17" s="14" t="n">
        <v>0.027701</v>
      </c>
      <c r="P17" s="14" t="n">
        <v>0.027701</v>
      </c>
      <c r="Q17" s="14" t="n">
        <v>0.027701</v>
      </c>
      <c r="R17" s="14" t="n">
        <v>0.027701</v>
      </c>
      <c r="S17" s="14" t="n">
        <v>0.027701</v>
      </c>
      <c r="T17" s="14" t="n">
        <v>0.027701</v>
      </c>
      <c r="U17" s="14" t="n">
        <v>0.027701</v>
      </c>
      <c r="V17" s="14" t="n">
        <v>0.027701</v>
      </c>
      <c r="W17" s="14" t="n">
        <v>0.027701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0.182667</v>
      </c>
      <c r="D22" s="14" t="n">
        <v>0.182667</v>
      </c>
      <c r="E22" s="14" t="n">
        <v>0.182667</v>
      </c>
      <c r="F22" s="14" t="n">
        <v>0.182667</v>
      </c>
      <c r="G22" s="14" t="n">
        <v>0.182667</v>
      </c>
      <c r="H22" s="14" t="n">
        <v>0.182667</v>
      </c>
      <c r="I22" s="14" t="n">
        <v>0.182667</v>
      </c>
      <c r="J22" s="14" t="n">
        <v>0.182667</v>
      </c>
      <c r="K22" s="14" t="n">
        <v>0.182667</v>
      </c>
      <c r="L22" s="14" t="n">
        <v>0.182667</v>
      </c>
      <c r="M22" s="14" t="n">
        <v>0.182667</v>
      </c>
      <c r="N22" s="14" t="n">
        <v>0.182667</v>
      </c>
      <c r="O22" s="14" t="n">
        <v>0.182667</v>
      </c>
      <c r="P22" s="14" t="n">
        <v>0.182667</v>
      </c>
      <c r="Q22" s="14" t="n">
        <v>0.182667</v>
      </c>
      <c r="R22" s="14" t="n">
        <v>0.182667</v>
      </c>
      <c r="S22" s="14" t="n">
        <v>0.182667</v>
      </c>
      <c r="T22" s="14" t="n">
        <v>0.182667</v>
      </c>
      <c r="U22" s="14" t="n">
        <v>0.182667</v>
      </c>
      <c r="V22" s="14" t="n">
        <v>0.182667</v>
      </c>
      <c r="W22" s="14" t="n">
        <v>0.182667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90</v>
      </c>
      <c r="F6" t="n">
        <v>91</v>
      </c>
      <c r="G6" t="n">
        <v>92</v>
      </c>
      <c r="H6" t="n">
        <v>92</v>
      </c>
      <c r="I6" t="n">
        <v>91</v>
      </c>
      <c r="J6" t="n">
        <v>91</v>
      </c>
      <c r="K6" t="n">
        <v>92</v>
      </c>
      <c r="L6" t="n">
        <v>92</v>
      </c>
      <c r="M6" t="n">
        <v>90</v>
      </c>
      <c r="N6" t="n">
        <v>91</v>
      </c>
      <c r="O6" t="n">
        <v>92</v>
      </c>
      <c r="P6" t="n">
        <v>92</v>
      </c>
      <c r="Q6" t="n">
        <v>90</v>
      </c>
      <c r="R6" t="n">
        <v>91</v>
      </c>
      <c r="S6" t="n">
        <v>92</v>
      </c>
      <c r="T6" t="n">
        <v>92</v>
      </c>
      <c r="U6" t="n">
        <v>90</v>
      </c>
      <c r="V6" t="n">
        <v>91</v>
      </c>
      <c r="W6" t="n">
        <v>92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46251</v>
      </c>
      <c r="D5" s="5" t="n">
        <v>46387</v>
      </c>
      <c r="E5" s="5" t="n">
        <v>46477</v>
      </c>
      <c r="F5" s="5" t="n">
        <v>46568</v>
      </c>
      <c r="G5" s="5" t="n">
        <v>46660</v>
      </c>
      <c r="H5" s="5" t="n">
        <v>46752</v>
      </c>
      <c r="I5" s="5" t="n">
        <v>46843</v>
      </c>
      <c r="J5" s="5" t="n">
        <v>46934</v>
      </c>
      <c r="K5" s="5" t="n">
        <v>47026</v>
      </c>
      <c r="L5" s="5" t="n">
        <v>47118</v>
      </c>
      <c r="M5" s="5" t="n">
        <v>47208</v>
      </c>
      <c r="N5" s="5" t="n">
        <v>47299</v>
      </c>
      <c r="O5" s="5" t="n">
        <v>47391</v>
      </c>
      <c r="P5" s="5" t="n">
        <v>47483</v>
      </c>
      <c r="Q5" s="5" t="n">
        <v>47573</v>
      </c>
      <c r="R5" s="5" t="n">
        <v>47664</v>
      </c>
      <c r="S5" s="5" t="n">
        <v>47756</v>
      </c>
      <c r="T5" s="5" t="n">
        <v>47848</v>
      </c>
      <c r="U5" s="5" t="n">
        <v>47938</v>
      </c>
      <c r="V5" s="5" t="n">
        <v>48029</v>
      </c>
      <c r="W5" s="5" t="n">
        <v>48121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213500.000189</v>
      </c>
      <c r="D7" s="31" t="n">
        <v>213408</v>
      </c>
      <c r="E7" s="31" t="n">
        <v>213408</v>
      </c>
      <c r="F7" s="31" t="n">
        <v>213408</v>
      </c>
      <c r="G7" s="31" t="n">
        <v>213408</v>
      </c>
      <c r="H7" s="31" t="n">
        <v>213408</v>
      </c>
      <c r="I7" s="31" t="n">
        <v>213408</v>
      </c>
      <c r="J7" s="31" t="n">
        <v>213408</v>
      </c>
      <c r="K7" s="31" t="n">
        <v>213408</v>
      </c>
      <c r="L7" s="31" t="n">
        <v>213408</v>
      </c>
      <c r="M7" s="31" t="n">
        <v>213408</v>
      </c>
      <c r="N7" s="31" t="n">
        <v>213408</v>
      </c>
      <c r="O7" s="31" t="n">
        <v>213408</v>
      </c>
      <c r="P7" s="31" t="n">
        <v>213408</v>
      </c>
      <c r="Q7" s="31" t="n">
        <v>213408</v>
      </c>
      <c r="R7" s="31" t="n">
        <v>213408</v>
      </c>
      <c r="S7" s="31" t="n">
        <v>213408</v>
      </c>
      <c r="T7" s="31" t="n">
        <v>213408</v>
      </c>
      <c r="U7" s="31" t="n">
        <v>213408</v>
      </c>
      <c r="V7" s="31" t="n">
        <v>213408</v>
      </c>
      <c r="W7" s="31" t="n">
        <v>213408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93940.00008300001</v>
      </c>
      <c r="D8" s="31" t="n">
        <v>93899.52</v>
      </c>
      <c r="E8" s="31" t="n">
        <v>93899.52</v>
      </c>
      <c r="F8" s="31" t="n">
        <v>93899.52</v>
      </c>
      <c r="G8" s="31" t="n">
        <v>93899.52</v>
      </c>
      <c r="H8" s="31" t="n">
        <v>93899.52</v>
      </c>
      <c r="I8" s="31" t="n">
        <v>93899.52</v>
      </c>
      <c r="J8" s="31" t="n">
        <v>93899.52</v>
      </c>
      <c r="K8" s="31" t="n">
        <v>93899.52</v>
      </c>
      <c r="L8" s="31" t="n">
        <v>93899.52</v>
      </c>
      <c r="M8" s="31" t="n">
        <v>93899.52</v>
      </c>
      <c r="N8" s="31" t="n">
        <v>93899.52</v>
      </c>
      <c r="O8" s="31" t="n">
        <v>93899.52</v>
      </c>
      <c r="P8" s="31" t="n">
        <v>93899.52</v>
      </c>
      <c r="Q8" s="31" t="n">
        <v>93899.52</v>
      </c>
      <c r="R8" s="31" t="n">
        <v>93899.52</v>
      </c>
      <c r="S8" s="31" t="n">
        <v>93899.52</v>
      </c>
      <c r="T8" s="31" t="n">
        <v>93899.52</v>
      </c>
      <c r="U8" s="31" t="n">
        <v>93899.52</v>
      </c>
      <c r="V8" s="31" t="n">
        <v>93899.52</v>
      </c>
      <c r="W8" s="31" t="n">
        <v>93899.52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119560.000106</v>
      </c>
      <c r="D9" s="31" t="n">
        <v>119508.48</v>
      </c>
      <c r="E9" s="31" t="n">
        <v>119508.48</v>
      </c>
      <c r="F9" s="31" t="n">
        <v>119508.48</v>
      </c>
      <c r="G9" s="31" t="n">
        <v>119508.48</v>
      </c>
      <c r="H9" s="31" t="n">
        <v>119508.48</v>
      </c>
      <c r="I9" s="31" t="n">
        <v>119508.48</v>
      </c>
      <c r="J9" s="31" t="n">
        <v>119508.48</v>
      </c>
      <c r="K9" s="31" t="n">
        <v>119508.48</v>
      </c>
      <c r="L9" s="31" t="n">
        <v>119508.48</v>
      </c>
      <c r="M9" s="31" t="n">
        <v>119508.48</v>
      </c>
      <c r="N9" s="31" t="n">
        <v>119508.48</v>
      </c>
      <c r="O9" s="31" t="n">
        <v>119508.48</v>
      </c>
      <c r="P9" s="31" t="n">
        <v>119508.48</v>
      </c>
      <c r="Q9" s="31" t="n">
        <v>119508.48</v>
      </c>
      <c r="R9" s="31" t="n">
        <v>119508.48</v>
      </c>
      <c r="S9" s="31" t="n">
        <v>119508.48</v>
      </c>
      <c r="T9" s="31" t="n">
        <v>119508.48</v>
      </c>
      <c r="U9" s="31" t="n">
        <v>119508.48</v>
      </c>
      <c r="V9" s="31" t="n">
        <v>119508.48</v>
      </c>
      <c r="W9" s="31" t="n">
        <v>119508.48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2000.068002</v>
      </c>
      <c r="D10" s="31" t="n">
        <v>1999.206144</v>
      </c>
      <c r="E10" s="31" t="n">
        <v>1999.206144</v>
      </c>
      <c r="F10" s="31" t="n">
        <v>1999.206144</v>
      </c>
      <c r="G10" s="31" t="n">
        <v>1999.206144</v>
      </c>
      <c r="H10" s="31" t="n">
        <v>1999.206144</v>
      </c>
      <c r="I10" s="31" t="n">
        <v>1999.206144</v>
      </c>
      <c r="J10" s="31" t="n">
        <v>1999.206144</v>
      </c>
      <c r="K10" s="31" t="n">
        <v>1999.206144</v>
      </c>
      <c r="L10" s="31" t="n">
        <v>1999.206144</v>
      </c>
      <c r="M10" s="31" t="n">
        <v>1999.206144</v>
      </c>
      <c r="N10" s="31" t="n">
        <v>1999.206144</v>
      </c>
      <c r="O10" s="31" t="n">
        <v>1999.206144</v>
      </c>
      <c r="P10" s="31" t="n">
        <v>1999.206144</v>
      </c>
      <c r="Q10" s="31" t="n">
        <v>1999.206144</v>
      </c>
      <c r="R10" s="31" t="n">
        <v>1999.206144</v>
      </c>
      <c r="S10" s="31" t="n">
        <v>1999.206144</v>
      </c>
      <c r="T10" s="31" t="n">
        <v>1999.206144</v>
      </c>
      <c r="U10" s="31" t="n">
        <v>1999.206144</v>
      </c>
      <c r="V10" s="31" t="n">
        <v>1999.206144</v>
      </c>
      <c r="W10" s="31" t="n">
        <v>1999.206144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11400</v>
      </c>
      <c r="D12" s="31" t="n">
        <v>11400</v>
      </c>
      <c r="E12" s="31" t="n">
        <v>11400</v>
      </c>
      <c r="F12" s="31" t="n">
        <v>11400</v>
      </c>
      <c r="G12" s="31" t="n">
        <v>11400</v>
      </c>
      <c r="H12" s="31" t="n">
        <v>11400</v>
      </c>
      <c r="I12" s="31" t="n">
        <v>11400</v>
      </c>
      <c r="J12" s="31" t="n">
        <v>11400</v>
      </c>
      <c r="K12" s="31" t="n">
        <v>11400</v>
      </c>
      <c r="L12" s="31" t="n">
        <v>11400</v>
      </c>
      <c r="M12" s="31" t="n">
        <v>11400</v>
      </c>
      <c r="N12" s="31" t="n">
        <v>11400</v>
      </c>
      <c r="O12" s="31" t="n">
        <v>11400</v>
      </c>
      <c r="P12" s="31" t="n">
        <v>11400</v>
      </c>
      <c r="Q12" s="31" t="n">
        <v>11400</v>
      </c>
      <c r="R12" s="31" t="n">
        <v>11400</v>
      </c>
      <c r="S12" s="31" t="n">
        <v>11400</v>
      </c>
      <c r="T12" s="31" t="n">
        <v>11400</v>
      </c>
      <c r="U12" s="31" t="n">
        <v>11400</v>
      </c>
      <c r="V12" s="31" t="n">
        <v>11400</v>
      </c>
      <c r="W12" s="31" t="n">
        <v>11400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41500</v>
      </c>
      <c r="D13" s="31" t="n">
        <v>41500</v>
      </c>
      <c r="E13" s="31" t="n">
        <v>41500</v>
      </c>
      <c r="F13" s="31" t="n">
        <v>41500</v>
      </c>
      <c r="G13" s="31" t="n">
        <v>41500</v>
      </c>
      <c r="H13" s="31" t="n">
        <v>41500</v>
      </c>
      <c r="I13" s="31" t="n">
        <v>41500</v>
      </c>
      <c r="J13" s="31" t="n">
        <v>41500</v>
      </c>
      <c r="K13" s="31" t="n">
        <v>41500</v>
      </c>
      <c r="L13" s="31" t="n">
        <v>41500</v>
      </c>
      <c r="M13" s="31" t="n">
        <v>41500</v>
      </c>
      <c r="N13" s="31" t="n">
        <v>41500</v>
      </c>
      <c r="O13" s="31" t="n">
        <v>41500</v>
      </c>
      <c r="P13" s="31" t="n">
        <v>41500</v>
      </c>
      <c r="Q13" s="31" t="n">
        <v>41500</v>
      </c>
      <c r="R13" s="31" t="n">
        <v>41500</v>
      </c>
      <c r="S13" s="31" t="n">
        <v>41500</v>
      </c>
      <c r="T13" s="31" t="n">
        <v>41500</v>
      </c>
      <c r="U13" s="31" t="n">
        <v>41500</v>
      </c>
      <c r="V13" s="31" t="n">
        <v>41500</v>
      </c>
      <c r="W13" s="31" t="n">
        <v>41500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5914.163505</v>
      </c>
      <c r="D14" s="31" t="n">
        <v>5911.615008</v>
      </c>
      <c r="E14" s="31" t="n">
        <v>5911.615008</v>
      </c>
      <c r="F14" s="31" t="n">
        <v>5911.615008</v>
      </c>
      <c r="G14" s="31" t="n">
        <v>5911.615008</v>
      </c>
      <c r="H14" s="31" t="n">
        <v>5911.615008</v>
      </c>
      <c r="I14" s="31" t="n">
        <v>5911.615008</v>
      </c>
      <c r="J14" s="31" t="n">
        <v>5911.615008</v>
      </c>
      <c r="K14" s="31" t="n">
        <v>5911.615008</v>
      </c>
      <c r="L14" s="31" t="n">
        <v>5911.615008</v>
      </c>
      <c r="M14" s="31" t="n">
        <v>5911.615008</v>
      </c>
      <c r="N14" s="31" t="n">
        <v>5911.615008</v>
      </c>
      <c r="O14" s="31" t="n">
        <v>5911.615008</v>
      </c>
      <c r="P14" s="31" t="n">
        <v>5911.615008</v>
      </c>
      <c r="Q14" s="31" t="n">
        <v>5911.615008</v>
      </c>
      <c r="R14" s="31" t="n">
        <v>5911.615008</v>
      </c>
      <c r="S14" s="31" t="n">
        <v>5911.615008</v>
      </c>
      <c r="T14" s="31" t="n">
        <v>5911.615008</v>
      </c>
      <c r="U14" s="31" t="n">
        <v>5911.615008</v>
      </c>
      <c r="V14" s="31" t="n">
        <v>5911.615008</v>
      </c>
      <c r="W14" s="31" t="n">
        <v>5911.615008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58745.768599</v>
      </c>
      <c r="D15" s="31" t="n">
        <v>58697.658848</v>
      </c>
      <c r="E15" s="31" t="n">
        <v>58697.658848</v>
      </c>
      <c r="F15" s="31" t="n">
        <v>58697.658848</v>
      </c>
      <c r="G15" s="31" t="n">
        <v>58697.658848</v>
      </c>
      <c r="H15" s="31" t="n">
        <v>58697.658848</v>
      </c>
      <c r="I15" s="31" t="n">
        <v>58697.658848</v>
      </c>
      <c r="J15" s="31" t="n">
        <v>58697.658848</v>
      </c>
      <c r="K15" s="31" t="n">
        <v>58697.658848</v>
      </c>
      <c r="L15" s="31" t="n">
        <v>58697.658848</v>
      </c>
      <c r="M15" s="31" t="n">
        <v>58697.658848</v>
      </c>
      <c r="N15" s="31" t="n">
        <v>58697.658848</v>
      </c>
      <c r="O15" s="31" t="n">
        <v>58697.658848</v>
      </c>
      <c r="P15" s="31" t="n">
        <v>58697.658848</v>
      </c>
      <c r="Q15" s="31" t="n">
        <v>58697.658848</v>
      </c>
      <c r="R15" s="31" t="n">
        <v>58697.658848</v>
      </c>
      <c r="S15" s="31" t="n">
        <v>58697.658848</v>
      </c>
      <c r="T15" s="31" t="n">
        <v>58697.658848</v>
      </c>
      <c r="U15" s="31" t="n">
        <v>58697.658848</v>
      </c>
      <c r="V15" s="31" t="n">
        <v>58697.658848</v>
      </c>
      <c r="W15" s="31" t="n">
        <v>58697.658848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2250</v>
      </c>
      <c r="D16" s="31" t="n">
        <v>1800</v>
      </c>
      <c r="E16" s="31" t="n">
        <v>1800</v>
      </c>
      <c r="F16" s="31" t="n">
        <v>1800</v>
      </c>
      <c r="G16" s="31" t="n">
        <v>1800</v>
      </c>
      <c r="H16" s="31" t="n">
        <v>1800</v>
      </c>
      <c r="I16" s="31" t="n">
        <v>1800</v>
      </c>
      <c r="J16" s="31" t="n">
        <v>1800</v>
      </c>
      <c r="K16" s="31" t="n">
        <v>1800</v>
      </c>
      <c r="L16" s="31" t="n">
        <v>1800</v>
      </c>
      <c r="M16" s="31" t="n">
        <v>1800</v>
      </c>
      <c r="N16" s="31" t="n">
        <v>1800</v>
      </c>
      <c r="O16" s="31" t="n">
        <v>1800</v>
      </c>
      <c r="P16" s="31" t="n">
        <v>1800</v>
      </c>
      <c r="Q16" s="31" t="n">
        <v>1800</v>
      </c>
      <c r="R16" s="31" t="n">
        <v>1800</v>
      </c>
      <c r="S16" s="31" t="n">
        <v>1800</v>
      </c>
      <c r="T16" s="31" t="n">
        <v>1800</v>
      </c>
      <c r="U16" s="31" t="n">
        <v>1800</v>
      </c>
      <c r="V16" s="31" t="n">
        <v>1800</v>
      </c>
      <c r="W16" s="31" t="n">
        <v>1800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13162.5</v>
      </c>
      <c r="E17" s="31" t="n">
        <v>13318.909987</v>
      </c>
      <c r="F17" s="31" t="n">
        <v>13468.647125</v>
      </c>
      <c r="G17" s="31" t="n">
        <v>13612.227498</v>
      </c>
      <c r="H17" s="31" t="n">
        <v>13748.867928</v>
      </c>
      <c r="I17" s="31" t="n">
        <v>13878.663105</v>
      </c>
      <c r="J17" s="31" t="n">
        <v>14001.257214</v>
      </c>
      <c r="K17" s="31" t="n">
        <v>14116.819333</v>
      </c>
      <c r="L17" s="31" t="n">
        <v>14225.079118</v>
      </c>
      <c r="M17" s="31" t="n">
        <v>14325.581612</v>
      </c>
      <c r="N17" s="31" t="n">
        <v>14418.49982</v>
      </c>
      <c r="O17" s="31" t="n">
        <v>14503.587599</v>
      </c>
      <c r="P17" s="31" t="n">
        <v>14580.612998</v>
      </c>
      <c r="Q17" s="31" t="n">
        <v>14649.530074</v>
      </c>
      <c r="R17" s="31" t="n">
        <v>14710.105544</v>
      </c>
      <c r="S17" s="31" t="n">
        <v>14762.297079</v>
      </c>
      <c r="T17" s="31" t="n">
        <v>14805.929414</v>
      </c>
      <c r="U17" s="31" t="n">
        <v>14840.790586</v>
      </c>
      <c r="V17" s="31" t="n">
        <v>14866.893165</v>
      </c>
      <c r="W17" s="31" t="n">
        <v>14883.94906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10319.912563</v>
      </c>
      <c r="D18" s="31" t="n">
        <v>7988.970261</v>
      </c>
      <c r="E18" s="31" t="n">
        <v>7960.399318</v>
      </c>
      <c r="F18" s="31" t="n">
        <v>7933.047284</v>
      </c>
      <c r="G18" s="31" t="n">
        <v>7906.819888</v>
      </c>
      <c r="H18" s="31" t="n">
        <v>7881.860191</v>
      </c>
      <c r="I18" s="31" t="n">
        <v>7858.150895</v>
      </c>
      <c r="J18" s="31" t="n">
        <v>7835.756997</v>
      </c>
      <c r="K18" s="31" t="n">
        <v>7814.647612</v>
      </c>
      <c r="L18" s="31" t="n">
        <v>7794.872122</v>
      </c>
      <c r="M18" s="31" t="n">
        <v>7776.513632</v>
      </c>
      <c r="N18" s="31" t="n">
        <v>7759.540542</v>
      </c>
      <c r="O18" s="31" t="n">
        <v>7743.997813</v>
      </c>
      <c r="P18" s="31" t="n">
        <v>7729.927814</v>
      </c>
      <c r="Q18" s="31" t="n">
        <v>7717.338939</v>
      </c>
      <c r="R18" s="31" t="n">
        <v>7706.273799</v>
      </c>
      <c r="S18" s="31" t="n">
        <v>7696.740128</v>
      </c>
      <c r="T18" s="31" t="n">
        <v>7688.769941</v>
      </c>
      <c r="U18" s="31" t="n">
        <v>7682.401955</v>
      </c>
      <c r="V18" s="31" t="n">
        <v>7677.633875</v>
      </c>
      <c r="W18" s="31" t="n">
        <v>7674.518326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46175.856036</v>
      </c>
      <c r="D19" s="31" t="n">
        <v>35746.188587</v>
      </c>
      <c r="E19" s="31" t="n">
        <v>35618.349542</v>
      </c>
      <c r="F19" s="31" t="n">
        <v>35495.964438</v>
      </c>
      <c r="G19" s="31" t="n">
        <v>35378.611462</v>
      </c>
      <c r="H19" s="31" t="n">
        <v>35266.930729</v>
      </c>
      <c r="I19" s="31" t="n">
        <v>35160.844848</v>
      </c>
      <c r="J19" s="31" t="n">
        <v>35060.644637</v>
      </c>
      <c r="K19" s="31" t="n">
        <v>34966.191904</v>
      </c>
      <c r="L19" s="31" t="n">
        <v>34877.707609</v>
      </c>
      <c r="M19" s="31" t="n">
        <v>34795.563603</v>
      </c>
      <c r="N19" s="31" t="n">
        <v>34719.618486</v>
      </c>
      <c r="O19" s="31" t="n">
        <v>34650.073436</v>
      </c>
      <c r="P19" s="31" t="n">
        <v>34587.118036</v>
      </c>
      <c r="Q19" s="31" t="n">
        <v>34530.789835</v>
      </c>
      <c r="R19" s="31" t="n">
        <v>34481.279505</v>
      </c>
      <c r="S19" s="31" t="n">
        <v>34438.62164</v>
      </c>
      <c r="T19" s="31" t="n">
        <v>34402.959494</v>
      </c>
      <c r="U19" s="31" t="n">
        <v>34374.466307</v>
      </c>
      <c r="V19" s="31" t="n">
        <v>34353.131808</v>
      </c>
      <c r="W19" s="31" t="n">
        <v>34339.191462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62000</v>
      </c>
      <c r="D23" s="31" t="n">
        <v>234823.704855</v>
      </c>
      <c r="E23" s="31" t="n">
        <v>280134.255969</v>
      </c>
      <c r="F23" s="31" t="n">
        <v>326353.241949</v>
      </c>
      <c r="G23" s="31" t="n">
        <v>372723.828609</v>
      </c>
      <c r="H23" s="31" t="n">
        <v>419006.123495</v>
      </c>
      <c r="I23" s="31" t="n">
        <v>465202.263026</v>
      </c>
      <c r="J23" s="31" t="n">
        <v>511809.3888</v>
      </c>
      <c r="K23" s="31" t="n">
        <v>558829.511676</v>
      </c>
      <c r="L23" s="31" t="n">
        <v>605769.433018</v>
      </c>
      <c r="M23" s="31" t="n">
        <v>652377.875855</v>
      </c>
      <c r="N23" s="31" t="n">
        <v>699910.883085</v>
      </c>
      <c r="O23" s="31" t="n">
        <v>747610.935919</v>
      </c>
      <c r="P23" s="31" t="n">
        <v>795237.532333</v>
      </c>
      <c r="Q23" s="31" t="n">
        <v>842539.0964339999</v>
      </c>
      <c r="R23" s="31" t="n">
        <v>890771.290667</v>
      </c>
      <c r="S23" s="31" t="n">
        <v>939176.240521</v>
      </c>
      <c r="T23" s="31" t="n">
        <v>987513.088503</v>
      </c>
      <c r="U23" s="31" t="n">
        <v>1035529.86341</v>
      </c>
      <c r="V23" s="31" t="n">
        <v>1084481.865568</v>
      </c>
      <c r="W23" s="31" t="n">
        <v>1133610.804669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88000</v>
      </c>
      <c r="D24" s="31" t="n">
        <v>22130.578935</v>
      </c>
      <c r="E24" s="31" t="n">
        <v>22622.369578</v>
      </c>
      <c r="F24" s="31" t="n">
        <v>22373.77211</v>
      </c>
      <c r="G24" s="31" t="n">
        <v>22130.578935</v>
      </c>
      <c r="H24" s="31" t="n">
        <v>22130.578935</v>
      </c>
      <c r="I24" s="31" t="n">
        <v>22373.77211</v>
      </c>
      <c r="J24" s="31" t="n">
        <v>22373.77211</v>
      </c>
      <c r="K24" s="31" t="n">
        <v>22130.578935</v>
      </c>
      <c r="L24" s="31" t="n">
        <v>22130.578935</v>
      </c>
      <c r="M24" s="31" t="n">
        <v>22622.369578</v>
      </c>
      <c r="N24" s="31" t="n">
        <v>22373.77211</v>
      </c>
      <c r="O24" s="31" t="n">
        <v>22130.578935</v>
      </c>
      <c r="P24" s="31" t="n">
        <v>22130.578935</v>
      </c>
      <c r="Q24" s="31" t="n">
        <v>22622.369578</v>
      </c>
      <c r="R24" s="31" t="n">
        <v>22373.77211</v>
      </c>
      <c r="S24" s="31" t="n">
        <v>22130.578935</v>
      </c>
      <c r="T24" s="31" t="n">
        <v>22130.578935</v>
      </c>
      <c r="U24" s="31" t="n">
        <v>22622.369578</v>
      </c>
      <c r="V24" s="31" t="n">
        <v>22373.77211</v>
      </c>
      <c r="W24" s="31" t="n">
        <v>22130.578935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38000</v>
      </c>
      <c r="D25" s="31" t="n">
        <v>32698.318552</v>
      </c>
      <c r="E25" s="31" t="n">
        <v>33424.947853</v>
      </c>
      <c r="F25" s="31" t="n">
        <v>33057.640734</v>
      </c>
      <c r="G25" s="31" t="n">
        <v>32698.318552</v>
      </c>
      <c r="H25" s="31" t="n">
        <v>32698.318552</v>
      </c>
      <c r="I25" s="31" t="n">
        <v>33057.640734</v>
      </c>
      <c r="J25" s="31" t="n">
        <v>33057.640734</v>
      </c>
      <c r="K25" s="31" t="n">
        <v>32698.318552</v>
      </c>
      <c r="L25" s="31" t="n">
        <v>32698.318552</v>
      </c>
      <c r="M25" s="31" t="n">
        <v>33424.947853</v>
      </c>
      <c r="N25" s="31" t="n">
        <v>33057.640734</v>
      </c>
      <c r="O25" s="31" t="n">
        <v>32698.318552</v>
      </c>
      <c r="P25" s="31" t="n">
        <v>32698.318552</v>
      </c>
      <c r="Q25" s="31" t="n">
        <v>33424.947853</v>
      </c>
      <c r="R25" s="31" t="n">
        <v>33057.640734</v>
      </c>
      <c r="S25" s="31" t="n">
        <v>32698.318552</v>
      </c>
      <c r="T25" s="31" t="n">
        <v>32698.318552</v>
      </c>
      <c r="U25" s="31" t="n">
        <v>33424.947853</v>
      </c>
      <c r="V25" s="31" t="n">
        <v>33057.640734</v>
      </c>
      <c r="W25" s="31" t="n">
        <v>32698.318552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188000</v>
      </c>
      <c r="D26" s="31" t="n">
        <v>293054.966086</v>
      </c>
      <c r="E26" s="31" t="n">
        <v>339583.937144</v>
      </c>
      <c r="F26" s="31" t="n">
        <v>385187.018537</v>
      </c>
      <c r="G26" s="31" t="n">
        <v>430955.08984</v>
      </c>
      <c r="H26" s="31" t="n">
        <v>477237.384726</v>
      </c>
      <c r="I26" s="31" t="n">
        <v>524036.039614</v>
      </c>
      <c r="J26" s="31" t="n">
        <v>570643.165387</v>
      </c>
      <c r="K26" s="31" t="n">
        <v>617060.772907</v>
      </c>
      <c r="L26" s="31" t="n">
        <v>664000.6942490001</v>
      </c>
      <c r="M26" s="31" t="n">
        <v>711827.55703</v>
      </c>
      <c r="N26" s="31" t="n">
        <v>758744.659672</v>
      </c>
      <c r="O26" s="31" t="n">
        <v>805842.19715</v>
      </c>
      <c r="P26" s="31" t="n">
        <v>853468.7935640001</v>
      </c>
      <c r="Q26" s="31" t="n">
        <v>901988.77761</v>
      </c>
      <c r="R26" s="31" t="n">
        <v>949605.067255</v>
      </c>
      <c r="S26" s="31" t="n">
        <v>997407.501752</v>
      </c>
      <c r="T26" s="31" t="n">
        <v>1045744.349734</v>
      </c>
      <c r="U26" s="31" t="n">
        <v>1094979.544586</v>
      </c>
      <c r="V26" s="31" t="n">
        <v>1143315.642156</v>
      </c>
      <c r="W26" s="31" t="n">
        <v>1191842.0659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260000</v>
      </c>
      <c r="D27" s="31" t="n">
        <v>250087.5</v>
      </c>
      <c r="E27" s="31" t="n">
        <v>239894.683763</v>
      </c>
      <c r="F27" s="31" t="n">
        <v>229424.720184</v>
      </c>
      <c r="G27" s="31" t="n">
        <v>218680.301688</v>
      </c>
      <c r="H27" s="31" t="n">
        <v>207664.937532</v>
      </c>
      <c r="I27" s="31" t="n">
        <v>196382.086145</v>
      </c>
      <c r="J27" s="31" t="n">
        <v>184835.605009</v>
      </c>
      <c r="K27" s="31" t="n">
        <v>173029.230739</v>
      </c>
      <c r="L27" s="31" t="n">
        <v>160967.017006</v>
      </c>
      <c r="M27" s="31" t="n">
        <v>148653.523106</v>
      </c>
      <c r="N27" s="31" t="n">
        <v>136093.192325</v>
      </c>
      <c r="O27" s="31" t="n">
        <v>123290.76963</v>
      </c>
      <c r="P27" s="31" t="n">
        <v>110251.291252</v>
      </c>
      <c r="Q27" s="31" t="n">
        <v>96979.902319</v>
      </c>
      <c r="R27" s="31" t="n">
        <v>83482.045554</v>
      </c>
      <c r="S27" s="31" t="n">
        <v>69763.27404400001</v>
      </c>
      <c r="T27" s="31" t="n">
        <v>55829.385556</v>
      </c>
      <c r="U27" s="31" t="n">
        <v>41686.462289</v>
      </c>
      <c r="V27" s="31" t="n">
        <v>27340.649903</v>
      </c>
      <c r="W27" s="31" t="n">
        <v>12798.458967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-13162.5</v>
      </c>
      <c r="E28" s="31" t="n">
        <v>-26481.409987</v>
      </c>
      <c r="F28" s="31" t="n">
        <v>-39950.057113</v>
      </c>
      <c r="G28" s="31" t="n">
        <v>-53562.284611</v>
      </c>
      <c r="H28" s="31" t="n">
        <v>-67311.15253799999</v>
      </c>
      <c r="I28" s="31" t="n">
        <v>-81189.815644</v>
      </c>
      <c r="J28" s="31" t="n">
        <v>-95191.07285700001</v>
      </c>
      <c r="K28" s="31" t="n">
        <v>-109307.89219</v>
      </c>
      <c r="L28" s="31" t="n">
        <v>-123532.971307</v>
      </c>
      <c r="M28" s="31" t="n">
        <v>-137858.55292</v>
      </c>
      <c r="N28" s="31" t="n">
        <v>-152277.05274</v>
      </c>
      <c r="O28" s="31" t="n">
        <v>-166780.640339</v>
      </c>
      <c r="P28" s="31" t="n">
        <v>-181361.253337</v>
      </c>
      <c r="Q28" s="31" t="n">
        <v>-196010.783411</v>
      </c>
      <c r="R28" s="31" t="n">
        <v>-210720.888955</v>
      </c>
      <c r="S28" s="31" t="n">
        <v>-225483.186034</v>
      </c>
      <c r="T28" s="31" t="n">
        <v>-240289.115448</v>
      </c>
      <c r="U28" s="31" t="n">
        <v>-255129.906034</v>
      </c>
      <c r="V28" s="31" t="n">
        <v>-269996.799199</v>
      </c>
      <c r="W28" s="31" t="n">
        <v>-284880.748259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448000</v>
      </c>
      <c r="D29" s="31" t="n">
        <v>543142.466086</v>
      </c>
      <c r="E29" s="31" t="n">
        <v>579478.620906</v>
      </c>
      <c r="F29" s="31" t="n">
        <v>614611.738721</v>
      </c>
      <c r="G29" s="31" t="n">
        <v>649635.391529</v>
      </c>
      <c r="H29" s="31" t="n">
        <v>684902.322258</v>
      </c>
      <c r="I29" s="31" t="n">
        <v>720418.125759</v>
      </c>
      <c r="J29" s="31" t="n">
        <v>755478.770396</v>
      </c>
      <c r="K29" s="31" t="n">
        <v>790090.0036460001</v>
      </c>
      <c r="L29" s="31" t="n">
        <v>824967.711255</v>
      </c>
      <c r="M29" s="31" t="n">
        <v>860481.0801359999</v>
      </c>
      <c r="N29" s="31" t="n">
        <v>894837.851997</v>
      </c>
      <c r="O29" s="31" t="n">
        <v>929132.96678</v>
      </c>
      <c r="P29" s="31" t="n">
        <v>963720.084815</v>
      </c>
      <c r="Q29" s="31" t="n">
        <v>998968.679929</v>
      </c>
      <c r="R29" s="31" t="n">
        <v>1033087.11281</v>
      </c>
      <c r="S29" s="31" t="n">
        <v>1067170.775796</v>
      </c>
      <c r="T29" s="31" t="n">
        <v>1101573.73529</v>
      </c>
      <c r="U29" s="31" t="n">
        <v>1136666.006875</v>
      </c>
      <c r="V29" s="31" t="n">
        <v>1170656.292059</v>
      </c>
      <c r="W29" s="31" t="n">
        <v>1204640.524867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54000</v>
      </c>
      <c r="D30" s="31" t="n">
        <v>32301.237499</v>
      </c>
      <c r="E30" s="31" t="n">
        <v>33019.042777</v>
      </c>
      <c r="F30" s="31" t="n">
        <v>32656.196153</v>
      </c>
      <c r="G30" s="31" t="n">
        <v>32301.237499</v>
      </c>
      <c r="H30" s="31" t="n">
        <v>32301.237499</v>
      </c>
      <c r="I30" s="31" t="n">
        <v>32656.196153</v>
      </c>
      <c r="J30" s="31" t="n">
        <v>32656.196153</v>
      </c>
      <c r="K30" s="31" t="n">
        <v>32301.237499</v>
      </c>
      <c r="L30" s="31" t="n">
        <v>32301.237499</v>
      </c>
      <c r="M30" s="31" t="n">
        <v>33019.042777</v>
      </c>
      <c r="N30" s="31" t="n">
        <v>32656.196153</v>
      </c>
      <c r="O30" s="31" t="n">
        <v>32301.237499</v>
      </c>
      <c r="P30" s="31" t="n">
        <v>32301.237499</v>
      </c>
      <c r="Q30" s="31" t="n">
        <v>33019.042777</v>
      </c>
      <c r="R30" s="31" t="n">
        <v>32656.196153</v>
      </c>
      <c r="S30" s="31" t="n">
        <v>32301.237499</v>
      </c>
      <c r="T30" s="31" t="n">
        <v>32301.237499</v>
      </c>
      <c r="U30" s="31" t="n">
        <v>33019.042777</v>
      </c>
      <c r="V30" s="31" t="n">
        <v>32656.196153</v>
      </c>
      <c r="W30" s="31" t="n">
        <v>32301.237499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3402.363744</v>
      </c>
      <c r="E31" s="31" t="n">
        <v>3402.363744</v>
      </c>
      <c r="F31" s="31" t="n">
        <v>3402.363744</v>
      </c>
      <c r="G31" s="31" t="n">
        <v>3402.363744</v>
      </c>
      <c r="H31" s="31" t="n">
        <v>3402.363744</v>
      </c>
      <c r="I31" s="31" t="n">
        <v>3402.363744</v>
      </c>
      <c r="J31" s="31" t="n">
        <v>3402.363744</v>
      </c>
      <c r="K31" s="31" t="n">
        <v>3402.363744</v>
      </c>
      <c r="L31" s="31" t="n">
        <v>3402.363744</v>
      </c>
      <c r="M31" s="31" t="n">
        <v>3402.363744</v>
      </c>
      <c r="N31" s="31" t="n">
        <v>3402.363744</v>
      </c>
      <c r="O31" s="31" t="n">
        <v>3402.363744</v>
      </c>
      <c r="P31" s="31" t="n">
        <v>3402.363744</v>
      </c>
      <c r="Q31" s="31" t="n">
        <v>3402.363744</v>
      </c>
      <c r="R31" s="31" t="n">
        <v>3402.363744</v>
      </c>
      <c r="S31" s="31" t="n">
        <v>3402.363744</v>
      </c>
      <c r="T31" s="31" t="n">
        <v>3402.363744</v>
      </c>
      <c r="U31" s="31" t="n">
        <v>3402.363744</v>
      </c>
      <c r="V31" s="31" t="n">
        <v>3402.363744</v>
      </c>
      <c r="W31" s="31" t="n">
        <v>3402.363744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81095.03999999999</v>
      </c>
      <c r="E33" s="31" t="n">
        <v>81095.03999999999</v>
      </c>
      <c r="F33" s="31" t="n">
        <v>81095.03999999999</v>
      </c>
      <c r="G33" s="31" t="n">
        <v>81095.03999999999</v>
      </c>
      <c r="H33" s="31" t="n">
        <v>81095.03999999999</v>
      </c>
      <c r="I33" s="31" t="n">
        <v>81095.03999999999</v>
      </c>
      <c r="J33" s="31" t="n">
        <v>81095.03999999999</v>
      </c>
      <c r="K33" s="31" t="n">
        <v>81095.03999999999</v>
      </c>
      <c r="L33" s="31" t="n">
        <v>81095.03999999999</v>
      </c>
      <c r="M33" s="31" t="n">
        <v>81095.03999999999</v>
      </c>
      <c r="N33" s="31" t="n">
        <v>81095.03999999999</v>
      </c>
      <c r="O33" s="31" t="n">
        <v>81095.03999999999</v>
      </c>
      <c r="P33" s="31" t="n">
        <v>81095.03999999999</v>
      </c>
      <c r="Q33" s="31" t="n">
        <v>81095.03999999999</v>
      </c>
      <c r="R33" s="31" t="n">
        <v>81095.03999999999</v>
      </c>
      <c r="S33" s="31" t="n">
        <v>81095.03999999999</v>
      </c>
      <c r="T33" s="31" t="n">
        <v>81095.03999999999</v>
      </c>
      <c r="U33" s="31" t="n">
        <v>81095.03999999999</v>
      </c>
      <c r="V33" s="31" t="n">
        <v>81095.03999999999</v>
      </c>
      <c r="W33" s="31" t="n">
        <v>81095.03999999999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54000</v>
      </c>
      <c r="D34" s="31" t="n">
        <v>113396.277499</v>
      </c>
      <c r="E34" s="31" t="n">
        <v>114114.082777</v>
      </c>
      <c r="F34" s="31" t="n">
        <v>113751.236153</v>
      </c>
      <c r="G34" s="31" t="n">
        <v>113396.277499</v>
      </c>
      <c r="H34" s="31" t="n">
        <v>113396.277499</v>
      </c>
      <c r="I34" s="31" t="n">
        <v>113751.236153</v>
      </c>
      <c r="J34" s="31" t="n">
        <v>113751.236153</v>
      </c>
      <c r="K34" s="31" t="n">
        <v>113396.277499</v>
      </c>
      <c r="L34" s="31" t="n">
        <v>113396.277499</v>
      </c>
      <c r="M34" s="31" t="n">
        <v>114114.082777</v>
      </c>
      <c r="N34" s="31" t="n">
        <v>113751.236153</v>
      </c>
      <c r="O34" s="31" t="n">
        <v>113396.277499</v>
      </c>
      <c r="P34" s="31" t="n">
        <v>113396.277499</v>
      </c>
      <c r="Q34" s="31" t="n">
        <v>114114.082777</v>
      </c>
      <c r="R34" s="31" t="n">
        <v>113751.236153</v>
      </c>
      <c r="S34" s="31" t="n">
        <v>113396.277499</v>
      </c>
      <c r="T34" s="31" t="n">
        <v>113396.277499</v>
      </c>
      <c r="U34" s="31" t="n">
        <v>114114.082777</v>
      </c>
      <c r="V34" s="31" t="n">
        <v>113751.236153</v>
      </c>
      <c r="W34" s="31" t="n">
        <v>113396.277499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120000</v>
      </c>
      <c r="D35" s="31" t="n">
        <v>120000</v>
      </c>
      <c r="E35" s="31" t="n">
        <v>120000</v>
      </c>
      <c r="F35" s="31" t="n">
        <v>120000</v>
      </c>
      <c r="G35" s="31" t="n">
        <v>120000</v>
      </c>
      <c r="H35" s="31" t="n">
        <v>120000</v>
      </c>
      <c r="I35" s="31" t="n">
        <v>120000</v>
      </c>
      <c r="J35" s="31" t="n">
        <v>120000</v>
      </c>
      <c r="K35" s="31" t="n">
        <v>120000</v>
      </c>
      <c r="L35" s="31" t="n">
        <v>120000</v>
      </c>
      <c r="M35" s="31" t="n">
        <v>120000</v>
      </c>
      <c r="N35" s="31" t="n">
        <v>120000</v>
      </c>
      <c r="O35" s="31" t="n">
        <v>120000</v>
      </c>
      <c r="P35" s="31" t="n">
        <v>120000</v>
      </c>
      <c r="Q35" s="31" t="n">
        <v>120000</v>
      </c>
      <c r="R35" s="31" t="n">
        <v>120000</v>
      </c>
      <c r="S35" s="31" t="n">
        <v>120000</v>
      </c>
      <c r="T35" s="31" t="n">
        <v>120000</v>
      </c>
      <c r="U35" s="31" t="n">
        <v>120000</v>
      </c>
      <c r="V35" s="31" t="n">
        <v>120000</v>
      </c>
      <c r="W35" s="31" t="n">
        <v>120000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174000</v>
      </c>
      <c r="D36" s="31" t="n">
        <v>233396.277499</v>
      </c>
      <c r="E36" s="31" t="n">
        <v>234114.082777</v>
      </c>
      <c r="F36" s="31" t="n">
        <v>233751.236153</v>
      </c>
      <c r="G36" s="31" t="n">
        <v>233396.277499</v>
      </c>
      <c r="H36" s="31" t="n">
        <v>233396.277499</v>
      </c>
      <c r="I36" s="31" t="n">
        <v>233751.236153</v>
      </c>
      <c r="J36" s="31" t="n">
        <v>233751.236153</v>
      </c>
      <c r="K36" s="31" t="n">
        <v>233396.277499</v>
      </c>
      <c r="L36" s="31" t="n">
        <v>233396.277499</v>
      </c>
      <c r="M36" s="31" t="n">
        <v>234114.082777</v>
      </c>
      <c r="N36" s="31" t="n">
        <v>233751.236153</v>
      </c>
      <c r="O36" s="31" t="n">
        <v>233396.277499</v>
      </c>
      <c r="P36" s="31" t="n">
        <v>233396.277499</v>
      </c>
      <c r="Q36" s="31" t="n">
        <v>234114.082777</v>
      </c>
      <c r="R36" s="31" t="n">
        <v>233751.236153</v>
      </c>
      <c r="S36" s="31" t="n">
        <v>233396.277499</v>
      </c>
      <c r="T36" s="31" t="n">
        <v>233396.277499</v>
      </c>
      <c r="U36" s="31" t="n">
        <v>234114.082777</v>
      </c>
      <c r="V36" s="31" t="n">
        <v>233751.236153</v>
      </c>
      <c r="W36" s="31" t="n">
        <v>233396.277499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140000</v>
      </c>
      <c r="D37" s="31" t="n">
        <v>140000</v>
      </c>
      <c r="E37" s="31" t="n">
        <v>140000</v>
      </c>
      <c r="F37" s="31" t="n">
        <v>140000</v>
      </c>
      <c r="G37" s="31" t="n">
        <v>140000</v>
      </c>
      <c r="H37" s="31" t="n">
        <v>140000</v>
      </c>
      <c r="I37" s="31" t="n">
        <v>140000</v>
      </c>
      <c r="J37" s="31" t="n">
        <v>140000</v>
      </c>
      <c r="K37" s="31" t="n">
        <v>140000</v>
      </c>
      <c r="L37" s="31" t="n">
        <v>140000</v>
      </c>
      <c r="M37" s="31" t="n">
        <v>140000</v>
      </c>
      <c r="N37" s="31" t="n">
        <v>140000</v>
      </c>
      <c r="O37" s="31" t="n">
        <v>140000</v>
      </c>
      <c r="P37" s="31" t="n">
        <v>140000</v>
      </c>
      <c r="Q37" s="31" t="n">
        <v>140000</v>
      </c>
      <c r="R37" s="31" t="n">
        <v>140000</v>
      </c>
      <c r="S37" s="31" t="n">
        <v>140000</v>
      </c>
      <c r="T37" s="31" t="n">
        <v>140000</v>
      </c>
      <c r="U37" s="31" t="n">
        <v>140000</v>
      </c>
      <c r="V37" s="31" t="n">
        <v>140000</v>
      </c>
      <c r="W37" s="31" t="n">
        <v>140000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134000</v>
      </c>
      <c r="D38" s="31" t="n">
        <v>169746.188587</v>
      </c>
      <c r="E38" s="31" t="n">
        <v>205364.538129</v>
      </c>
      <c r="F38" s="31" t="n">
        <v>240860.502568</v>
      </c>
      <c r="G38" s="31" t="n">
        <v>276239.114029</v>
      </c>
      <c r="H38" s="31" t="n">
        <v>311506.044758</v>
      </c>
      <c r="I38" s="31" t="n">
        <v>346666.889606</v>
      </c>
      <c r="J38" s="31" t="n">
        <v>381727.534243</v>
      </c>
      <c r="K38" s="31" t="n">
        <v>416693.726146</v>
      </c>
      <c r="L38" s="31" t="n">
        <v>451571.433755</v>
      </c>
      <c r="M38" s="31" t="n">
        <v>486366.997358</v>
      </c>
      <c r="N38" s="31" t="n">
        <v>521086.615844</v>
      </c>
      <c r="O38" s="31" t="n">
        <v>555736.68928</v>
      </c>
      <c r="P38" s="31" t="n">
        <v>590323.807316</v>
      </c>
      <c r="Q38" s="31" t="n">
        <v>624854.5971510001</v>
      </c>
      <c r="R38" s="31" t="n">
        <v>659335.876656</v>
      </c>
      <c r="S38" s="31" t="n">
        <v>693774.498297</v>
      </c>
      <c r="T38" s="31" t="n">
        <v>728177.45779</v>
      </c>
      <c r="U38" s="31" t="n">
        <v>762551.924098</v>
      </c>
      <c r="V38" s="31" t="n">
        <v>796905.055906</v>
      </c>
      <c r="W38" s="31" t="n">
        <v>831244.247368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274000</v>
      </c>
      <c r="D40" s="31" t="n">
        <v>309746.188587</v>
      </c>
      <c r="E40" s="31" t="n">
        <v>345364.538129</v>
      </c>
      <c r="F40" s="31" t="n">
        <v>380860.502568</v>
      </c>
      <c r="G40" s="31" t="n">
        <v>416239.114029</v>
      </c>
      <c r="H40" s="31" t="n">
        <v>451506.044758</v>
      </c>
      <c r="I40" s="31" t="n">
        <v>486666.889606</v>
      </c>
      <c r="J40" s="31" t="n">
        <v>521727.534243</v>
      </c>
      <c r="K40" s="31" t="n">
        <v>556693.726146</v>
      </c>
      <c r="L40" s="31" t="n">
        <v>591571.433755</v>
      </c>
      <c r="M40" s="31" t="n">
        <v>626366.997358</v>
      </c>
      <c r="N40" s="31" t="n">
        <v>661086.615844</v>
      </c>
      <c r="O40" s="31" t="n">
        <v>695736.68928</v>
      </c>
      <c r="P40" s="31" t="n">
        <v>730323.807316</v>
      </c>
      <c r="Q40" s="31" t="n">
        <v>764854.5971510001</v>
      </c>
      <c r="R40" s="31" t="n">
        <v>799335.876656</v>
      </c>
      <c r="S40" s="31" t="n">
        <v>833774.498297</v>
      </c>
      <c r="T40" s="31" t="n">
        <v>868177.45779</v>
      </c>
      <c r="U40" s="31" t="n">
        <v>902551.924098</v>
      </c>
      <c r="V40" s="31" t="n">
        <v>936905.055906</v>
      </c>
      <c r="W40" s="31" t="n">
        <v>971244.247368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448000</v>
      </c>
      <c r="D41" s="31" t="n">
        <v>543142.466086</v>
      </c>
      <c r="E41" s="31" t="n">
        <v>579478.620906</v>
      </c>
      <c r="F41" s="31" t="n">
        <v>614611.738721</v>
      </c>
      <c r="G41" s="31" t="n">
        <v>649635.391529</v>
      </c>
      <c r="H41" s="31" t="n">
        <v>684902.322258</v>
      </c>
      <c r="I41" s="31" t="n">
        <v>720418.125759</v>
      </c>
      <c r="J41" s="31" t="n">
        <v>755478.770396</v>
      </c>
      <c r="K41" s="31" t="n">
        <v>790090.0036460001</v>
      </c>
      <c r="L41" s="31" t="n">
        <v>824967.711255</v>
      </c>
      <c r="M41" s="31" t="n">
        <v>860481.0801359999</v>
      </c>
      <c r="N41" s="31" t="n">
        <v>894837.851997</v>
      </c>
      <c r="O41" s="31" t="n">
        <v>929132.96678</v>
      </c>
      <c r="P41" s="31" t="n">
        <v>963720.084815</v>
      </c>
      <c r="Q41" s="31" t="n">
        <v>998968.679929</v>
      </c>
      <c r="R41" s="31" t="n">
        <v>1033087.11281</v>
      </c>
      <c r="S41" s="31" t="n">
        <v>1067170.775796</v>
      </c>
      <c r="T41" s="31" t="n">
        <v>1101573.73529</v>
      </c>
      <c r="U41" s="31" t="n">
        <v>1136666.006875</v>
      </c>
      <c r="V41" s="31" t="n">
        <v>1170656.292059</v>
      </c>
      <c r="W41" s="31" t="n">
        <v>1204640.524867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62000</v>
      </c>
      <c r="D45" s="31" t="n">
        <v>62000</v>
      </c>
      <c r="E45" s="31" t="n">
        <v>234823.704855</v>
      </c>
      <c r="F45" s="31" t="n">
        <v>280134.255969</v>
      </c>
      <c r="G45" s="31" t="n">
        <v>326353.241949</v>
      </c>
      <c r="H45" s="31" t="n">
        <v>372723.828609</v>
      </c>
      <c r="I45" s="31" t="n">
        <v>419006.123495</v>
      </c>
      <c r="J45" s="31" t="n">
        <v>465202.263026</v>
      </c>
      <c r="K45" s="31" t="n">
        <v>511809.3888</v>
      </c>
      <c r="L45" s="31" t="n">
        <v>558829.511676</v>
      </c>
      <c r="M45" s="31" t="n">
        <v>605769.433018</v>
      </c>
      <c r="N45" s="31" t="n">
        <v>652377.875855</v>
      </c>
      <c r="O45" s="31" t="n">
        <v>699910.883085</v>
      </c>
      <c r="P45" s="31" t="n">
        <v>747610.935919</v>
      </c>
      <c r="Q45" s="31" t="n">
        <v>795237.532333</v>
      </c>
      <c r="R45" s="31" t="n">
        <v>842539.0964339999</v>
      </c>
      <c r="S45" s="31" t="n">
        <v>890771.290667</v>
      </c>
      <c r="T45" s="31" t="n">
        <v>939176.240521</v>
      </c>
      <c r="U45" s="31" t="n">
        <v>987513.088503</v>
      </c>
      <c r="V45" s="31" t="n">
        <v>1035529.86341</v>
      </c>
      <c r="W45" s="31" t="n">
        <v>1084481.865568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46175.856036</v>
      </c>
      <c r="D46" s="31" t="n">
        <v>35746.188587</v>
      </c>
      <c r="E46" s="31" t="n">
        <v>35618.349542</v>
      </c>
      <c r="F46" s="31" t="n">
        <v>35495.964438</v>
      </c>
      <c r="G46" s="31" t="n">
        <v>35378.611462</v>
      </c>
      <c r="H46" s="31" t="n">
        <v>35266.930729</v>
      </c>
      <c r="I46" s="31" t="n">
        <v>35160.844848</v>
      </c>
      <c r="J46" s="31" t="n">
        <v>35060.644637</v>
      </c>
      <c r="K46" s="31" t="n">
        <v>34966.191904</v>
      </c>
      <c r="L46" s="31" t="n">
        <v>34877.707609</v>
      </c>
      <c r="M46" s="31" t="n">
        <v>34795.563603</v>
      </c>
      <c r="N46" s="31" t="n">
        <v>34719.618486</v>
      </c>
      <c r="O46" s="31" t="n">
        <v>34650.073436</v>
      </c>
      <c r="P46" s="31" t="n">
        <v>34587.118036</v>
      </c>
      <c r="Q46" s="31" t="n">
        <v>34530.789835</v>
      </c>
      <c r="R46" s="31" t="n">
        <v>34481.279505</v>
      </c>
      <c r="S46" s="31" t="n">
        <v>34438.62164</v>
      </c>
      <c r="T46" s="31" t="n">
        <v>34402.959494</v>
      </c>
      <c r="U46" s="31" t="n">
        <v>34374.466307</v>
      </c>
      <c r="V46" s="31" t="n">
        <v>34353.131808</v>
      </c>
      <c r="W46" s="31" t="n">
        <v>34339.191462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13162.5</v>
      </c>
      <c r="E47" s="31" t="n">
        <v>13318.909987</v>
      </c>
      <c r="F47" s="31" t="n">
        <v>13468.647125</v>
      </c>
      <c r="G47" s="31" t="n">
        <v>13612.227498</v>
      </c>
      <c r="H47" s="31" t="n">
        <v>13748.867928</v>
      </c>
      <c r="I47" s="31" t="n">
        <v>13878.663105</v>
      </c>
      <c r="J47" s="31" t="n">
        <v>14001.257214</v>
      </c>
      <c r="K47" s="31" t="n">
        <v>14116.819333</v>
      </c>
      <c r="L47" s="31" t="n">
        <v>14225.079118</v>
      </c>
      <c r="M47" s="31" t="n">
        <v>14325.581612</v>
      </c>
      <c r="N47" s="31" t="n">
        <v>14418.49982</v>
      </c>
      <c r="O47" s="31" t="n">
        <v>14503.587599</v>
      </c>
      <c r="P47" s="31" t="n">
        <v>14580.612998</v>
      </c>
      <c r="Q47" s="31" t="n">
        <v>14649.530074</v>
      </c>
      <c r="R47" s="31" t="n">
        <v>14710.105544</v>
      </c>
      <c r="S47" s="31" t="n">
        <v>14762.297079</v>
      </c>
      <c r="T47" s="31" t="n">
        <v>14805.929414</v>
      </c>
      <c r="U47" s="31" t="n">
        <v>14840.790586</v>
      </c>
      <c r="V47" s="31" t="n">
        <v>14866.893165</v>
      </c>
      <c r="W47" s="31" t="n">
        <v>14883.94906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67768.738769</v>
      </c>
      <c r="E48" s="31" t="n">
        <v>-1218.419944</v>
      </c>
      <c r="F48" s="31" t="n">
        <v>615.904587</v>
      </c>
      <c r="G48" s="31" t="n">
        <v>602.515357</v>
      </c>
      <c r="H48" s="31" t="n">
        <v>0</v>
      </c>
      <c r="I48" s="31" t="n">
        <v>-602.515357</v>
      </c>
      <c r="J48" s="31" t="n">
        <v>0</v>
      </c>
      <c r="K48" s="31" t="n">
        <v>602.515357</v>
      </c>
      <c r="L48" s="31" t="n">
        <v>0</v>
      </c>
      <c r="M48" s="31" t="n">
        <v>-1218.419944</v>
      </c>
      <c r="N48" s="31" t="n">
        <v>615.904587</v>
      </c>
      <c r="O48" s="31" t="n">
        <v>602.515357</v>
      </c>
      <c r="P48" s="31" t="n">
        <v>0</v>
      </c>
      <c r="Q48" s="31" t="n">
        <v>-1218.419944</v>
      </c>
      <c r="R48" s="31" t="n">
        <v>615.904587</v>
      </c>
      <c r="S48" s="31" t="n">
        <v>602.515357</v>
      </c>
      <c r="T48" s="31" t="n">
        <v>0</v>
      </c>
      <c r="U48" s="31" t="n">
        <v>-1218.419944</v>
      </c>
      <c r="V48" s="31" t="n">
        <v>615.904587</v>
      </c>
      <c r="W48" s="31" t="n">
        <v>602.515357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59396.277499</v>
      </c>
      <c r="E49" s="31" t="n">
        <v>717.805278</v>
      </c>
      <c r="F49" s="31" t="n">
        <v>-362.846624</v>
      </c>
      <c r="G49" s="31" t="n">
        <v>-354.958654</v>
      </c>
      <c r="H49" s="31" t="n">
        <v>0</v>
      </c>
      <c r="I49" s="31" t="n">
        <v>354.958654</v>
      </c>
      <c r="J49" s="31" t="n">
        <v>0</v>
      </c>
      <c r="K49" s="31" t="n">
        <v>-354.958654</v>
      </c>
      <c r="L49" s="31" t="n">
        <v>0</v>
      </c>
      <c r="M49" s="31" t="n">
        <v>717.805278</v>
      </c>
      <c r="N49" s="31" t="n">
        <v>-362.846624</v>
      </c>
      <c r="O49" s="31" t="n">
        <v>-354.958654</v>
      </c>
      <c r="P49" s="31" t="n">
        <v>0</v>
      </c>
      <c r="Q49" s="31" t="n">
        <v>717.805278</v>
      </c>
      <c r="R49" s="31" t="n">
        <v>-362.846624</v>
      </c>
      <c r="S49" s="31" t="n">
        <v>-354.958654</v>
      </c>
      <c r="T49" s="31" t="n">
        <v>0</v>
      </c>
      <c r="U49" s="31" t="n">
        <v>717.805278</v>
      </c>
      <c r="V49" s="31" t="n">
        <v>-362.846624</v>
      </c>
      <c r="W49" s="31" t="n">
        <v>-354.958654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176073.704855</v>
      </c>
      <c r="E50" s="31" t="n">
        <v>48436.644864</v>
      </c>
      <c r="F50" s="31" t="n">
        <v>49217.669527</v>
      </c>
      <c r="G50" s="31" t="n">
        <v>49238.395663</v>
      </c>
      <c r="H50" s="31" t="n">
        <v>49015.798657</v>
      </c>
      <c r="I50" s="31" t="n">
        <v>48791.951249</v>
      </c>
      <c r="J50" s="31" t="n">
        <v>49061.901851</v>
      </c>
      <c r="K50" s="31" t="n">
        <v>49330.567939</v>
      </c>
      <c r="L50" s="31" t="n">
        <v>49102.786726</v>
      </c>
      <c r="M50" s="31" t="n">
        <v>48620.530549</v>
      </c>
      <c r="N50" s="31" t="n">
        <v>49391.176269</v>
      </c>
      <c r="O50" s="31" t="n">
        <v>49401.217738</v>
      </c>
      <c r="P50" s="31" t="n">
        <v>49167.731034</v>
      </c>
      <c r="Q50" s="31" t="n">
        <v>48679.705243</v>
      </c>
      <c r="R50" s="31" t="n">
        <v>49444.443012</v>
      </c>
      <c r="S50" s="31" t="n">
        <v>49448.475423</v>
      </c>
      <c r="T50" s="31" t="n">
        <v>49208.888907</v>
      </c>
      <c r="U50" s="31" t="n">
        <v>48714.642227</v>
      </c>
      <c r="V50" s="31" t="n">
        <v>49473.082936</v>
      </c>
      <c r="W50" s="31" t="n">
        <v>49470.697225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3250</v>
      </c>
      <c r="E51" s="31" t="n">
        <v>3126.09375</v>
      </c>
      <c r="F51" s="31" t="n">
        <v>2998.683547</v>
      </c>
      <c r="G51" s="31" t="n">
        <v>2867.809002</v>
      </c>
      <c r="H51" s="31" t="n">
        <v>2733.503771</v>
      </c>
      <c r="I51" s="31" t="n">
        <v>2595.811719</v>
      </c>
      <c r="J51" s="31" t="n">
        <v>2454.776077</v>
      </c>
      <c r="K51" s="31" t="n">
        <v>2310.445063</v>
      </c>
      <c r="L51" s="31" t="n">
        <v>2162.865384</v>
      </c>
      <c r="M51" s="31" t="n">
        <v>2012.087713</v>
      </c>
      <c r="N51" s="31" t="n">
        <v>1858.169039</v>
      </c>
      <c r="O51" s="31" t="n">
        <v>1701.164904</v>
      </c>
      <c r="P51" s="31" t="n">
        <v>1541.13462</v>
      </c>
      <c r="Q51" s="31" t="n">
        <v>1378.141141</v>
      </c>
      <c r="R51" s="31" t="n">
        <v>1212.248779</v>
      </c>
      <c r="S51" s="31" t="n">
        <v>1043.525569</v>
      </c>
      <c r="T51" s="31" t="n">
        <v>872.040926</v>
      </c>
      <c r="U51" s="31" t="n">
        <v>697.867319</v>
      </c>
      <c r="V51" s="31" t="n">
        <v>521.080779</v>
      </c>
      <c r="W51" s="31" t="n">
        <v>341.758124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-3250</v>
      </c>
      <c r="E52" s="31" t="n">
        <v>-3126.09375</v>
      </c>
      <c r="F52" s="31" t="n">
        <v>-2998.683547</v>
      </c>
      <c r="G52" s="31" t="n">
        <v>-2867.809002</v>
      </c>
      <c r="H52" s="31" t="n">
        <v>-2733.503771</v>
      </c>
      <c r="I52" s="31" t="n">
        <v>-2595.811719</v>
      </c>
      <c r="J52" s="31" t="n">
        <v>-2454.776077</v>
      </c>
      <c r="K52" s="31" t="n">
        <v>-2310.445063</v>
      </c>
      <c r="L52" s="31" t="n">
        <v>-2162.865384</v>
      </c>
      <c r="M52" s="31" t="n">
        <v>-2012.087713</v>
      </c>
      <c r="N52" s="31" t="n">
        <v>-1858.169039</v>
      </c>
      <c r="O52" s="31" t="n">
        <v>-1701.164904</v>
      </c>
      <c r="P52" s="31" t="n">
        <v>-1541.13462</v>
      </c>
      <c r="Q52" s="31" t="n">
        <v>-1378.141141</v>
      </c>
      <c r="R52" s="31" t="n">
        <v>-1212.248779</v>
      </c>
      <c r="S52" s="31" t="n">
        <v>-1043.525569</v>
      </c>
      <c r="T52" s="31" t="n">
        <v>-872.040926</v>
      </c>
      <c r="U52" s="31" t="n">
        <v>-697.867319</v>
      </c>
      <c r="V52" s="31" t="n">
        <v>-521.080779</v>
      </c>
      <c r="W52" s="31" t="n">
        <v>-341.758124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0</v>
      </c>
      <c r="E55" s="31" t="n">
        <v>0</v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0</v>
      </c>
      <c r="V56" s="31" t="n">
        <v>0</v>
      </c>
      <c r="W56" s="31" t="n">
        <v>0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0</v>
      </c>
      <c r="E57" s="31" t="n">
        <v>0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0</v>
      </c>
      <c r="K57" s="31" t="n">
        <v>0</v>
      </c>
      <c r="L57" s="31" t="n">
        <v>0</v>
      </c>
      <c r="M57" s="31" t="n">
        <v>0</v>
      </c>
      <c r="N57" s="31" t="n">
        <v>0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0</v>
      </c>
      <c r="T57" s="31" t="n">
        <v>0</v>
      </c>
      <c r="U57" s="31" t="n">
        <v>0</v>
      </c>
      <c r="V57" s="31" t="n">
        <v>0</v>
      </c>
      <c r="W57" s="31" t="n">
        <v>0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172823.704855</v>
      </c>
      <c r="E58" s="31" t="n">
        <v>45310.551114</v>
      </c>
      <c r="F58" s="31" t="n">
        <v>46218.98598</v>
      </c>
      <c r="G58" s="31" t="n">
        <v>46370.586661</v>
      </c>
      <c r="H58" s="31" t="n">
        <v>46282.294886</v>
      </c>
      <c r="I58" s="31" t="n">
        <v>46196.13953</v>
      </c>
      <c r="J58" s="31" t="n">
        <v>46607.125774</v>
      </c>
      <c r="K58" s="31" t="n">
        <v>47020.122876</v>
      </c>
      <c r="L58" s="31" t="n">
        <v>46939.921342</v>
      </c>
      <c r="M58" s="31" t="n">
        <v>46608.442836</v>
      </c>
      <c r="N58" s="31" t="n">
        <v>47533.00723</v>
      </c>
      <c r="O58" s="31" t="n">
        <v>47700.052834</v>
      </c>
      <c r="P58" s="31" t="n">
        <v>47626.596414</v>
      </c>
      <c r="Q58" s="31" t="n">
        <v>47301.564102</v>
      </c>
      <c r="R58" s="31" t="n">
        <v>48232.194233</v>
      </c>
      <c r="S58" s="31" t="n">
        <v>48404.949854</v>
      </c>
      <c r="T58" s="31" t="n">
        <v>48336.847981</v>
      </c>
      <c r="U58" s="31" t="n">
        <v>48016.774908</v>
      </c>
      <c r="V58" s="31" t="n">
        <v>48952.002157</v>
      </c>
      <c r="W58" s="31" t="n">
        <v>49128.939101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62000</v>
      </c>
      <c r="D59" s="31" t="n">
        <v>234823.704855</v>
      </c>
      <c r="E59" s="31" t="n">
        <v>280134.255969</v>
      </c>
      <c r="F59" s="31" t="n">
        <v>326353.241949</v>
      </c>
      <c r="G59" s="31" t="n">
        <v>372723.828609</v>
      </c>
      <c r="H59" s="31" t="n">
        <v>419006.123495</v>
      </c>
      <c r="I59" s="31" t="n">
        <v>465202.263026</v>
      </c>
      <c r="J59" s="31" t="n">
        <v>511809.3888</v>
      </c>
      <c r="K59" s="31" t="n">
        <v>558829.511676</v>
      </c>
      <c r="L59" s="31" t="n">
        <v>605769.433018</v>
      </c>
      <c r="M59" s="31" t="n">
        <v>652377.875855</v>
      </c>
      <c r="N59" s="31" t="n">
        <v>699910.883085</v>
      </c>
      <c r="O59" s="31" t="n">
        <v>747610.935919</v>
      </c>
      <c r="P59" s="31" t="n">
        <v>795237.532333</v>
      </c>
      <c r="Q59" s="31" t="n">
        <v>842539.0964339999</v>
      </c>
      <c r="R59" s="31" t="n">
        <v>890771.290667</v>
      </c>
      <c r="S59" s="31" t="n">
        <v>939176.240521</v>
      </c>
      <c r="T59" s="31" t="n">
        <v>987513.088503</v>
      </c>
      <c r="U59" s="31" t="n">
        <v>1035529.86341</v>
      </c>
      <c r="V59" s="31" t="n">
        <v>1084481.865568</v>
      </c>
      <c r="W59" s="31" t="n">
        <v>1133610.804669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/>
    </row>
    <row r="5">
      <c r="A5" s="45" t="inlineStr">
        <is>
          <t>Cash Strategy</t>
        </is>
      </c>
      <c r="B5" s="46" t="inlineStr"/>
    </row>
    <row r="6">
      <c r="A6" s="45" t="inlineStr">
        <is>
          <t>Business Stage</t>
        </is>
      </c>
      <c r="B6" s="46" t="inlineStr"/>
    </row>
    <row r="7">
      <c r="A7" s="45" t="inlineStr">
        <is>
          <t>Business Name</t>
        </is>
      </c>
      <c r="B7" s="46" t="inlineStr"/>
    </row>
    <row r="8">
      <c r="A8" s="45" t="inlineStr">
        <is>
          <t>Business Start Date</t>
        </is>
      </c>
      <c r="B8" s="46" t="inlineStr"/>
    </row>
    <row r="9">
      <c r="A9" s="45" t="inlineStr">
        <is>
          <t>NAICS-6</t>
        </is>
      </c>
      <c r="B9" s="46" t="inlineStr"/>
    </row>
    <row r="10">
      <c r="A10" s="45" t="inlineStr">
        <is>
          <t>Draft ID</t>
        </is>
      </c>
      <c r="B10" s="46" t="inlineStr">
        <is>
          <t>2e198cbfadb0457893bc38d9048bd7bf</t>
        </is>
      </c>
    </row>
    <row r="11">
      <c r="A11" s="45" t="inlineStr">
        <is>
          <t>Planning Run ID</t>
        </is>
      </c>
      <c r="B11" s="46" t="inlineStr"/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/>
    </row>
    <row r="15">
      <c r="A15" s="45" t="inlineStr">
        <is>
          <t>Verdict</t>
        </is>
      </c>
      <c r="B15" s="46" t="inlineStr">
        <is>
          <t>UNKNOWN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No (restoration loop landed deterministically)</t>
        </is>
      </c>
    </row>
    <row r="20" ht="22" customHeight="1">
      <c r="A20" s="43" t="inlineStr">
        <is>
          <t>Realism Check Detail</t>
        </is>
      </c>
      <c r="B20" s="44" t="n"/>
      <c r="C20" s="44" t="n"/>
    </row>
    <row r="21">
      <c r="A21" s="47" t="inlineStr">
        <is>
          <t>Metric Key</t>
        </is>
      </c>
      <c r="B21" s="48" t="inlineStr">
        <is>
          <t>Status</t>
        </is>
      </c>
    </row>
    <row r="22">
      <c r="A22" t="inlineStr">
        <is>
          <t>(no realism gate results recorded for this run)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Millgate Press Financial Model</dc:title>
  <dc:subject>Client financial model workbook</dc:subject>
  <dcterms:created xsi:type="dcterms:W3CDTF">2026-08-17T22:00:49Z</dcterms:created>
  <dcterms:modified xsi:type="dcterms:W3CDTF">2026-08-17T22:00:50Z</dcterms:modified>
</cp:coreProperties>
</file>